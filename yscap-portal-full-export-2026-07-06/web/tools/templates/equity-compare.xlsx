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yscapgroup-my.sharepoint.com/personal/yehuda_yscapgroup_com/Documents/Documents/YS CAPITAL INVESTOR SUITE - FINAL V1 - EXCEL FORMAT/"/>
    </mc:Choice>
  </mc:AlternateContent>
  <xr:revisionPtr revIDLastSave="476" documentId="8_{6DF198DF-524E-40C6-8975-EDE96B2CE036}" xr6:coauthVersionLast="47" xr6:coauthVersionMax="47" xr10:uidLastSave="{B3337FFD-F2C6-4629-AC61-0CC771CDE544}"/>
  <bookViews>
    <workbookView xWindow="-108" yWindow="-108" windowWidth="23256" windowHeight="12456" xr2:uid="{00000000-000D-0000-FFFF-FFFF00000000}"/>
  </bookViews>
  <sheets>
    <sheet name="Loan Comparison" sheetId="1" r:id="rId1"/>
    <sheet name="Sample" sheetId="2" r:id="rId2"/>
    <sheet name="Instructions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4" i="1" l="1"/>
  <c r="B37" i="2"/>
  <c r="B33" i="2"/>
  <c r="B36" i="2" s="1"/>
  <c r="B34" i="2"/>
  <c r="B32" i="2"/>
  <c r="B31" i="2"/>
  <c r="B33" i="1"/>
  <c r="B37" i="1"/>
  <c r="B32" i="1"/>
  <c r="B31" i="1"/>
  <c r="B36" i="1" l="1"/>
  <c r="B38" i="1" s="1"/>
  <c r="B39" i="1" s="1"/>
  <c r="B38" i="2"/>
  <c r="B39" i="2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<sst xmlns="http://schemas.openxmlformats.org/spreadsheetml/2006/main" count="111" uniqueCount="81">
  <si>
    <t>INPUTS</t>
  </si>
  <si>
    <t>Original Loan Amount</t>
  </si>
  <si>
    <t>Original Interest Rate (%)</t>
  </si>
  <si>
    <t>Original Term (Years)</t>
  </si>
  <si>
    <t>Second Interest Rate (%)</t>
  </si>
  <si>
    <t>Second Term (Years)</t>
  </si>
  <si>
    <t>Cash-Out Refinance Amount</t>
  </si>
  <si>
    <t>Cash-Out Interest Rate (%)</t>
  </si>
  <si>
    <t>Cash-Out Term (Years)</t>
  </si>
  <si>
    <t>CALCULATIONS</t>
  </si>
  <si>
    <t>Monthly Payment - Original Loan</t>
  </si>
  <si>
    <t>Monthly Payment - Cash-Out Refi</t>
  </si>
  <si>
    <t>SUMMARY</t>
  </si>
  <si>
    <t>Total Monthly Payment (Orig + Second + Third)</t>
  </si>
  <si>
    <t>Weighted Average Interest Rate (Orig + Second + Third)</t>
  </si>
  <si>
    <t>Monthly Savings Compared to Cash-Out</t>
  </si>
  <si>
    <t>Better Option</t>
  </si>
  <si>
    <t>Monthly Payment - Second Loan (interest + Principle)</t>
  </si>
  <si>
    <t>Interest-Only Loan Amount (2nd or 3rd Position)</t>
  </si>
  <si>
    <t>Interest-Only Loan Rate (%) (2nd or 3rd Position)</t>
  </si>
  <si>
    <t>Interest-Only Loan Term (Years) (2nd or 3rd Position)</t>
  </si>
  <si>
    <t>Monthly Payment – Interest-Only Loan (2nd or 3rd Position)</t>
  </si>
  <si>
    <t>Second Loan Amount (Fully Amortized)</t>
  </si>
  <si>
    <t>Prepared by: Yehuda Bochner</t>
  </si>
  <si>
    <t>YS Equity Compare™ - Powered by YS Capital Group The tool serious investors say YES to.</t>
  </si>
  <si>
    <t>🏦 YS Equity Compare™</t>
  </si>
  <si>
    <t>Powered by YS Capital Group</t>
  </si>
  <si>
    <t>The tool serious investors say YES to.</t>
  </si>
  <si>
    <t>✅ Purpose of This Sheet</t>
  </si>
  <si>
    <t>📝 What to Enter (Inputs)</t>
  </si>
  <si>
    <t>Just fill in the blue boxes — we’ll do the math.</t>
  </si>
  <si>
    <t>🔹 Current Loan Info</t>
  </si>
  <si>
    <t>🔹 Second Loan (If You Add One)</t>
  </si>
  <si>
    <t>🔹 Optional: Interest-Only Loan</t>
  </si>
  <si>
    <t>🔹 Cash-Out Refi Scenario</t>
  </si>
  <si>
    <t>📊 What You'll See (Outputs)</t>
  </si>
  <si>
    <t>🧮 Side-by-Side Breakdown</t>
  </si>
  <si>
    <t>Monthly payment on your current loan</t>
  </si>
  <si>
    <t>Monthly payment for your second or HELOC</t>
  </si>
  <si>
    <t>Monthly payment if you refinance everything</t>
  </si>
  <si>
    <t>Blended interest rate if you keep multiple loans</t>
  </si>
  <si>
    <t>💸 Total Monthly Comparison</t>
  </si>
  <si>
    <t>First mortgage</t>
  </si>
  <si>
    <t>Second mortgage</t>
  </si>
  <si>
    <t>Interest-only payments</t>
  </si>
  <si>
    <t>🔍 What the Sheet Tells You</t>
  </si>
  <si>
    <t>📞 718-831-2168 | ✉️ Sales@yscapgroup.com</t>
  </si>
  <si>
    <t>www.yscapgroup.com</t>
  </si>
  <si>
    <t>"Start investing — your loan is on us.</t>
  </si>
  <si>
    <t>The YS Equity Compare™ tool helps you compare two financing strategies side-by-side:</t>
  </si>
  <si>
    <t>1. Keeping your current loan and adding a second mortgage or interest-only HELOC</t>
  </si>
  <si>
    <t>2. Replacing everything with a new full cash-out refinance</t>
  </si>
  <si>
    <t>It breaks down the true monthly payments and shows which option is more cost-effective — so you don’t guess. You know.</t>
  </si>
  <si>
    <t>Original Loan Amount – Your current mortgage balance</t>
  </si>
  <si>
    <t>Original Interest Rate – Rate on your current first loan</t>
  </si>
  <si>
    <t>Original Term (Years) – How many years it was originally set for (usually 30)</t>
  </si>
  <si>
    <t>Second Loan Amount – How much more you want to borrow</t>
  </si>
  <si>
    <t>Second Interest Rate – Rate for the new loan</t>
  </si>
  <si>
    <t>Second Term – How long that new loan will be</t>
  </si>
  <si>
    <t>New Loan Amount – The total loan in a cash-out refi</t>
  </si>
  <si>
    <t>Cash-Out Rate – Your new interest rate</t>
  </si>
  <si>
    <t>Cash-Out Term – Usually 30 years</t>
  </si>
  <si>
    <t>We show your all-in monthly cost for both scenarios, including:</t>
  </si>
  <si>
    <t>Which option has the lower monthly payment</t>
  </si>
  <si>
    <t>How much you’ll save or spend extra</t>
  </si>
  <si>
    <t>Whether a cash-out refinance is worth it</t>
  </si>
  <si>
    <t>Your blended interest rate if you stack loans</t>
  </si>
  <si>
    <t>In the end, you’ll know your better option — not based on emotion, but numbers.</t>
  </si>
  <si>
    <t>📌 Need Help or Funding?</t>
  </si>
  <si>
    <t>YS Capital Group is here to guide you — and fund you — fast.</t>
  </si>
  <si>
    <t>Because at YS, the answer is YES."</t>
  </si>
  <si>
    <t>\</t>
  </si>
  <si>
    <t>Interesr Only Loan Amount – If using a HELOC or bridge loan</t>
  </si>
  <si>
    <t>Interesr Only loan Term – How long you’ll carry it</t>
  </si>
  <si>
    <t>Interesr Only loan Interest Rate – The rate (often higher)</t>
  </si>
  <si>
    <r>
      <t xml:space="preserve">Only fill this section if your second loan is </t>
    </r>
    <r>
      <rPr>
        <b/>
        <i/>
        <sz val="11"/>
        <color theme="0"/>
        <rFont val="Calibri"/>
        <family val="2"/>
        <scheme val="minor"/>
      </rPr>
      <t>fully amortized</t>
    </r>
    <r>
      <rPr>
        <i/>
        <sz val="11"/>
        <color theme="0"/>
        <rFont val="Calibri"/>
        <family val="2"/>
        <scheme val="minor"/>
      </rPr>
      <t xml:space="preserve"> (interest + principal). If you're using an </t>
    </r>
    <r>
      <rPr>
        <b/>
        <i/>
        <sz val="11"/>
        <color theme="0"/>
        <rFont val="Calibri"/>
        <family val="2"/>
        <scheme val="minor"/>
      </rPr>
      <t>interest-only loan</t>
    </r>
    <r>
      <rPr>
        <i/>
        <sz val="11"/>
        <color theme="0"/>
        <rFont val="Calibri"/>
        <family val="2"/>
        <scheme val="minor"/>
      </rPr>
      <t xml:space="preserve">, skip this and complete the </t>
    </r>
    <r>
      <rPr>
        <b/>
        <i/>
        <sz val="11"/>
        <color theme="0"/>
        <rFont val="Calibri"/>
        <family val="2"/>
        <scheme val="minor"/>
      </rPr>
      <t>Interest-Only Loan</t>
    </r>
    <r>
      <rPr>
        <i/>
        <sz val="11"/>
        <color theme="0"/>
        <rFont val="Calibri"/>
        <family val="2"/>
        <scheme val="minor"/>
      </rPr>
      <t xml:space="preserve"> section below.</t>
    </r>
  </si>
  <si>
    <t>Use this section if:</t>
  </si>
  <si>
    <r>
      <t xml:space="preserve">You skipped the Second Loan section above </t>
    </r>
    <r>
      <rPr>
        <b/>
        <i/>
        <sz val="11"/>
        <color theme="0"/>
        <rFont val="Calibri"/>
        <family val="2"/>
        <scheme val="minor"/>
      </rPr>
      <t>because your second loan is interest-only</t>
    </r>
    <r>
      <rPr>
        <i/>
        <sz val="11"/>
        <color theme="0"/>
        <rFont val="Calibri"/>
        <family val="2"/>
        <scheme val="minor"/>
      </rPr>
      <t xml:space="preserve"> (e.g., HELOC or bridge loan), </t>
    </r>
    <r>
      <rPr>
        <b/>
        <i/>
        <sz val="11"/>
        <color theme="0"/>
        <rFont val="Calibri"/>
        <family val="2"/>
        <scheme val="minor"/>
      </rPr>
      <t>OR</t>
    </r>
  </si>
  <si>
    <r>
      <t xml:space="preserve">You're adding a </t>
    </r>
    <r>
      <rPr>
        <b/>
        <i/>
        <sz val="11"/>
        <color theme="0"/>
        <rFont val="Calibri"/>
        <family val="2"/>
        <scheme val="minor"/>
      </rPr>
      <t>third loan</t>
    </r>
    <r>
      <rPr>
        <i/>
        <sz val="11"/>
        <color theme="0"/>
        <rFont val="Calibri"/>
        <family val="2"/>
        <scheme val="minor"/>
      </rPr>
      <t xml:space="preserve"> that is interest-only </t>
    </r>
    <r>
      <rPr>
        <b/>
        <i/>
        <sz val="11"/>
        <color theme="0"/>
        <rFont val="Calibri"/>
        <family val="2"/>
        <scheme val="minor"/>
      </rPr>
      <t>in addition to</t>
    </r>
    <r>
      <rPr>
        <i/>
        <sz val="11"/>
        <color theme="0"/>
        <rFont val="Calibri"/>
        <family val="2"/>
        <scheme val="minor"/>
      </rPr>
      <t xml:space="preserve"> a fully amortized second loan.</t>
    </r>
  </si>
  <si>
    <t>YS Capital Group</t>
  </si>
  <si>
    <t xml:space="preserve">NMLS ID 2609746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</si>
</sst>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\$#,##0.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0"/>
      <name val="Courier New"/>
      <family val="3"/>
    </font>
    <font>
      <u/>
      <sz val="11"/>
      <color theme="10"/>
      <name val="Calibri"/>
      <family val="2"/>
      <scheme val="minor"/>
    </font>
    <font>
      <sz val="11"/>
      <color theme="0"/>
      <name val="Courier New"/>
      <family val="3"/>
    </font>
    <font>
      <sz val="11"/>
      <color theme="1"/>
      <name val="Courier New"/>
      <family val="3"/>
    </font>
    <font>
      <b/>
      <sz val="11"/>
      <color theme="0"/>
      <name val="Courier New"/>
      <family val="3"/>
    </font>
    <font>
      <u/>
      <sz val="11"/>
      <color theme="0"/>
      <name val="Courier New"/>
      <family val="3"/>
    </font>
    <font>
      <sz val="11"/>
      <name val="Courier New"/>
      <family val="3"/>
    </font>
    <font>
      <sz val="18"/>
      <color theme="0"/>
      <name val="Courier New"/>
      <family val="3"/>
    </font>
    <font>
      <sz val="11"/>
      <color theme="0"/>
      <name val="Calibri"/>
      <family val="2"/>
      <scheme val="minor"/>
    </font>
    <font>
      <i/>
      <sz val="11"/>
      <color theme="0"/>
      <name val="Calibri"/>
      <family val="2"/>
      <scheme val="minor"/>
    </font>
    <font>
      <b/>
      <i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222932"/>
        <bgColor indexed="64"/>
      </patternFill>
    </fill>
    <fill>
      <patternFill patternType="solid">
        <fgColor rgb="FF76AAAC"/>
        <bgColor indexed="64"/>
      </patternFill>
    </fill>
    <fill>
      <patternFill patternType="solid">
        <fgColor rgb="FF222932"/>
        <bgColor rgb="FF222932"/>
      </patternFill>
    </fill>
    <fill>
      <patternFill patternType="solid">
        <fgColor rgb="FFECEDEE"/>
        <bgColor indexed="64"/>
      </patternFill>
    </fill>
    <fill>
      <patternFill patternType="solid">
        <fgColor theme="4" tint="-0.499984740745262"/>
        <bgColor indexed="64"/>
      </patternFill>
    </fill>
  </fills>
  <borders count="14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46">
    <xf numFmtId="0" fontId="0" fillId="0" borderId="0" xfId="0"/>
    <xf numFmtId="0" fontId="2" fillId="2" borderId="5" xfId="0" applyFont="1" applyFill="1" applyBorder="1"/>
    <xf numFmtId="0" fontId="4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4" fillId="2" borderId="0" xfId="0" applyFont="1" applyFill="1" applyAlignment="1">
      <alignment horizontal="left" vertical="center" wrapText="1"/>
    </xf>
    <xf numFmtId="0" fontId="4" fillId="2" borderId="7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/>
    </xf>
    <xf numFmtId="0" fontId="4" fillId="2" borderId="10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 wrapText="1"/>
    </xf>
    <xf numFmtId="0" fontId="7" fillId="2" borderId="2" xfId="2" applyFont="1" applyFill="1" applyBorder="1" applyAlignment="1">
      <alignment horizontal="left" vertical="center"/>
    </xf>
    <xf numFmtId="0" fontId="4" fillId="2" borderId="10" xfId="0" applyFont="1" applyFill="1" applyBorder="1" applyAlignment="1">
      <alignment horizontal="left" vertical="center"/>
    </xf>
    <xf numFmtId="0" fontId="4" fillId="2" borderId="11" xfId="0" applyFont="1" applyFill="1" applyBorder="1" applyAlignment="1">
      <alignment horizontal="left" vertical="center"/>
    </xf>
    <xf numFmtId="0" fontId="4" fillId="2" borderId="12" xfId="0" applyFont="1" applyFill="1" applyBorder="1" applyAlignment="1">
      <alignment horizontal="left" vertical="center"/>
    </xf>
    <xf numFmtId="0" fontId="4" fillId="2" borderId="13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2" borderId="0" xfId="0" applyFont="1" applyFill="1"/>
    <xf numFmtId="0" fontId="5" fillId="0" borderId="0" xfId="0" applyFont="1"/>
    <xf numFmtId="0" fontId="4" fillId="4" borderId="2" xfId="0" applyFont="1" applyFill="1" applyBorder="1"/>
    <xf numFmtId="0" fontId="4" fillId="2" borderId="3" xfId="0" applyFont="1" applyFill="1" applyBorder="1"/>
    <xf numFmtId="0" fontId="4" fillId="2" borderId="6" xfId="0" applyFont="1" applyFill="1" applyBorder="1"/>
    <xf numFmtId="0" fontId="6" fillId="2" borderId="5" xfId="0" applyFont="1" applyFill="1" applyBorder="1"/>
    <xf numFmtId="0" fontId="6" fillId="2" borderId="3" xfId="0" applyFont="1" applyFill="1" applyBorder="1"/>
    <xf numFmtId="0" fontId="6" fillId="2" borderId="0" xfId="0" applyFont="1" applyFill="1"/>
    <xf numFmtId="0" fontId="4" fillId="2" borderId="2" xfId="0" applyFont="1" applyFill="1" applyBorder="1"/>
    <xf numFmtId="164" fontId="4" fillId="3" borderId="4" xfId="0" applyNumberFormat="1" applyFont="1" applyFill="1" applyBorder="1" applyProtection="1">
      <protection locked="0"/>
    </xf>
    <xf numFmtId="164" fontId="4" fillId="2" borderId="0" xfId="0" applyNumberFormat="1" applyFont="1" applyFill="1"/>
    <xf numFmtId="0" fontId="4" fillId="3" borderId="4" xfId="0" applyFont="1" applyFill="1" applyBorder="1" applyProtection="1">
      <protection locked="0"/>
    </xf>
    <xf numFmtId="44" fontId="4" fillId="2" borderId="0" xfId="1" applyFont="1" applyFill="1"/>
    <xf numFmtId="44" fontId="4" fillId="3" borderId="4" xfId="1" applyFont="1" applyFill="1" applyBorder="1" applyProtection="1">
      <protection locked="0"/>
    </xf>
    <xf numFmtId="164" fontId="8" fillId="5" borderId="4" xfId="0" applyNumberFormat="1" applyFont="1" applyFill="1" applyBorder="1"/>
    <xf numFmtId="164" fontId="4" fillId="6" borderId="4" xfId="0" applyNumberFormat="1" applyFont="1" applyFill="1" applyBorder="1"/>
    <xf numFmtId="10" fontId="4" fillId="6" borderId="4" xfId="0" applyNumberFormat="1" applyFont="1" applyFill="1" applyBorder="1"/>
    <xf numFmtId="10" fontId="4" fillId="2" borderId="0" xfId="0" applyNumberFormat="1" applyFont="1" applyFill="1"/>
    <xf numFmtId="0" fontId="9" fillId="2" borderId="5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164" fontId="4" fillId="3" borderId="4" xfId="0" applyNumberFormat="1" applyFont="1" applyFill="1" applyBorder="1"/>
    <xf numFmtId="0" fontId="4" fillId="3" borderId="4" xfId="0" applyFont="1" applyFill="1" applyBorder="1"/>
    <xf numFmtId="44" fontId="4" fillId="3" borderId="4" xfId="1" applyFont="1" applyFill="1" applyBorder="1"/>
    <xf numFmtId="0" fontId="11" fillId="2" borderId="0" xfId="0" applyFont="1" applyFill="1"/>
    <xf numFmtId="0" fontId="10" fillId="2" borderId="0" xfId="0" applyFont="1" applyFill="1"/>
    <xf numFmtId="0" fontId="11" fillId="2" borderId="0" xfId="0" applyFont="1" applyFill="1" applyAlignment="1">
      <alignment horizontal="left" vertical="center" indent="1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9" defaultPivotStyle="PivotStyleLight16"/>
  <colors>
    <mruColors>
      <color rgb="FF2229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alcChain" Target="calcChain.xml"/><Relationship Id="rId5" Type="http://schemas.openxmlformats.org/officeDocument/2006/relationships/styles" Target="styles.xml"/><Relationship Id="rId10" Type="http://schemas.microsoft.com/office/2017/06/relationships/rdRichValueTypes" Target="richData/rdRichValueTypes.xml"/><Relationship Id="rId4" Type="http://schemas.openxmlformats.org/officeDocument/2006/relationships/theme" Target="theme/theme1.xml"/><Relationship Id="rId9" Type="http://schemas.microsoft.com/office/2017/06/relationships/rdRichValueStructure" Target="richData/rdrichvaluestructure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</xdr:col>
      <xdr:colOff>1784475</xdr:colOff>
      <xdr:row>9</xdr:row>
      <xdr:rowOff>54997</xdr:rowOff>
    </xdr:to>
    <xdr:pic>
      <xdr:nvPicPr>
        <xdr:cNvPr id="2" name="image3.png" title="Image">
          <a:extLst>
            <a:ext uri="{FF2B5EF4-FFF2-40B4-BE49-F238E27FC236}">
              <a16:creationId xmlns:a16="http://schemas.microsoft.com/office/drawing/2014/main" id="{06B6E809-3CE8-4C8C-AB85-B551E3CF5B0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6814705" cy="1723159"/>
        </a:xfrm>
        <a:prstGeom prst="rect">
          <a:avLst/>
        </a:prstGeom>
        <a:noFill/>
      </xdr:spPr>
    </xdr:pic>
    <xdr:clientData/>
  </xdr:twoCellAnchor>
  <xdr:twoCellAnchor editAs="absolute">
    <xdr:from>
      <xdr:col>1</xdr:col>
      <xdr:colOff>1560040</xdr:colOff>
      <xdr:row>0</xdr:row>
      <xdr:rowOff>0</xdr:rowOff>
    </xdr:from>
    <xdr:to>
      <xdr:col>2</xdr:col>
      <xdr:colOff>4298769</xdr:colOff>
      <xdr:row>9</xdr:row>
      <xdr:rowOff>72315</xdr:rowOff>
    </xdr:to>
    <xdr:pic>
      <xdr:nvPicPr>
        <xdr:cNvPr id="4" name="image1.png" title="Image">
          <a:extLst>
            <a:ext uri="{FF2B5EF4-FFF2-40B4-BE49-F238E27FC236}">
              <a16:creationId xmlns:a16="http://schemas.microsoft.com/office/drawing/2014/main" id="{CE27E3AC-9CBF-47E9-84B3-9407940A7EC5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590270" y="0"/>
          <a:ext cx="7533408" cy="1740477"/>
        </a:xfrm>
        <a:prstGeom prst="rect">
          <a:avLst/>
        </a:prstGeom>
        <a:noFill/>
      </xdr:spPr>
    </xdr:pic>
    <xdr:clientData/>
  </xdr:twoCellAnchor>
  <xdr:twoCellAnchor editAs="absolute">
    <xdr:from>
      <xdr:col>2</xdr:col>
      <xdr:colOff>3638807</xdr:colOff>
      <xdr:row>0</xdr:row>
      <xdr:rowOff>0</xdr:rowOff>
    </xdr:from>
    <xdr:to>
      <xdr:col>4</xdr:col>
      <xdr:colOff>1378199</xdr:colOff>
      <xdr:row>9</xdr:row>
      <xdr:rowOff>72315</xdr:rowOff>
    </xdr:to>
    <xdr:pic>
      <xdr:nvPicPr>
        <xdr:cNvPr id="5" name="image1.png" title="Image">
          <a:extLst>
            <a:ext uri="{FF2B5EF4-FFF2-40B4-BE49-F238E27FC236}">
              <a16:creationId xmlns:a16="http://schemas.microsoft.com/office/drawing/2014/main" id="{EE0695A8-A856-44FD-B408-8BD5BBB579FB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3627185" y="0"/>
          <a:ext cx="7727771" cy="1740477"/>
        </a:xfrm>
        <a:prstGeom prst="rect">
          <a:avLst/>
        </a:prstGeom>
        <a:noFill/>
      </xdr:spPr>
    </xdr:pic>
    <xdr:clientData/>
  </xdr:twoCellAnchor>
  <xdr:twoCellAnchor editAs="absolute">
    <xdr:from>
      <xdr:col>0</xdr:col>
      <xdr:colOff>0</xdr:colOff>
      <xdr:row>50</xdr:row>
      <xdr:rowOff>142874</xdr:rowOff>
    </xdr:from>
    <xdr:to>
      <xdr:col>1</xdr:col>
      <xdr:colOff>2503178</xdr:colOff>
      <xdr:row>60</xdr:row>
      <xdr:rowOff>29838</xdr:rowOff>
    </xdr:to>
    <xdr:pic>
      <xdr:nvPicPr>
        <xdr:cNvPr id="6" name="image1.png" title="Image">
          <a:extLst>
            <a:ext uri="{FF2B5EF4-FFF2-40B4-BE49-F238E27FC236}">
              <a16:creationId xmlns:a16="http://schemas.microsoft.com/office/drawing/2014/main" id="{3F34F465-CF57-406B-9A1F-41307A712C7C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10173730"/>
          <a:ext cx="7533408" cy="1740477"/>
        </a:xfrm>
        <a:prstGeom prst="rect">
          <a:avLst/>
        </a:prstGeom>
        <a:noFill/>
      </xdr:spPr>
    </xdr:pic>
    <xdr:clientData/>
  </xdr:twoCellAnchor>
  <xdr:twoCellAnchor editAs="absolute">
    <xdr:from>
      <xdr:col>1</xdr:col>
      <xdr:colOff>2239662</xdr:colOff>
      <xdr:row>50</xdr:row>
      <xdr:rowOff>148023</xdr:rowOff>
    </xdr:from>
    <xdr:to>
      <xdr:col>2</xdr:col>
      <xdr:colOff>4978391</xdr:colOff>
      <xdr:row>60</xdr:row>
      <xdr:rowOff>40135</xdr:rowOff>
    </xdr:to>
    <xdr:pic>
      <xdr:nvPicPr>
        <xdr:cNvPr id="7" name="image1.png" title="Image">
          <a:extLst>
            <a:ext uri="{FF2B5EF4-FFF2-40B4-BE49-F238E27FC236}">
              <a16:creationId xmlns:a16="http://schemas.microsoft.com/office/drawing/2014/main" id="{93DB9745-5BCB-457E-84D3-F7E9C6979C76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269892" y="10184027"/>
          <a:ext cx="7533408" cy="1740477"/>
        </a:xfrm>
        <a:prstGeom prst="rect">
          <a:avLst/>
        </a:prstGeom>
        <a:noFill/>
      </xdr:spPr>
    </xdr:pic>
    <xdr:clientData/>
  </xdr:twoCellAnchor>
  <xdr:twoCellAnchor editAs="absolute">
    <xdr:from>
      <xdr:col>2</xdr:col>
      <xdr:colOff>765862</xdr:colOff>
      <xdr:row>50</xdr:row>
      <xdr:rowOff>148023</xdr:rowOff>
    </xdr:from>
    <xdr:to>
      <xdr:col>3</xdr:col>
      <xdr:colOff>3499443</xdr:colOff>
      <xdr:row>60</xdr:row>
      <xdr:rowOff>40135</xdr:rowOff>
    </xdr:to>
    <xdr:pic>
      <xdr:nvPicPr>
        <xdr:cNvPr id="8" name="image1.png" title="Image">
          <a:extLst>
            <a:ext uri="{FF2B5EF4-FFF2-40B4-BE49-F238E27FC236}">
              <a16:creationId xmlns:a16="http://schemas.microsoft.com/office/drawing/2014/main" id="{2BA4CD31-7A08-49C2-8EB3-64193BB06886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0729784" y="10184027"/>
          <a:ext cx="7533408" cy="1740477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61784</xdr:colOff>
      <xdr:row>51</xdr:row>
      <xdr:rowOff>66315</xdr:rowOff>
    </xdr:from>
    <xdr:to>
      <xdr:col>0</xdr:col>
      <xdr:colOff>606349</xdr:colOff>
      <xdr:row>54</xdr:row>
      <xdr:rowOff>65717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3C0CF3B-7B53-CD28-090A-188700653B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784" y="10250342"/>
          <a:ext cx="544565" cy="555456"/>
        </a:xfrm>
        <a:prstGeom prst="rect">
          <a:avLst/>
        </a:prstGeom>
      </xdr:spPr>
    </xdr:pic>
    <xdr:clientData/>
  </xdr:twoCellAnchor>
  <xdr:twoCellAnchor editAs="absolute">
    <xdr:from>
      <xdr:col>4</xdr:col>
      <xdr:colOff>1101810</xdr:colOff>
      <xdr:row>0</xdr:row>
      <xdr:rowOff>0</xdr:rowOff>
    </xdr:from>
    <xdr:to>
      <xdr:col>5</xdr:col>
      <xdr:colOff>3835392</xdr:colOff>
      <xdr:row>9</xdr:row>
      <xdr:rowOff>72315</xdr:rowOff>
    </xdr:to>
    <xdr:pic>
      <xdr:nvPicPr>
        <xdr:cNvPr id="9" name="image1.png" title="Image">
          <a:extLst>
            <a:ext uri="{FF2B5EF4-FFF2-40B4-BE49-F238E27FC236}">
              <a16:creationId xmlns:a16="http://schemas.microsoft.com/office/drawing/2014/main" id="{79496D61-EB66-47CD-8137-DFD322F479A2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1078567" y="0"/>
          <a:ext cx="7727771" cy="1740477"/>
        </a:xfrm>
        <a:prstGeom prst="rect">
          <a:avLst/>
        </a:prstGeom>
        <a:noFill/>
      </xdr:spPr>
    </xdr:pic>
    <xdr:clientData/>
  </xdr:twoCellAnchor>
  <xdr:twoCellAnchor editAs="absolute">
    <xdr:from>
      <xdr:col>5</xdr:col>
      <xdr:colOff>3573162</xdr:colOff>
      <xdr:row>0</xdr:row>
      <xdr:rowOff>0</xdr:rowOff>
    </xdr:from>
    <xdr:to>
      <xdr:col>7</xdr:col>
      <xdr:colOff>1312555</xdr:colOff>
      <xdr:row>9</xdr:row>
      <xdr:rowOff>72315</xdr:rowOff>
    </xdr:to>
    <xdr:pic>
      <xdr:nvPicPr>
        <xdr:cNvPr id="10" name="image1.png" title="Image">
          <a:extLst>
            <a:ext uri="{FF2B5EF4-FFF2-40B4-BE49-F238E27FC236}">
              <a16:creationId xmlns:a16="http://schemas.microsoft.com/office/drawing/2014/main" id="{46A22035-9E08-4E05-A375-60B6974DD4BC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8544108" y="0"/>
          <a:ext cx="7727771" cy="1740477"/>
        </a:xfrm>
        <a:prstGeom prst="rect">
          <a:avLst/>
        </a:prstGeom>
        <a:noFill/>
      </xdr:spPr>
    </xdr:pic>
    <xdr:clientData/>
  </xdr:twoCellAnchor>
  <xdr:twoCellAnchor editAs="absolute">
    <xdr:from>
      <xdr:col>7</xdr:col>
      <xdr:colOff>1040028</xdr:colOff>
      <xdr:row>0</xdr:row>
      <xdr:rowOff>0</xdr:rowOff>
    </xdr:from>
    <xdr:to>
      <xdr:col>8</xdr:col>
      <xdr:colOff>3773609</xdr:colOff>
      <xdr:row>9</xdr:row>
      <xdr:rowOff>72315</xdr:rowOff>
    </xdr:to>
    <xdr:pic>
      <xdr:nvPicPr>
        <xdr:cNvPr id="11" name="image1.png" title="Image">
          <a:extLst>
            <a:ext uri="{FF2B5EF4-FFF2-40B4-BE49-F238E27FC236}">
              <a16:creationId xmlns:a16="http://schemas.microsoft.com/office/drawing/2014/main" id="{98F8DAE0-DB75-4494-9C4B-CB96CC4944BA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5999352" y="0"/>
          <a:ext cx="7727771" cy="1740477"/>
        </a:xfrm>
        <a:prstGeom prst="rect">
          <a:avLst/>
        </a:prstGeom>
        <a:noFill/>
      </xdr:spPr>
    </xdr:pic>
    <xdr:clientData/>
  </xdr:twoCellAnchor>
  <xdr:twoCellAnchor editAs="absolute">
    <xdr:from>
      <xdr:col>8</xdr:col>
      <xdr:colOff>3480486</xdr:colOff>
      <xdr:row>0</xdr:row>
      <xdr:rowOff>0</xdr:rowOff>
    </xdr:from>
    <xdr:to>
      <xdr:col>10</xdr:col>
      <xdr:colOff>1219879</xdr:colOff>
      <xdr:row>9</xdr:row>
      <xdr:rowOff>72315</xdr:rowOff>
    </xdr:to>
    <xdr:pic>
      <xdr:nvPicPr>
        <xdr:cNvPr id="12" name="image1.png" title="Image">
          <a:extLst>
            <a:ext uri="{FF2B5EF4-FFF2-40B4-BE49-F238E27FC236}">
              <a16:creationId xmlns:a16="http://schemas.microsoft.com/office/drawing/2014/main" id="{248EBF3E-7DB2-4922-A9F5-88C8B7E58581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3434000" y="0"/>
          <a:ext cx="7727771" cy="1740477"/>
        </a:xfrm>
        <a:prstGeom prst="rect">
          <a:avLst/>
        </a:prstGeom>
        <a:noFill/>
      </xdr:spPr>
    </xdr:pic>
    <xdr:clientData/>
  </xdr:twoCellAnchor>
  <xdr:twoCellAnchor editAs="absolute">
    <xdr:from>
      <xdr:col>9</xdr:col>
      <xdr:colOff>2409567</xdr:colOff>
      <xdr:row>0</xdr:row>
      <xdr:rowOff>0</xdr:rowOff>
    </xdr:from>
    <xdr:to>
      <xdr:col>10</xdr:col>
      <xdr:colOff>5143149</xdr:colOff>
      <xdr:row>9</xdr:row>
      <xdr:rowOff>72315</xdr:rowOff>
    </xdr:to>
    <xdr:pic>
      <xdr:nvPicPr>
        <xdr:cNvPr id="13" name="image1.png" title="Image">
          <a:extLst>
            <a:ext uri="{FF2B5EF4-FFF2-40B4-BE49-F238E27FC236}">
              <a16:creationId xmlns:a16="http://schemas.microsoft.com/office/drawing/2014/main" id="{A633EB8D-9FBA-4A58-829C-154B93C35C56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7357270" y="0"/>
          <a:ext cx="7727771" cy="1740477"/>
        </a:xfrm>
        <a:prstGeom prst="rect">
          <a:avLst/>
        </a:prstGeom>
        <a:noFill/>
      </xdr:spPr>
    </xdr:pic>
    <xdr:clientData/>
  </xdr:twoCellAnchor>
  <xdr:twoCellAnchor editAs="absolute">
    <xdr:from>
      <xdr:col>3</xdr:col>
      <xdr:colOff>3223054</xdr:colOff>
      <xdr:row>50</xdr:row>
      <xdr:rowOff>133865</xdr:rowOff>
    </xdr:from>
    <xdr:to>
      <xdr:col>5</xdr:col>
      <xdr:colOff>962447</xdr:colOff>
      <xdr:row>60</xdr:row>
      <xdr:rowOff>25977</xdr:rowOff>
    </xdr:to>
    <xdr:pic>
      <xdr:nvPicPr>
        <xdr:cNvPr id="14" name="image1.png" title="Image">
          <a:extLst>
            <a:ext uri="{FF2B5EF4-FFF2-40B4-BE49-F238E27FC236}">
              <a16:creationId xmlns:a16="http://schemas.microsoft.com/office/drawing/2014/main" id="{4B7855A9-3AF2-47F0-A81C-C59BA70E2D24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8205622" y="10132541"/>
          <a:ext cx="7727771" cy="1745625"/>
        </a:xfrm>
        <a:prstGeom prst="rect">
          <a:avLst/>
        </a:prstGeom>
        <a:noFill/>
      </xdr:spPr>
    </xdr:pic>
    <xdr:clientData/>
  </xdr:twoCellAnchor>
  <xdr:twoCellAnchor editAs="absolute">
    <xdr:from>
      <xdr:col>5</xdr:col>
      <xdr:colOff>679622</xdr:colOff>
      <xdr:row>50</xdr:row>
      <xdr:rowOff>133865</xdr:rowOff>
    </xdr:from>
    <xdr:to>
      <xdr:col>6</xdr:col>
      <xdr:colOff>3413204</xdr:colOff>
      <xdr:row>60</xdr:row>
      <xdr:rowOff>25977</xdr:rowOff>
    </xdr:to>
    <xdr:pic>
      <xdr:nvPicPr>
        <xdr:cNvPr id="15" name="image1.png" title="Image">
          <a:extLst>
            <a:ext uri="{FF2B5EF4-FFF2-40B4-BE49-F238E27FC236}">
              <a16:creationId xmlns:a16="http://schemas.microsoft.com/office/drawing/2014/main" id="{518A0864-643B-4799-B943-1E09DD7E349C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5650568" y="10132541"/>
          <a:ext cx="7727771" cy="1745625"/>
        </a:xfrm>
        <a:prstGeom prst="rect">
          <a:avLst/>
        </a:prstGeom>
        <a:noFill/>
      </xdr:spPr>
    </xdr:pic>
    <xdr:clientData/>
  </xdr:twoCellAnchor>
  <xdr:twoCellAnchor editAs="absolute">
    <xdr:from>
      <xdr:col>6</xdr:col>
      <xdr:colOff>3130378</xdr:colOff>
      <xdr:row>50</xdr:row>
      <xdr:rowOff>123568</xdr:rowOff>
    </xdr:from>
    <xdr:to>
      <xdr:col>8</xdr:col>
      <xdr:colOff>869770</xdr:colOff>
      <xdr:row>60</xdr:row>
      <xdr:rowOff>15680</xdr:rowOff>
    </xdr:to>
    <xdr:pic>
      <xdr:nvPicPr>
        <xdr:cNvPr id="16" name="image1.png" title="Image">
          <a:extLst>
            <a:ext uri="{FF2B5EF4-FFF2-40B4-BE49-F238E27FC236}">
              <a16:creationId xmlns:a16="http://schemas.microsoft.com/office/drawing/2014/main" id="{71E288FA-983A-4633-A180-1309F8C04AE8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3095513" y="10122244"/>
          <a:ext cx="7727771" cy="1745625"/>
        </a:xfrm>
        <a:prstGeom prst="rect">
          <a:avLst/>
        </a:prstGeom>
        <a:noFill/>
      </xdr:spPr>
    </xdr:pic>
    <xdr:clientData/>
  </xdr:twoCellAnchor>
  <xdr:twoCellAnchor editAs="absolute">
    <xdr:from>
      <xdr:col>8</xdr:col>
      <xdr:colOff>586946</xdr:colOff>
      <xdr:row>50</xdr:row>
      <xdr:rowOff>113270</xdr:rowOff>
    </xdr:from>
    <xdr:to>
      <xdr:col>9</xdr:col>
      <xdr:colOff>3320528</xdr:colOff>
      <xdr:row>60</xdr:row>
      <xdr:rowOff>5382</xdr:rowOff>
    </xdr:to>
    <xdr:pic>
      <xdr:nvPicPr>
        <xdr:cNvPr id="17" name="image1.png" title="Image">
          <a:extLst>
            <a:ext uri="{FF2B5EF4-FFF2-40B4-BE49-F238E27FC236}">
              <a16:creationId xmlns:a16="http://schemas.microsoft.com/office/drawing/2014/main" id="{ADC505B4-5AB6-4523-B3AF-21D99196ECF9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0540460" y="10111946"/>
          <a:ext cx="7727771" cy="1745625"/>
        </a:xfrm>
        <a:prstGeom prst="rect">
          <a:avLst/>
        </a:prstGeom>
        <a:noFill/>
      </xdr:spPr>
    </xdr:pic>
    <xdr:clientData/>
  </xdr:twoCellAnchor>
  <xdr:twoCellAnchor editAs="absolute">
    <xdr:from>
      <xdr:col>9</xdr:col>
      <xdr:colOff>2265405</xdr:colOff>
      <xdr:row>50</xdr:row>
      <xdr:rowOff>113269</xdr:rowOff>
    </xdr:from>
    <xdr:to>
      <xdr:col>10</xdr:col>
      <xdr:colOff>4998987</xdr:colOff>
      <xdr:row>60</xdr:row>
      <xdr:rowOff>5381</xdr:rowOff>
    </xdr:to>
    <xdr:pic>
      <xdr:nvPicPr>
        <xdr:cNvPr id="18" name="image1.png" title="Image">
          <a:extLst>
            <a:ext uri="{FF2B5EF4-FFF2-40B4-BE49-F238E27FC236}">
              <a16:creationId xmlns:a16="http://schemas.microsoft.com/office/drawing/2014/main" id="{73DCA207-BB59-4344-9BBC-DCE8E1AE59D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7213108" y="10111945"/>
          <a:ext cx="7727771" cy="1745625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2</xdr:col>
      <xdr:colOff>8191</xdr:colOff>
      <xdr:row>9</xdr:row>
      <xdr:rowOff>54997</xdr:rowOff>
    </xdr:to>
    <xdr:pic>
      <xdr:nvPicPr>
        <xdr:cNvPr id="2" name="image3.png" title="Image">
          <a:extLst>
            <a:ext uri="{FF2B5EF4-FFF2-40B4-BE49-F238E27FC236}">
              <a16:creationId xmlns:a16="http://schemas.microsoft.com/office/drawing/2014/main" id="{36F5AE3D-B592-4C96-B0EF-5E2C8204C25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6811204" cy="1700917"/>
        </a:xfrm>
        <a:prstGeom prst="rect">
          <a:avLst/>
        </a:prstGeom>
        <a:noFill/>
      </xdr:spPr>
    </xdr:pic>
    <xdr:clientData/>
  </xdr:twoCellAnchor>
  <xdr:twoCellAnchor editAs="absolute">
    <xdr:from>
      <xdr:col>1</xdr:col>
      <xdr:colOff>1984803</xdr:colOff>
      <xdr:row>0</xdr:row>
      <xdr:rowOff>0</xdr:rowOff>
    </xdr:from>
    <xdr:to>
      <xdr:col>7</xdr:col>
      <xdr:colOff>408964</xdr:colOff>
      <xdr:row>9</xdr:row>
      <xdr:rowOff>72315</xdr:rowOff>
    </xdr:to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65F67104-F449-4AD8-9EC1-C75B25DE825D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586769" y="0"/>
          <a:ext cx="7534232" cy="1718235"/>
        </a:xfrm>
        <a:prstGeom prst="rect">
          <a:avLst/>
        </a:prstGeom>
        <a:noFill/>
      </xdr:spPr>
    </xdr:pic>
    <xdr:clientData/>
  </xdr:twoCellAnchor>
  <xdr:twoCellAnchor editAs="absolute">
    <xdr:from>
      <xdr:col>0</xdr:col>
      <xdr:colOff>0</xdr:colOff>
      <xdr:row>50</xdr:row>
      <xdr:rowOff>101684</xdr:rowOff>
    </xdr:from>
    <xdr:to>
      <xdr:col>3</xdr:col>
      <xdr:colOff>119354</xdr:colOff>
      <xdr:row>59</xdr:row>
      <xdr:rowOff>168851</xdr:rowOff>
    </xdr:to>
    <xdr:pic>
      <xdr:nvPicPr>
        <xdr:cNvPr id="5" name="image1.png" title="Image">
          <a:extLst>
            <a:ext uri="{FF2B5EF4-FFF2-40B4-BE49-F238E27FC236}">
              <a16:creationId xmlns:a16="http://schemas.microsoft.com/office/drawing/2014/main" id="{875EDCF5-6764-472B-9C5F-0AC0C07541EA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10132540"/>
          <a:ext cx="7533408" cy="1740477"/>
        </a:xfrm>
        <a:prstGeom prst="rect">
          <a:avLst/>
        </a:prstGeom>
        <a:noFill/>
      </xdr:spPr>
    </xdr:pic>
    <xdr:clientData/>
  </xdr:twoCellAnchor>
  <xdr:twoCellAnchor editAs="absolute">
    <xdr:from>
      <xdr:col>2</xdr:col>
      <xdr:colOff>495558</xdr:colOff>
      <xdr:row>50</xdr:row>
      <xdr:rowOff>111982</xdr:rowOff>
    </xdr:from>
    <xdr:to>
      <xdr:col>8</xdr:col>
      <xdr:colOff>470750</xdr:colOff>
      <xdr:row>59</xdr:row>
      <xdr:rowOff>179149</xdr:rowOff>
    </xdr:to>
    <xdr:pic>
      <xdr:nvPicPr>
        <xdr:cNvPr id="6" name="image1.png" title="Image">
          <a:extLst>
            <a:ext uri="{FF2B5EF4-FFF2-40B4-BE49-F238E27FC236}">
              <a16:creationId xmlns:a16="http://schemas.microsoft.com/office/drawing/2014/main" id="{BCCA4663-715C-446F-8854-2E779D0947B5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259595" y="10142838"/>
          <a:ext cx="7533408" cy="1740477"/>
        </a:xfrm>
        <a:prstGeom prst="rect">
          <a:avLst/>
        </a:prstGeom>
        <a:noFill/>
      </xdr:spPr>
    </xdr:pic>
    <xdr:clientData/>
  </xdr:twoCellAnchor>
  <xdr:twoCellAnchor editAs="absolute">
    <xdr:from>
      <xdr:col>5</xdr:col>
      <xdr:colOff>2481650</xdr:colOff>
      <xdr:row>50</xdr:row>
      <xdr:rowOff>111983</xdr:rowOff>
    </xdr:from>
    <xdr:to>
      <xdr:col>15</xdr:col>
      <xdr:colOff>6085</xdr:colOff>
      <xdr:row>59</xdr:row>
      <xdr:rowOff>179150</xdr:rowOff>
    </xdr:to>
    <xdr:pic>
      <xdr:nvPicPr>
        <xdr:cNvPr id="7" name="image1.png" title="Image">
          <a:extLst>
            <a:ext uri="{FF2B5EF4-FFF2-40B4-BE49-F238E27FC236}">
              <a16:creationId xmlns:a16="http://schemas.microsoft.com/office/drawing/2014/main" id="{73B49BC5-2958-4C2A-9091-873C7D91957B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1151974" y="10110659"/>
          <a:ext cx="7677570" cy="1735329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102973</xdr:colOff>
      <xdr:row>51</xdr:row>
      <xdr:rowOff>41188</xdr:rowOff>
    </xdr:from>
    <xdr:to>
      <xdr:col>0</xdr:col>
      <xdr:colOff>647538</xdr:colOff>
      <xdr:row>54</xdr:row>
      <xdr:rowOff>40590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F328311-B704-42E8-A841-14681923E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2973" y="10225215"/>
          <a:ext cx="544565" cy="555456"/>
        </a:xfrm>
        <a:prstGeom prst="rect">
          <a:avLst/>
        </a:prstGeom>
      </xdr:spPr>
    </xdr:pic>
    <xdr:clientData/>
  </xdr:twoCellAnchor>
  <xdr:twoCellAnchor editAs="absolute">
    <xdr:from>
      <xdr:col>5</xdr:col>
      <xdr:colOff>2594920</xdr:colOff>
      <xdr:row>0</xdr:row>
      <xdr:rowOff>0</xdr:rowOff>
    </xdr:from>
    <xdr:to>
      <xdr:col>14</xdr:col>
      <xdr:colOff>617486</xdr:colOff>
      <xdr:row>9</xdr:row>
      <xdr:rowOff>72315</xdr:rowOff>
    </xdr:to>
    <xdr:pic>
      <xdr:nvPicPr>
        <xdr:cNvPr id="9" name="image1.png" title="Image">
          <a:extLst>
            <a:ext uri="{FF2B5EF4-FFF2-40B4-BE49-F238E27FC236}">
              <a16:creationId xmlns:a16="http://schemas.microsoft.com/office/drawing/2014/main" id="{414CA577-0C38-4395-A09D-7697AAEDC172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1265244" y="0"/>
          <a:ext cx="7547566" cy="1740477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6971348" cy="1510665"/>
    <xdr:pic>
      <xdr:nvPicPr>
        <xdr:cNvPr id="2" name="image3.png" title="Image">
          <a:extLst>
            <a:ext uri="{FF2B5EF4-FFF2-40B4-BE49-F238E27FC236}">
              <a16:creationId xmlns:a16="http://schemas.microsoft.com/office/drawing/2014/main" id="{5CCD5F53-BFD6-4FE5-9868-F16E6A9B329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6971348" cy="1510665"/>
        </a:xfrm>
        <a:prstGeom prst="rect">
          <a:avLst/>
        </a:prstGeom>
        <a:noFill/>
      </xdr:spPr>
    </xdr:pic>
    <xdr:clientData/>
  </xdr:absoluteAnchor>
  <xdr:absoluteAnchor>
    <xdr:pos x="6735129" y="0"/>
    <xdr:ext cx="7934325" cy="1518285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A61DA268-B503-4622-BE3A-613A0E6D16CA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735129" y="0"/>
          <a:ext cx="7934325" cy="1518285"/>
        </a:xfrm>
        <a:prstGeom prst="rect">
          <a:avLst/>
        </a:prstGeom>
        <a:noFill/>
      </xdr:spPr>
    </xdr:pic>
    <xdr:clientData/>
  </xdr:absoluteAnchor>
  <xdr:absoluteAnchor>
    <xdr:pos x="13983653" y="0"/>
    <xdr:ext cx="7985760" cy="1518285"/>
    <xdr:pic>
      <xdr:nvPicPr>
        <xdr:cNvPr id="4" name="image1.png" title="Image">
          <a:extLst>
            <a:ext uri="{FF2B5EF4-FFF2-40B4-BE49-F238E27FC236}">
              <a16:creationId xmlns:a16="http://schemas.microsoft.com/office/drawing/2014/main" id="{4176AD51-571D-455B-9313-93AF05BBF5AE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3983653" y="0"/>
          <a:ext cx="7985760" cy="1518285"/>
        </a:xfrm>
        <a:prstGeom prst="rect">
          <a:avLst/>
        </a:prstGeom>
        <a:noFill/>
      </xdr:spPr>
    </xdr:pic>
    <xdr:clientData/>
  </xdr:absoluteAnchor>
  <xdr:twoCellAnchor editAs="oneCell">
    <xdr:from>
      <xdr:col>0</xdr:col>
      <xdr:colOff>83820</xdr:colOff>
      <xdr:row>148</xdr:row>
      <xdr:rowOff>60960</xdr:rowOff>
    </xdr:from>
    <xdr:to>
      <xdr:col>0</xdr:col>
      <xdr:colOff>628385</xdr:colOff>
      <xdr:row>151</xdr:row>
      <xdr:rowOff>67776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489A03F-5D65-4ACB-A34B-BF93620706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3820" y="27652980"/>
          <a:ext cx="544565" cy="555456"/>
        </a:xfrm>
        <a:prstGeom prst="rect">
          <a:avLst/>
        </a:prstGeom>
      </xdr:spPr>
    </xdr:pic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/>
    <v>2</v>
    <v>4</v>
    <v>5</v>
  </rv>
  <rv s="1">
    <v>2</v>
    <v>1</v>
    <v>1</v>
    <v>13</v>
  </rv>
</rvData>
</file>

<file path=xl/richData/rdrichvaluestructure.xml><?xml version="1.0" encoding="utf-8"?>
<rvStructures xmlns="http://schemas.microsoft.com/office/spreadsheetml/2017/richdata" count="2">
  <s t="_error">
    <k n="argument" t="s"/>
    <k n="errorType" t="i"/>
    <k n="ptg" t="i"/>
    <k n="subType" t="i"/>
  </s>
  <s t="_error">
    <k n="errorType" t="i"/>
    <k n="iftab" t="i"/>
    <k n="propagated" t="b"/>
    <k n="ptg" t="i"/>
  </s>
</rvStructur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yscapgroup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5"/>
  <sheetViews>
    <sheetView tabSelected="1" zoomScale="74" zoomScaleNormal="80" workbookViewId="0">
      <selection activeCell="B18" sqref="B18"/>
    </sheetView>
  </sheetViews>
  <sheetFormatPr defaultColWidth="72.88671875" defaultRowHeight="14.4" x14ac:dyDescent="0.3"/>
  <cols>
    <col min="1" max="10" width="72.88671875" style="21"/>
    <col min="11" max="11" width="76" style="21" customWidth="1"/>
    <col min="12" max="16384" width="72.88671875" style="21"/>
  </cols>
  <sheetData>
    <row r="1" spans="1:11" x14ac:dyDescent="0.3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11" x14ac:dyDescent="0.3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</row>
    <row r="3" spans="1:11" x14ac:dyDescent="0.3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</row>
    <row r="4" spans="1:11" x14ac:dyDescent="0.3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</row>
    <row r="5" spans="1:11" x14ac:dyDescent="0.3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</row>
    <row r="6" spans="1:11" x14ac:dyDescent="0.3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</row>
    <row r="7" spans="1:11" x14ac:dyDescent="0.3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</row>
    <row r="8" spans="1:11" x14ac:dyDescent="0.3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</row>
    <row r="9" spans="1:11" x14ac:dyDescent="0.3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3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</row>
    <row r="11" spans="1:11" x14ac:dyDescent="0.3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</row>
    <row r="12" spans="1:11" x14ac:dyDescent="0.3">
      <c r="A12" s="22" t="s">
        <v>23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5" thickBot="1" x14ac:dyDescent="0.35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27" thickBot="1" x14ac:dyDescent="0.6">
      <c r="A14" s="1" t="s">
        <v>24</v>
      </c>
      <c r="B14" s="24"/>
      <c r="C14" s="23"/>
      <c r="D14" s="20"/>
      <c r="E14" s="20"/>
      <c r="F14" s="20"/>
      <c r="G14" s="20"/>
      <c r="H14" s="20"/>
      <c r="I14" s="20"/>
      <c r="J14" s="20"/>
      <c r="K14" s="20"/>
    </row>
    <row r="15" spans="1:11" x14ac:dyDescent="0.3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5" thickBot="1" x14ac:dyDescent="0.35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5" thickBot="1" x14ac:dyDescent="0.35">
      <c r="A17" s="25" t="s">
        <v>0</v>
      </c>
      <c r="B17" s="26"/>
      <c r="C17" s="20"/>
      <c r="D17" s="20"/>
      <c r="E17" s="20"/>
      <c r="F17" s="27"/>
      <c r="G17" s="20"/>
      <c r="H17" s="20"/>
      <c r="I17" s="20"/>
      <c r="J17" s="20"/>
      <c r="K17" s="20"/>
    </row>
    <row r="18" spans="1:11" x14ac:dyDescent="0.3">
      <c r="A18" s="28" t="s">
        <v>1</v>
      </c>
      <c r="B18" s="29"/>
      <c r="C18" s="20"/>
      <c r="D18" s="20"/>
      <c r="E18" s="20"/>
      <c r="F18" s="20"/>
      <c r="G18" s="30"/>
      <c r="H18" s="20"/>
      <c r="I18" s="20"/>
      <c r="J18" s="20"/>
      <c r="K18" s="20"/>
    </row>
    <row r="19" spans="1:11" x14ac:dyDescent="0.3">
      <c r="A19" s="28" t="s">
        <v>2</v>
      </c>
      <c r="B19" s="31"/>
      <c r="C19" s="20"/>
      <c r="D19" s="20"/>
      <c r="E19" s="20"/>
      <c r="F19" s="20"/>
      <c r="G19" s="20"/>
      <c r="H19" s="20"/>
      <c r="I19" s="20"/>
      <c r="J19" s="20"/>
      <c r="K19" s="20"/>
    </row>
    <row r="20" spans="1:11" x14ac:dyDescent="0.3">
      <c r="A20" s="28" t="s">
        <v>3</v>
      </c>
      <c r="B20" s="31"/>
      <c r="C20" s="20"/>
      <c r="D20" s="20"/>
      <c r="E20" s="20"/>
      <c r="F20" s="20"/>
      <c r="G20" s="20"/>
      <c r="H20" s="20"/>
      <c r="I20" s="20"/>
      <c r="J20" s="20"/>
      <c r="K20" s="20"/>
    </row>
    <row r="21" spans="1:11" x14ac:dyDescent="0.3">
      <c r="A21" s="28" t="s">
        <v>22</v>
      </c>
      <c r="B21" s="29"/>
      <c r="C21" s="20"/>
      <c r="D21" s="20"/>
      <c r="E21" s="20"/>
      <c r="F21" s="20"/>
      <c r="G21" s="30"/>
      <c r="H21" s="20"/>
      <c r="I21" s="20"/>
      <c r="J21" s="20"/>
      <c r="K21" s="20"/>
    </row>
    <row r="22" spans="1:11" x14ac:dyDescent="0.3">
      <c r="A22" s="28" t="s">
        <v>4</v>
      </c>
      <c r="B22" s="31"/>
      <c r="C22" s="20"/>
      <c r="D22" s="20"/>
      <c r="E22" s="20"/>
      <c r="F22" s="20"/>
      <c r="G22" s="20"/>
      <c r="H22" s="20"/>
      <c r="I22" s="20"/>
      <c r="J22" s="20"/>
      <c r="K22" s="20"/>
    </row>
    <row r="23" spans="1:11" x14ac:dyDescent="0.3">
      <c r="A23" s="28" t="s">
        <v>5</v>
      </c>
      <c r="B23" s="31"/>
      <c r="C23" s="20"/>
      <c r="D23" s="20"/>
      <c r="E23" s="20"/>
      <c r="F23" s="20"/>
      <c r="G23" s="20"/>
      <c r="H23" s="20"/>
      <c r="I23" s="20"/>
      <c r="J23" s="20"/>
      <c r="K23" s="20"/>
    </row>
    <row r="24" spans="1:11" x14ac:dyDescent="0.3">
      <c r="A24" s="28" t="s">
        <v>18</v>
      </c>
      <c r="B24" s="29"/>
      <c r="C24" s="20"/>
      <c r="D24" s="20"/>
      <c r="E24" s="20"/>
      <c r="F24" s="20"/>
      <c r="G24" s="32"/>
      <c r="H24" s="20"/>
      <c r="I24" s="20"/>
      <c r="J24" s="20"/>
      <c r="K24" s="20"/>
    </row>
    <row r="25" spans="1:11" x14ac:dyDescent="0.3">
      <c r="A25" s="28" t="s">
        <v>19</v>
      </c>
      <c r="B25" s="31"/>
      <c r="C25" s="20"/>
      <c r="D25" s="20"/>
      <c r="E25" s="20"/>
      <c r="F25" s="20"/>
      <c r="G25" s="20"/>
      <c r="H25" s="20"/>
      <c r="I25" s="20"/>
      <c r="J25" s="20"/>
      <c r="K25" s="20"/>
    </row>
    <row r="26" spans="1:11" x14ac:dyDescent="0.3">
      <c r="A26" s="28" t="s">
        <v>20</v>
      </c>
      <c r="B26" s="31"/>
      <c r="C26" s="20"/>
      <c r="D26" s="20"/>
      <c r="E26" s="20"/>
      <c r="F26" s="20"/>
      <c r="G26" s="20"/>
      <c r="H26" s="20"/>
      <c r="I26" s="20"/>
      <c r="J26" s="20"/>
      <c r="K26" s="20"/>
    </row>
    <row r="27" spans="1:11" x14ac:dyDescent="0.3">
      <c r="A27" s="28" t="s">
        <v>6</v>
      </c>
      <c r="B27" s="33"/>
      <c r="C27" s="20"/>
      <c r="D27" s="20"/>
      <c r="E27" s="20"/>
      <c r="F27" s="20"/>
      <c r="G27" s="30"/>
      <c r="H27" s="20"/>
      <c r="I27" s="20"/>
      <c r="J27" s="20"/>
      <c r="K27" s="20"/>
    </row>
    <row r="28" spans="1:11" x14ac:dyDescent="0.3">
      <c r="A28" s="28" t="s">
        <v>7</v>
      </c>
      <c r="B28" s="31"/>
      <c r="C28" s="20"/>
      <c r="D28" s="20"/>
      <c r="E28" s="20"/>
      <c r="F28" s="20"/>
      <c r="G28" s="20"/>
      <c r="H28" s="20"/>
      <c r="I28" s="20"/>
      <c r="J28" s="20"/>
      <c r="K28" s="20"/>
    </row>
    <row r="29" spans="1:11" ht="15" thickBot="1" x14ac:dyDescent="0.35">
      <c r="A29" s="28" t="s">
        <v>8</v>
      </c>
      <c r="B29" s="31"/>
      <c r="C29" s="20"/>
      <c r="D29" s="20"/>
      <c r="E29" s="20"/>
      <c r="F29" s="20"/>
      <c r="G29" s="20"/>
      <c r="H29" s="20"/>
      <c r="I29" s="20"/>
      <c r="J29" s="20"/>
      <c r="K29" s="20"/>
    </row>
    <row r="30" spans="1:11" ht="15" thickBot="1" x14ac:dyDescent="0.35">
      <c r="A30" s="25" t="s">
        <v>9</v>
      </c>
      <c r="B30" s="23"/>
      <c r="C30" s="20"/>
      <c r="D30" s="20"/>
      <c r="E30" s="20"/>
      <c r="F30" s="20"/>
      <c r="G30" s="20"/>
      <c r="H30" s="20"/>
      <c r="I30" s="20"/>
      <c r="J30" s="20"/>
      <c r="K30" s="20"/>
    </row>
    <row r="31" spans="1:11" x14ac:dyDescent="0.3">
      <c r="A31" s="28" t="s">
        <v>10</v>
      </c>
      <c r="B31" s="34" t="str">
        <f>IF(AND(B18&gt;0,B19&gt;0,B20&gt;0), -PMT(B19/100/12, B20*12, B18), "")</f>
        <v/>
      </c>
      <c r="C31" s="20"/>
      <c r="D31" s="20"/>
      <c r="E31" s="20"/>
      <c r="F31" s="27"/>
      <c r="G31" s="20"/>
      <c r="H31" s="20"/>
      <c r="I31" s="20"/>
      <c r="J31" s="20"/>
      <c r="K31" s="20"/>
    </row>
    <row r="32" spans="1:11" x14ac:dyDescent="0.3">
      <c r="A32" s="28" t="s">
        <v>17</v>
      </c>
      <c r="B32" s="34" t="str">
        <f>IF(AND(B21&gt;0,B22&gt;0,B23&gt;0), -PMT(B22/100/12, B23*12, B21), "")</f>
        <v/>
      </c>
      <c r="C32" s="20"/>
      <c r="D32" s="20"/>
      <c r="E32" s="20"/>
      <c r="F32" s="20"/>
      <c r="G32" s="30"/>
      <c r="H32" s="20"/>
      <c r="I32" s="20"/>
      <c r="J32" s="20"/>
      <c r="K32" s="20"/>
    </row>
    <row r="33" spans="1:11" x14ac:dyDescent="0.3">
      <c r="A33" s="28" t="s">
        <v>21</v>
      </c>
      <c r="B33" s="34" t="str">
        <f>IF(AND(B24&gt;0,B25&gt;0), B24*B25/100/12, "")</f>
        <v/>
      </c>
      <c r="C33" s="20"/>
      <c r="D33" s="20"/>
      <c r="E33" s="20"/>
      <c r="F33" s="20"/>
      <c r="G33" s="30"/>
      <c r="H33" s="20"/>
      <c r="I33" s="20"/>
      <c r="J33" s="20"/>
      <c r="K33" s="20"/>
    </row>
    <row r="34" spans="1:11" ht="15" thickBot="1" x14ac:dyDescent="0.35">
      <c r="A34" s="28" t="s">
        <v>11</v>
      </c>
      <c r="B34" s="34" t="str">
        <f>IF(AND(B27&gt;0,B28&gt;0,B29&gt;0), -PMT(B28/100/12, B29*12, B27), "")</f>
        <v/>
      </c>
      <c r="C34" s="20"/>
      <c r="D34" s="20"/>
      <c r="E34" s="20"/>
      <c r="F34" s="20"/>
      <c r="G34" s="30"/>
      <c r="H34" s="20"/>
      <c r="I34" s="20"/>
      <c r="J34" s="20"/>
      <c r="K34" s="20"/>
    </row>
    <row r="35" spans="1:11" ht="15" thickBot="1" x14ac:dyDescent="0.35">
      <c r="A35" s="25" t="s">
        <v>12</v>
      </c>
      <c r="B35" s="23"/>
      <c r="C35" s="20"/>
      <c r="D35" s="20"/>
      <c r="E35" s="20"/>
      <c r="F35" s="20"/>
      <c r="G35" s="20"/>
      <c r="H35" s="20"/>
      <c r="I35" s="20"/>
      <c r="J35" s="20"/>
      <c r="K35" s="20"/>
    </row>
    <row r="36" spans="1:11" x14ac:dyDescent="0.3">
      <c r="A36" s="28" t="s">
        <v>13</v>
      </c>
      <c r="B36" s="35">
        <f>IFERROR(SUM(B31,B32,B33), "")</f>
        <v>0</v>
      </c>
      <c r="C36" s="20"/>
      <c r="D36" s="20"/>
      <c r="E36" s="20"/>
      <c r="F36" s="27"/>
      <c r="G36" s="20"/>
      <c r="H36" s="20"/>
      <c r="I36" s="20"/>
      <c r="J36" s="20"/>
      <c r="K36" s="20"/>
    </row>
    <row r="37" spans="1:11" x14ac:dyDescent="0.3">
      <c r="A37" s="28" t="s">
        <v>14</v>
      </c>
      <c r="B37" s="36" t="str">
        <f>IF((B18+B21+B24)&gt;0,(B18*B19 + B21*B22 + B24*B25)/(B18+B21+B24)/100,"")</f>
        <v/>
      </c>
      <c r="C37" s="20"/>
      <c r="D37" s="20"/>
      <c r="E37" s="20"/>
      <c r="F37" s="20"/>
      <c r="G37" s="30"/>
      <c r="H37" s="20"/>
      <c r="I37" s="20"/>
      <c r="J37" s="20"/>
      <c r="K37" s="20"/>
    </row>
    <row r="38" spans="1:11" ht="15" thickBot="1" x14ac:dyDescent="0.35">
      <c r="A38" s="28" t="s">
        <v>15</v>
      </c>
      <c r="B38" s="35" t="e" vm="1">
        <f>B34 - B36</f>
        <v>#VALUE!</v>
      </c>
      <c r="C38" s="20"/>
      <c r="D38" s="20"/>
      <c r="E38" s="20"/>
      <c r="F38" s="20"/>
      <c r="G38" s="37"/>
      <c r="H38" s="20"/>
      <c r="I38" s="20"/>
      <c r="J38" s="20"/>
      <c r="K38" s="20"/>
    </row>
    <row r="39" spans="1:11" ht="53.4" customHeight="1" thickBot="1" x14ac:dyDescent="0.35">
      <c r="A39" s="38" t="s">
        <v>16</v>
      </c>
      <c r="B39" s="39" t="e" vm="2">
        <f>IF(B38&gt;0, "Better to add second lien than refi", "Cash-Out Refi")</f>
        <v>#VALUE!</v>
      </c>
      <c r="C39" s="20"/>
      <c r="D39" s="20"/>
      <c r="E39" s="20"/>
      <c r="F39" s="20"/>
      <c r="G39" s="30"/>
      <c r="H39" s="20"/>
      <c r="I39" s="20"/>
      <c r="J39" s="20"/>
      <c r="K39" s="20"/>
    </row>
    <row r="40" spans="1:11" x14ac:dyDescent="0.3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</row>
    <row r="41" spans="1:11" x14ac:dyDescent="0.3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</row>
    <row r="42" spans="1:11" x14ac:dyDescent="0.3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</row>
    <row r="43" spans="1:11" x14ac:dyDescent="0.3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</row>
    <row r="44" spans="1:11" x14ac:dyDescent="0.3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</row>
    <row r="45" spans="1:11" x14ac:dyDescent="0.3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</row>
    <row r="46" spans="1:11" x14ac:dyDescent="0.3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</row>
    <row r="47" spans="1:11" x14ac:dyDescent="0.3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</row>
    <row r="48" spans="1:11" x14ac:dyDescent="0.3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</row>
    <row r="49" spans="1:11" x14ac:dyDescent="0.3">
      <c r="A49" s="20" t="s">
        <v>79</v>
      </c>
      <c r="B49" s="20"/>
      <c r="C49" s="20"/>
      <c r="D49" s="20"/>
      <c r="E49" s="20"/>
      <c r="F49" s="20"/>
      <c r="G49" s="20"/>
      <c r="H49" s="20"/>
      <c r="I49" s="20"/>
      <c r="J49" s="20"/>
      <c r="K49" s="20"/>
    </row>
    <row r="50" spans="1:11" x14ac:dyDescent="0.3">
      <c r="A50" s="20" t="s">
        <v>80</v>
      </c>
      <c r="B50" s="20"/>
      <c r="C50" s="20"/>
      <c r="D50" s="20"/>
      <c r="E50" s="20"/>
      <c r="F50" s="20"/>
      <c r="G50" s="20"/>
      <c r="H50" s="20"/>
      <c r="I50" s="20"/>
      <c r="J50" s="20"/>
      <c r="K50" s="20"/>
    </row>
    <row r="51" spans="1:11" x14ac:dyDescent="0.3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</row>
    <row r="52" spans="1:11" x14ac:dyDescent="0.3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</row>
    <row r="53" spans="1:11" x14ac:dyDescent="0.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</row>
    <row r="54" spans="1:11" x14ac:dyDescent="0.3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</row>
    <row r="55" spans="1:11" x14ac:dyDescent="0.3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</row>
  </sheetData>
  <sheetProtection algorithmName="SHA-512" hashValue="uYDsmDSXVsiMEo16GNlfEr4QhuZiqFnOYudcyLoQBeIepxphe4JtYNkGIT4CziKUuEbQiatPNeOOUTGkETQRtA==" saltValue="Tt+5T8v8IQHiUH0qh7meLg==" spinCount="100000" sheet="1" objects="1" scenarios="1" selectLockedCells="1"/>
  <dataValidations count="2">
    <dataValidation allowBlank="1" showInputMessage="1" showErrorMessage="1" prompt="Use B13–B15 only if your second loan is fully amortized (includes principal + interest) If your second loan is interest-only, skip B13–B15 and fill out B16–B18 instead." sqref="B21" xr:uid="{027F8E43-D95C-4B6F-830E-2E8B4DC73049}"/>
    <dataValidation allowBlank="1" showInputMessage="1" showErrorMessage="1" prompt="Use B16–B18 only if your second loan is interest-only _x000a_(If you're using this section for second loan, leave B13–B15 blank )_x000a_If you're using a third loan in addition to a second loan, fill out both sections (B13–B18)." sqref="B24" xr:uid="{8BB7C181-C21C-4D75-90D7-5CA465C1BC66}"/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30777-B98C-4500-B1DE-74ACE0D5A863}">
  <dimension ref="A1:O55"/>
  <sheetViews>
    <sheetView zoomScale="74" zoomScaleNormal="80" workbookViewId="0">
      <selection activeCell="A49" sqref="A49:A50"/>
    </sheetView>
  </sheetViews>
  <sheetFormatPr defaultColWidth="9.109375" defaultRowHeight="14.4" x14ac:dyDescent="0.3"/>
  <cols>
    <col min="1" max="1" width="68.21875" style="21" customWidth="1"/>
    <col min="2" max="2" width="30.77734375" style="21" customWidth="1"/>
    <col min="3" max="5" width="9.109375" style="21"/>
    <col min="6" max="6" width="50.109375" style="21" customWidth="1"/>
    <col min="7" max="7" width="24.5546875" style="21" customWidth="1"/>
    <col min="8" max="16384" width="9.109375" style="21"/>
  </cols>
  <sheetData>
    <row r="1" spans="1:15" x14ac:dyDescent="0.3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</row>
    <row r="2" spans="1:15" x14ac:dyDescent="0.3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</row>
    <row r="3" spans="1:15" x14ac:dyDescent="0.3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</row>
    <row r="4" spans="1:15" x14ac:dyDescent="0.3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</row>
    <row r="5" spans="1:15" x14ac:dyDescent="0.3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</row>
    <row r="6" spans="1:15" x14ac:dyDescent="0.3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</row>
    <row r="7" spans="1:15" x14ac:dyDescent="0.3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</row>
    <row r="8" spans="1:15" x14ac:dyDescent="0.3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</row>
    <row r="9" spans="1:15" x14ac:dyDescent="0.3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</row>
    <row r="10" spans="1:15" x14ac:dyDescent="0.3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</row>
    <row r="11" spans="1:15" x14ac:dyDescent="0.3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</row>
    <row r="12" spans="1:15" x14ac:dyDescent="0.3">
      <c r="A12" s="22" t="s">
        <v>23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</row>
    <row r="13" spans="1:15" ht="15" thickBot="1" x14ac:dyDescent="0.35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</row>
    <row r="14" spans="1:15" ht="27" thickBot="1" x14ac:dyDescent="0.6">
      <c r="A14" s="1" t="s">
        <v>24</v>
      </c>
      <c r="B14" s="24"/>
      <c r="C14" s="24"/>
      <c r="D14" s="24"/>
      <c r="E14" s="24"/>
      <c r="F14" s="24"/>
      <c r="G14" s="23"/>
      <c r="H14" s="20"/>
      <c r="I14" s="20"/>
      <c r="J14" s="20"/>
      <c r="K14" s="20"/>
      <c r="L14" s="20"/>
      <c r="M14" s="20"/>
      <c r="N14" s="20"/>
      <c r="O14" s="20"/>
    </row>
    <row r="15" spans="1:15" x14ac:dyDescent="0.3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</row>
    <row r="16" spans="1:15" ht="15" thickBot="1" x14ac:dyDescent="0.35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</row>
    <row r="17" spans="1:15" ht="15" thickBot="1" x14ac:dyDescent="0.35">
      <c r="A17" s="25" t="s">
        <v>0</v>
      </c>
      <c r="B17" s="26"/>
      <c r="C17" s="20"/>
      <c r="D17" s="20"/>
      <c r="E17" s="20"/>
      <c r="F17" s="27"/>
      <c r="G17" s="20"/>
      <c r="H17" s="20"/>
      <c r="I17" s="20"/>
      <c r="J17" s="20"/>
      <c r="K17" s="20"/>
      <c r="L17" s="20"/>
      <c r="M17" s="20"/>
      <c r="N17" s="20"/>
      <c r="O17" s="20"/>
    </row>
    <row r="18" spans="1:15" x14ac:dyDescent="0.3">
      <c r="A18" s="28" t="s">
        <v>1</v>
      </c>
      <c r="B18" s="40">
        <v>2000000</v>
      </c>
      <c r="C18" s="20"/>
      <c r="D18" s="20"/>
      <c r="E18" s="20"/>
      <c r="F18" s="20"/>
      <c r="G18" s="30"/>
      <c r="H18" s="20"/>
      <c r="I18" s="20"/>
      <c r="J18" s="20"/>
      <c r="K18" s="20"/>
      <c r="L18" s="20"/>
      <c r="M18" s="20"/>
      <c r="N18" s="20"/>
      <c r="O18" s="20"/>
    </row>
    <row r="19" spans="1:15" x14ac:dyDescent="0.3">
      <c r="A19" s="28" t="s">
        <v>2</v>
      </c>
      <c r="B19" s="41">
        <v>7.4989999999999997</v>
      </c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</row>
    <row r="20" spans="1:15" x14ac:dyDescent="0.3">
      <c r="A20" s="28" t="s">
        <v>3</v>
      </c>
      <c r="B20" s="41">
        <v>30</v>
      </c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</row>
    <row r="21" spans="1:15" x14ac:dyDescent="0.3">
      <c r="A21" s="28" t="s">
        <v>22</v>
      </c>
      <c r="B21" s="40">
        <v>400000</v>
      </c>
      <c r="C21" s="20"/>
      <c r="D21" s="20"/>
      <c r="E21" s="20"/>
      <c r="F21" s="20"/>
      <c r="G21" s="30"/>
      <c r="H21" s="20"/>
      <c r="I21" s="20"/>
      <c r="J21" s="20"/>
      <c r="K21" s="20"/>
      <c r="L21" s="20"/>
      <c r="M21" s="20"/>
      <c r="N21" s="20"/>
      <c r="O21" s="20"/>
    </row>
    <row r="22" spans="1:15" x14ac:dyDescent="0.3">
      <c r="A22" s="28" t="s">
        <v>4</v>
      </c>
      <c r="B22" s="41">
        <v>9.5</v>
      </c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</row>
    <row r="23" spans="1:15" x14ac:dyDescent="0.3">
      <c r="A23" s="28" t="s">
        <v>5</v>
      </c>
      <c r="B23" s="41">
        <v>30</v>
      </c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</row>
    <row r="24" spans="1:15" x14ac:dyDescent="0.3">
      <c r="A24" s="28" t="s">
        <v>18</v>
      </c>
      <c r="B24" s="40">
        <v>100000</v>
      </c>
      <c r="C24" s="20"/>
      <c r="D24" s="20"/>
      <c r="E24" s="20"/>
      <c r="F24" s="20"/>
      <c r="G24" s="32"/>
      <c r="H24" s="20"/>
      <c r="I24" s="20"/>
      <c r="J24" s="20"/>
      <c r="K24" s="20"/>
      <c r="L24" s="20"/>
      <c r="M24" s="20"/>
      <c r="N24" s="20"/>
      <c r="O24" s="20"/>
    </row>
    <row r="25" spans="1:15" x14ac:dyDescent="0.3">
      <c r="A25" s="28" t="s">
        <v>19</v>
      </c>
      <c r="B25" s="41">
        <v>12</v>
      </c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</row>
    <row r="26" spans="1:15" x14ac:dyDescent="0.3">
      <c r="A26" s="28" t="s">
        <v>20</v>
      </c>
      <c r="B26" s="41">
        <v>2</v>
      </c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</row>
    <row r="27" spans="1:15" x14ac:dyDescent="0.3">
      <c r="A27" s="28" t="s">
        <v>6</v>
      </c>
      <c r="B27" s="42">
        <v>2500000</v>
      </c>
      <c r="C27" s="20"/>
      <c r="D27" s="20"/>
      <c r="E27" s="20"/>
      <c r="F27" s="20"/>
      <c r="G27" s="30"/>
      <c r="H27" s="20"/>
      <c r="I27" s="20"/>
      <c r="J27" s="20"/>
      <c r="K27" s="20"/>
      <c r="L27" s="20"/>
      <c r="M27" s="20"/>
      <c r="N27" s="20"/>
      <c r="O27" s="20"/>
    </row>
    <row r="28" spans="1:15" x14ac:dyDescent="0.3">
      <c r="A28" s="28" t="s">
        <v>7</v>
      </c>
      <c r="B28" s="41">
        <v>7.99</v>
      </c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</row>
    <row r="29" spans="1:15" ht="15" thickBot="1" x14ac:dyDescent="0.35">
      <c r="A29" s="28" t="s">
        <v>8</v>
      </c>
      <c r="B29" s="41">
        <v>30</v>
      </c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</row>
    <row r="30" spans="1:15" ht="15" thickBot="1" x14ac:dyDescent="0.35">
      <c r="A30" s="25" t="s">
        <v>9</v>
      </c>
      <c r="B30" s="23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</row>
    <row r="31" spans="1:15" x14ac:dyDescent="0.3">
      <c r="A31" s="28" t="s">
        <v>10</v>
      </c>
      <c r="B31" s="34">
        <f>IF(AND(B18&gt;0,B19&gt;0,B20&gt;0), -PMT(B19/100/12, B20*12, B18), "")</f>
        <v>13982.920692248666</v>
      </c>
      <c r="C31" s="20"/>
      <c r="D31" s="20"/>
      <c r="E31" s="20"/>
      <c r="F31" s="27"/>
      <c r="G31" s="20"/>
      <c r="H31" s="20"/>
      <c r="I31" s="20"/>
      <c r="J31" s="20"/>
      <c r="K31" s="20"/>
      <c r="L31" s="20"/>
      <c r="M31" s="20"/>
      <c r="N31" s="20"/>
      <c r="O31" s="20"/>
    </row>
    <row r="32" spans="1:15" x14ac:dyDescent="0.3">
      <c r="A32" s="28" t="s">
        <v>17</v>
      </c>
      <c r="B32" s="34">
        <f>IF(AND(B21&gt;0,B22&gt;0,B23&gt;0), -PMT(B22/100/12, B23*12, B21), "")</f>
        <v>3363.4168287149923</v>
      </c>
      <c r="C32" s="20"/>
      <c r="D32" s="20"/>
      <c r="E32" s="20"/>
      <c r="F32" s="20"/>
      <c r="G32" s="30"/>
      <c r="H32" s="20"/>
      <c r="I32" s="20"/>
      <c r="J32" s="20"/>
      <c r="K32" s="20"/>
      <c r="L32" s="20"/>
      <c r="M32" s="20"/>
      <c r="N32" s="20"/>
      <c r="O32" s="20"/>
    </row>
    <row r="33" spans="1:15" x14ac:dyDescent="0.3">
      <c r="A33" s="28" t="s">
        <v>21</v>
      </c>
      <c r="B33" s="34">
        <f>IF(AND(B24&gt;0,B25&gt;0), B24*B25/100/12, "")</f>
        <v>1000</v>
      </c>
      <c r="C33" s="20"/>
      <c r="D33" s="20"/>
      <c r="E33" s="20"/>
      <c r="F33" s="20"/>
      <c r="G33" s="30"/>
      <c r="H33" s="20"/>
      <c r="I33" s="20"/>
      <c r="J33" s="20"/>
      <c r="K33" s="20"/>
      <c r="L33" s="20"/>
      <c r="M33" s="20"/>
      <c r="N33" s="20"/>
      <c r="O33" s="20"/>
    </row>
    <row r="34" spans="1:15" ht="15" thickBot="1" x14ac:dyDescent="0.35">
      <c r="A34" s="28" t="s">
        <v>11</v>
      </c>
      <c r="B34" s="34">
        <f>IF(AND(B27&gt;0,B28&gt;0,B29&gt;0), -PMT(B28/100/12, B29*12, B27), "")</f>
        <v>18326.68935088575</v>
      </c>
      <c r="C34" s="20"/>
      <c r="D34" s="20"/>
      <c r="E34" s="20"/>
      <c r="F34" s="20"/>
      <c r="G34" s="30"/>
      <c r="H34" s="20"/>
      <c r="I34" s="20"/>
      <c r="J34" s="20"/>
      <c r="K34" s="20"/>
      <c r="L34" s="20"/>
      <c r="M34" s="20"/>
      <c r="N34" s="20"/>
      <c r="O34" s="20"/>
    </row>
    <row r="35" spans="1:15" ht="15" thickBot="1" x14ac:dyDescent="0.35">
      <c r="A35" s="25" t="s">
        <v>12</v>
      </c>
      <c r="B35" s="23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</row>
    <row r="36" spans="1:15" x14ac:dyDescent="0.3">
      <c r="A36" s="28" t="s">
        <v>13</v>
      </c>
      <c r="B36" s="35">
        <f>IFERROR(SUM(B34,B33,B35), "")</f>
        <v>19326.68935088575</v>
      </c>
      <c r="C36" s="20"/>
      <c r="D36" s="20"/>
      <c r="E36" s="20"/>
      <c r="F36" s="27"/>
      <c r="G36" s="20"/>
      <c r="H36" s="20"/>
      <c r="I36" s="20"/>
      <c r="J36" s="20"/>
      <c r="K36" s="20"/>
      <c r="L36" s="20"/>
      <c r="M36" s="20"/>
      <c r="N36" s="20"/>
      <c r="O36" s="20"/>
    </row>
    <row r="37" spans="1:15" x14ac:dyDescent="0.3">
      <c r="A37" s="28" t="s">
        <v>14</v>
      </c>
      <c r="B37" s="36">
        <f>IF((B18+B21+B24)&gt;0,(B18*B19 + B21*B22 + B24*B25)/(B18+B21+B24)/100,"")</f>
        <v>7.9992000000000008E-2</v>
      </c>
      <c r="C37" s="20"/>
      <c r="D37" s="20"/>
      <c r="E37" s="20"/>
      <c r="F37" s="20"/>
      <c r="G37" s="30"/>
      <c r="H37" s="20"/>
      <c r="I37" s="20"/>
      <c r="J37" s="20"/>
      <c r="K37" s="20"/>
      <c r="L37" s="20"/>
      <c r="M37" s="20"/>
      <c r="N37" s="20"/>
      <c r="O37" s="20"/>
    </row>
    <row r="38" spans="1:15" ht="15" thickBot="1" x14ac:dyDescent="0.35">
      <c r="A38" s="28" t="s">
        <v>15</v>
      </c>
      <c r="B38" s="35">
        <f>B34 - B36</f>
        <v>-1000</v>
      </c>
      <c r="C38" s="20"/>
      <c r="D38" s="20"/>
      <c r="E38" s="20"/>
      <c r="F38" s="20"/>
      <c r="G38" s="37"/>
      <c r="H38" s="20"/>
      <c r="I38" s="20"/>
      <c r="J38" s="20"/>
      <c r="K38" s="20"/>
      <c r="L38" s="20"/>
      <c r="M38" s="20"/>
      <c r="N38" s="20"/>
      <c r="O38" s="20"/>
    </row>
    <row r="39" spans="1:15" ht="53.4" customHeight="1" thickBot="1" x14ac:dyDescent="0.35">
      <c r="A39" s="38" t="s">
        <v>16</v>
      </c>
      <c r="B39" s="39" t="str">
        <f>IF(B38&gt;0, "Better to add second lien than refi", "Cash-Out Refi")</f>
        <v>Cash-Out Refi</v>
      </c>
      <c r="C39" s="20"/>
      <c r="D39" s="20"/>
      <c r="E39" s="20"/>
      <c r="F39" s="20"/>
      <c r="G39" s="30"/>
      <c r="H39" s="20"/>
      <c r="I39" s="20"/>
      <c r="J39" s="20"/>
      <c r="K39" s="20"/>
      <c r="L39" s="20"/>
      <c r="M39" s="20"/>
      <c r="N39" s="20"/>
      <c r="O39" s="20"/>
    </row>
    <row r="40" spans="1:15" x14ac:dyDescent="0.3">
      <c r="A40" s="20"/>
      <c r="B40" s="20" t="s">
        <v>71</v>
      </c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</row>
    <row r="41" spans="1:15" x14ac:dyDescent="0.3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</row>
    <row r="42" spans="1:15" x14ac:dyDescent="0.3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</row>
    <row r="43" spans="1:15" x14ac:dyDescent="0.3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</row>
    <row r="44" spans="1:15" x14ac:dyDescent="0.3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</row>
    <row r="45" spans="1:15" x14ac:dyDescent="0.3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</row>
    <row r="46" spans="1:15" x14ac:dyDescent="0.3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</row>
    <row r="47" spans="1:15" x14ac:dyDescent="0.3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</row>
    <row r="48" spans="1:15" x14ac:dyDescent="0.3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</row>
    <row r="49" spans="1:15" x14ac:dyDescent="0.3">
      <c r="A49" s="20" t="s">
        <v>79</v>
      </c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</row>
    <row r="50" spans="1:15" x14ac:dyDescent="0.3">
      <c r="A50" s="20" t="s">
        <v>80</v>
      </c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</row>
    <row r="51" spans="1:15" x14ac:dyDescent="0.3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</row>
    <row r="52" spans="1:15" x14ac:dyDescent="0.3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</row>
    <row r="53" spans="1:15" x14ac:dyDescent="0.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</row>
    <row r="54" spans="1:15" x14ac:dyDescent="0.3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</row>
    <row r="55" spans="1:15" x14ac:dyDescent="0.3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</row>
  </sheetData>
  <sheetProtection algorithmName="SHA-512" hashValue="Zqdj66ouJYBzyqvWOgJQe7t7yuVJd3e+XB2MGTBuK8aLyAseylb8emVMdfe1WoTcXxqPiPdH3X7ZbPG5PtPedg==" saltValue="lnJnoZf4iNcc30GKE0wymg==" spinCount="100000" sheet="1" objects="1" scenarios="1" selectLockedCells="1" selectUnlockedCells="1"/>
  <dataValidations count="2">
    <dataValidation allowBlank="1" showInputMessage="1" showErrorMessage="1" prompt="Use B16–B18 only if your second loan is interest-only _x000a_(If you're using this section for second loan, leave B13–B15 blank )_x000a_If you're using a third loan in addition to a second loan, fill out both sections (B13–B18)." sqref="B24" xr:uid="{3A8E5462-C8EF-45FF-BAD5-53DF952FEAE7}"/>
    <dataValidation allowBlank="1" showInputMessage="1" showErrorMessage="1" prompt="Use B13–B15 only if your second loan is fully amortized (includes principal + interest) If your second loan is interest-only, skip B13–B15 and fill out B16–B18 instead." sqref="B21" xr:uid="{71A9CEDD-618F-4267-984E-B6431DE2CC43}"/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8D4E8-34C4-4D34-8DE9-5C4BA3B9FB1A}">
  <dimension ref="A1:Z152"/>
  <sheetViews>
    <sheetView workbookViewId="0">
      <selection activeCell="A147" sqref="A147:A148"/>
    </sheetView>
  </sheetViews>
  <sheetFormatPr defaultColWidth="9.109375" defaultRowHeight="14.4" x14ac:dyDescent="0.3"/>
  <cols>
    <col min="1" max="1" width="69.21875" style="19" customWidth="1"/>
    <col min="2" max="3" width="9.109375" style="19"/>
    <col min="4" max="4" width="21.5546875" style="19" customWidth="1"/>
    <col min="5" max="7" width="9.109375" style="19"/>
    <col min="8" max="8" width="18.88671875" style="19" customWidth="1"/>
    <col min="9" max="11" width="9.109375" style="19"/>
    <col min="12" max="14" width="9.109375" style="4"/>
    <col min="15" max="15" width="8.6640625" style="4" customWidth="1"/>
    <col min="16" max="25" width="9.109375" style="4"/>
    <col min="26" max="26" width="12.109375" style="4" customWidth="1"/>
    <col min="27" max="16384" width="9.109375" style="4"/>
  </cols>
  <sheetData>
    <row r="1" spans="1:26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3">
      <c r="A8" s="2" t="s">
        <v>25</v>
      </c>
      <c r="B8" s="2"/>
      <c r="C8" s="5"/>
      <c r="D8" s="5"/>
      <c r="E8" s="5"/>
      <c r="F8" s="2"/>
      <c r="G8" s="2"/>
      <c r="H8" s="2"/>
      <c r="I8" s="2"/>
      <c r="J8" s="2"/>
      <c r="K8" s="2"/>
      <c r="L8" s="2"/>
      <c r="M8" s="2"/>
      <c r="N8" s="2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3">
      <c r="A9" s="2"/>
      <c r="B9" s="2"/>
      <c r="C9" s="5"/>
      <c r="D9" s="5"/>
      <c r="E9" s="5"/>
      <c r="F9" s="2"/>
      <c r="G9" s="2"/>
      <c r="H9" s="2"/>
      <c r="I9" s="2"/>
      <c r="J9" s="2"/>
      <c r="K9" s="2"/>
      <c r="L9" s="2"/>
      <c r="M9" s="2"/>
      <c r="N9" s="2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" thickBot="1" x14ac:dyDescent="0.35">
      <c r="A10" s="2"/>
      <c r="B10" s="2"/>
      <c r="C10" s="5"/>
      <c r="D10" s="5"/>
      <c r="E10" s="5"/>
      <c r="F10" s="2"/>
      <c r="G10" s="2"/>
      <c r="H10" s="2"/>
      <c r="I10" s="2"/>
      <c r="J10" s="2"/>
      <c r="K10" s="2"/>
      <c r="L10" s="2"/>
      <c r="M10" s="2"/>
      <c r="N10" s="2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23.4" customHeight="1" x14ac:dyDescent="0.3">
      <c r="A11" s="6"/>
      <c r="B11" s="7"/>
      <c r="C11" s="8"/>
      <c r="D11" s="9"/>
      <c r="E11" s="5"/>
      <c r="F11" s="2"/>
      <c r="G11" s="2"/>
      <c r="H11" s="2"/>
      <c r="I11" s="2"/>
      <c r="J11" s="2"/>
      <c r="K11" s="2"/>
      <c r="L11" s="2"/>
      <c r="M11" s="2"/>
      <c r="N11" s="2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23.4" customHeight="1" x14ac:dyDescent="0.3">
      <c r="A12" s="10" t="s">
        <v>24</v>
      </c>
      <c r="B12" s="2"/>
      <c r="C12" s="5"/>
      <c r="D12" s="11"/>
      <c r="E12" s="5"/>
      <c r="F12" s="2"/>
      <c r="G12" s="2"/>
      <c r="H12" s="2"/>
      <c r="I12" s="2"/>
      <c r="J12" s="2"/>
      <c r="K12" s="2"/>
      <c r="L12" s="2"/>
      <c r="M12" s="2"/>
      <c r="N12" s="2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23.4" customHeight="1" x14ac:dyDescent="0.3">
      <c r="A13" s="12"/>
      <c r="B13" s="2"/>
      <c r="C13" s="5"/>
      <c r="D13" s="11"/>
      <c r="E13" s="5"/>
      <c r="F13" s="2"/>
      <c r="G13" s="2"/>
      <c r="H13" s="2"/>
      <c r="I13" s="2"/>
      <c r="J13" s="2"/>
      <c r="K13" s="2"/>
      <c r="L13" s="2"/>
      <c r="M13" s="2"/>
      <c r="N13" s="2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3">
      <c r="A14" s="12" t="s">
        <v>26</v>
      </c>
      <c r="B14" s="2"/>
      <c r="C14" s="5"/>
      <c r="D14" s="11"/>
      <c r="E14" s="5"/>
      <c r="F14" s="2"/>
      <c r="G14" s="2"/>
      <c r="H14" s="2"/>
      <c r="I14" s="2"/>
      <c r="J14" s="2"/>
      <c r="K14" s="2"/>
      <c r="L14" s="2"/>
      <c r="M14" s="2"/>
      <c r="N14" s="2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3">
      <c r="A15" s="12"/>
      <c r="B15" s="2"/>
      <c r="C15" s="5"/>
      <c r="D15" s="11"/>
      <c r="E15" s="5"/>
      <c r="F15" s="2"/>
      <c r="G15" s="2"/>
      <c r="H15" s="2"/>
      <c r="I15" s="2"/>
      <c r="J15" s="2"/>
      <c r="K15" s="2"/>
      <c r="L15" s="2"/>
      <c r="M15" s="2"/>
      <c r="N15" s="2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3">
      <c r="A16" s="12" t="s">
        <v>27</v>
      </c>
      <c r="B16" s="2"/>
      <c r="C16" s="5"/>
      <c r="D16" s="11"/>
      <c r="E16" s="5"/>
      <c r="F16" s="2"/>
      <c r="G16" s="2"/>
      <c r="H16" s="2"/>
      <c r="I16" s="2"/>
      <c r="J16" s="2"/>
      <c r="K16" s="2"/>
      <c r="L16" s="2"/>
      <c r="M16" s="2"/>
      <c r="N16" s="2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3">
      <c r="A17" s="12"/>
      <c r="B17" s="2"/>
      <c r="C17" s="5"/>
      <c r="D17" s="11"/>
      <c r="E17" s="5"/>
      <c r="F17" s="2"/>
      <c r="G17" s="2"/>
      <c r="H17" s="2"/>
      <c r="I17" s="2"/>
      <c r="J17" s="2"/>
      <c r="K17" s="2"/>
      <c r="L17" s="2"/>
      <c r="M17" s="2"/>
      <c r="N17" s="2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4.4" customHeight="1" x14ac:dyDescent="0.3">
      <c r="A18" s="12"/>
      <c r="B18" s="2"/>
      <c r="C18" s="5"/>
      <c r="D18" s="11"/>
      <c r="E18" s="5"/>
      <c r="F18" s="2"/>
      <c r="G18" s="2"/>
      <c r="H18" s="2"/>
      <c r="I18" s="2"/>
      <c r="J18" s="2"/>
      <c r="K18" s="2"/>
      <c r="L18" s="2"/>
      <c r="M18" s="2"/>
      <c r="N18" s="2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4.4" customHeight="1" x14ac:dyDescent="0.3">
      <c r="A19" s="12"/>
      <c r="B19" s="2"/>
      <c r="C19" s="5"/>
      <c r="D19" s="11"/>
      <c r="E19" s="5"/>
      <c r="F19" s="2"/>
      <c r="G19" s="2"/>
      <c r="H19" s="2"/>
      <c r="I19" s="2"/>
      <c r="J19" s="2"/>
      <c r="K19" s="2"/>
      <c r="L19" s="2"/>
      <c r="M19" s="2"/>
      <c r="N19" s="2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4.4" customHeight="1" x14ac:dyDescent="0.3">
      <c r="A20" s="12" t="s">
        <v>28</v>
      </c>
      <c r="B20" s="2"/>
      <c r="C20" s="5"/>
      <c r="D20" s="11"/>
      <c r="E20" s="5"/>
      <c r="F20" s="2"/>
      <c r="G20" s="2"/>
      <c r="H20" s="2"/>
      <c r="I20" s="2"/>
      <c r="J20" s="2"/>
      <c r="K20" s="2"/>
      <c r="L20" s="2"/>
      <c r="M20" s="2"/>
      <c r="N20" s="2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4.4" customHeight="1" x14ac:dyDescent="0.3">
      <c r="A21" s="12"/>
      <c r="B21" s="2"/>
      <c r="C21" s="5"/>
      <c r="D21" s="11"/>
      <c r="E21" s="5"/>
      <c r="F21" s="2"/>
      <c r="G21" s="2"/>
      <c r="H21" s="2"/>
      <c r="I21" s="2"/>
      <c r="J21" s="2"/>
      <c r="K21" s="2"/>
      <c r="L21" s="2"/>
      <c r="M21" s="2"/>
      <c r="N21" s="2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4.4" customHeight="1" x14ac:dyDescent="0.3">
      <c r="A22" s="12" t="s">
        <v>49</v>
      </c>
      <c r="B22" s="2"/>
      <c r="C22" s="5"/>
      <c r="D22" s="11"/>
      <c r="E22" s="5"/>
      <c r="F22" s="2"/>
      <c r="G22" s="2"/>
      <c r="H22" s="2"/>
      <c r="I22" s="2"/>
      <c r="J22" s="2"/>
      <c r="K22" s="2"/>
      <c r="L22" s="2"/>
      <c r="M22" s="2"/>
      <c r="N22" s="2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4.4" customHeight="1" x14ac:dyDescent="0.3">
      <c r="A23" s="12"/>
      <c r="B23" s="2"/>
      <c r="C23" s="5"/>
      <c r="D23" s="11"/>
      <c r="E23" s="5"/>
      <c r="F23" s="2"/>
      <c r="G23" s="2"/>
      <c r="H23" s="2"/>
      <c r="I23" s="2"/>
      <c r="J23" s="2"/>
      <c r="K23" s="2"/>
      <c r="L23" s="2"/>
      <c r="M23" s="2"/>
      <c r="N23" s="2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4.4" customHeight="1" x14ac:dyDescent="0.3">
      <c r="A24" s="12" t="s">
        <v>50</v>
      </c>
      <c r="B24" s="2"/>
      <c r="C24" s="5"/>
      <c r="D24" s="11"/>
      <c r="E24" s="5"/>
      <c r="F24" s="2"/>
      <c r="G24" s="2"/>
      <c r="H24" s="2"/>
      <c r="I24" s="2"/>
      <c r="J24" s="2"/>
      <c r="K24" s="2"/>
      <c r="L24" s="2"/>
      <c r="M24" s="2"/>
      <c r="N24" s="2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4.4" customHeight="1" x14ac:dyDescent="0.3">
      <c r="A25" s="12"/>
      <c r="B25" s="2"/>
      <c r="C25" s="5"/>
      <c r="D25" s="11"/>
      <c r="E25" s="5"/>
      <c r="F25" s="2"/>
      <c r="G25" s="2"/>
      <c r="H25" s="2"/>
      <c r="I25" s="2"/>
      <c r="J25" s="2"/>
      <c r="K25" s="2"/>
      <c r="L25" s="2"/>
      <c r="M25" s="2"/>
      <c r="N25" s="2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4.4" customHeight="1" x14ac:dyDescent="0.3">
      <c r="A26" s="12" t="s">
        <v>51</v>
      </c>
      <c r="B26" s="2"/>
      <c r="C26" s="5"/>
      <c r="D26" s="11"/>
      <c r="E26" s="5"/>
      <c r="F26" s="2"/>
      <c r="G26" s="2"/>
      <c r="H26" s="2"/>
      <c r="I26" s="2"/>
      <c r="J26" s="2"/>
      <c r="K26" s="2"/>
      <c r="L26" s="2"/>
      <c r="M26" s="2"/>
      <c r="N26" s="2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4.4" customHeight="1" x14ac:dyDescent="0.3">
      <c r="A27" s="12"/>
      <c r="B27" s="2"/>
      <c r="C27" s="5"/>
      <c r="D27" s="11"/>
      <c r="E27" s="5"/>
      <c r="F27" s="2"/>
      <c r="G27" s="2"/>
      <c r="H27" s="2"/>
      <c r="I27" s="2"/>
      <c r="J27" s="2"/>
      <c r="K27" s="2"/>
      <c r="L27" s="2"/>
      <c r="M27" s="2"/>
      <c r="N27" s="2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4.4" customHeight="1" x14ac:dyDescent="0.3">
      <c r="A28" s="12" t="s">
        <v>52</v>
      </c>
      <c r="B28" s="2"/>
      <c r="C28" s="5"/>
      <c r="D28" s="11"/>
      <c r="E28" s="5"/>
      <c r="F28" s="2"/>
      <c r="G28" s="2"/>
      <c r="H28" s="2"/>
      <c r="I28" s="2"/>
      <c r="J28" s="2"/>
      <c r="K28" s="2"/>
      <c r="L28" s="2"/>
      <c r="M28" s="2"/>
      <c r="N28" s="2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4.4" customHeight="1" x14ac:dyDescent="0.3">
      <c r="A29" s="12"/>
      <c r="B29" s="2"/>
      <c r="C29" s="5"/>
      <c r="D29" s="11"/>
      <c r="E29" s="5"/>
      <c r="F29" s="2"/>
      <c r="G29" s="2"/>
      <c r="H29" s="2"/>
      <c r="I29" s="2"/>
      <c r="J29" s="2"/>
      <c r="K29" s="2"/>
      <c r="L29" s="2"/>
      <c r="M29" s="2"/>
      <c r="N29" s="2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4.4" customHeight="1" x14ac:dyDescent="0.3">
      <c r="A30" s="12"/>
      <c r="B30" s="2"/>
      <c r="C30" s="5"/>
      <c r="D30" s="11"/>
      <c r="E30" s="5"/>
      <c r="F30" s="2"/>
      <c r="G30" s="2"/>
      <c r="H30" s="2"/>
      <c r="I30" s="2"/>
      <c r="J30" s="2"/>
      <c r="K30" s="2"/>
      <c r="L30" s="2"/>
      <c r="M30" s="2"/>
      <c r="N30" s="2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4.4" customHeight="1" x14ac:dyDescent="0.3">
      <c r="A31" s="12"/>
      <c r="B31" s="2"/>
      <c r="C31" s="5"/>
      <c r="D31" s="11"/>
      <c r="E31" s="5"/>
      <c r="F31" s="2"/>
      <c r="G31" s="2"/>
      <c r="H31" s="2"/>
      <c r="I31" s="2"/>
      <c r="J31" s="2"/>
      <c r="K31" s="2"/>
      <c r="L31" s="2"/>
      <c r="M31" s="2"/>
      <c r="N31" s="2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4.4" customHeight="1" x14ac:dyDescent="0.3">
      <c r="A32" s="12" t="s">
        <v>29</v>
      </c>
      <c r="B32" s="2"/>
      <c r="C32" s="5"/>
      <c r="D32" s="11"/>
      <c r="E32" s="5"/>
      <c r="F32" s="2"/>
      <c r="G32" s="2"/>
      <c r="H32" s="2"/>
      <c r="I32" s="2"/>
      <c r="J32" s="2"/>
      <c r="K32" s="2"/>
      <c r="L32" s="2"/>
      <c r="M32" s="2"/>
      <c r="N32" s="2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4.4" customHeight="1" x14ac:dyDescent="0.3">
      <c r="A33" s="12"/>
      <c r="B33" s="2"/>
      <c r="C33" s="5"/>
      <c r="D33" s="11"/>
      <c r="E33" s="5"/>
      <c r="F33" s="2"/>
      <c r="G33" s="2"/>
      <c r="H33" s="2"/>
      <c r="I33" s="2"/>
      <c r="J33" s="2"/>
      <c r="K33" s="2"/>
      <c r="L33" s="2"/>
      <c r="M33" s="2"/>
      <c r="N33" s="2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4.4" customHeight="1" x14ac:dyDescent="0.3">
      <c r="A34" s="12" t="s">
        <v>30</v>
      </c>
      <c r="B34" s="2"/>
      <c r="C34" s="5"/>
      <c r="D34" s="11"/>
      <c r="E34" s="5"/>
      <c r="F34" s="2"/>
      <c r="G34" s="2"/>
      <c r="H34" s="2"/>
      <c r="I34" s="2"/>
      <c r="J34" s="2"/>
      <c r="K34" s="2"/>
      <c r="L34" s="2"/>
      <c r="M34" s="2"/>
      <c r="N34" s="2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4.4" customHeight="1" x14ac:dyDescent="0.3">
      <c r="A35" s="12"/>
      <c r="B35" s="2"/>
      <c r="C35" s="5"/>
      <c r="D35" s="11"/>
      <c r="E35" s="5"/>
      <c r="F35" s="2"/>
      <c r="G35" s="2"/>
      <c r="H35" s="2"/>
      <c r="I35" s="2"/>
      <c r="J35" s="2"/>
      <c r="K35" s="2"/>
      <c r="L35" s="2"/>
      <c r="M35" s="2"/>
      <c r="N35" s="2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4.4" customHeight="1" x14ac:dyDescent="0.3">
      <c r="A36" s="12" t="s">
        <v>31</v>
      </c>
      <c r="B36" s="2"/>
      <c r="C36" s="5"/>
      <c r="D36" s="11"/>
      <c r="E36" s="5"/>
      <c r="F36" s="2"/>
      <c r="G36" s="2"/>
      <c r="H36" s="2"/>
      <c r="I36" s="2"/>
      <c r="J36" s="2"/>
      <c r="K36" s="2"/>
      <c r="L36" s="2"/>
      <c r="M36" s="2"/>
      <c r="N36" s="2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4.4" customHeight="1" x14ac:dyDescent="0.3">
      <c r="A37" s="12"/>
      <c r="B37" s="2"/>
      <c r="C37" s="5"/>
      <c r="D37" s="11"/>
      <c r="E37" s="5"/>
      <c r="F37" s="2"/>
      <c r="G37" s="2"/>
      <c r="H37" s="2"/>
      <c r="I37" s="2"/>
      <c r="J37" s="2"/>
      <c r="K37" s="2"/>
      <c r="L37" s="2"/>
      <c r="M37" s="2"/>
      <c r="N37" s="2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4.4" customHeight="1" x14ac:dyDescent="0.3">
      <c r="A38" s="12" t="s">
        <v>53</v>
      </c>
      <c r="B38" s="2"/>
      <c r="C38" s="5"/>
      <c r="D38" s="11"/>
      <c r="E38" s="5"/>
      <c r="F38" s="2"/>
      <c r="G38" s="2"/>
      <c r="H38" s="2"/>
      <c r="I38" s="2"/>
      <c r="J38" s="2"/>
      <c r="K38" s="2"/>
      <c r="L38" s="2"/>
      <c r="M38" s="2"/>
      <c r="N38" s="2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4.4" customHeight="1" x14ac:dyDescent="0.3">
      <c r="A39" s="12"/>
      <c r="B39" s="2"/>
      <c r="C39" s="5"/>
      <c r="D39" s="11"/>
      <c r="E39" s="5"/>
      <c r="F39" s="2"/>
      <c r="G39" s="2"/>
      <c r="H39" s="2"/>
      <c r="I39" s="2"/>
      <c r="J39" s="2"/>
      <c r="K39" s="2"/>
      <c r="L39" s="2"/>
      <c r="M39" s="2"/>
      <c r="N39" s="2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4.4" customHeight="1" x14ac:dyDescent="0.3">
      <c r="A40" s="12" t="s">
        <v>54</v>
      </c>
      <c r="B40" s="2"/>
      <c r="C40" s="5"/>
      <c r="D40" s="11"/>
      <c r="E40" s="5"/>
      <c r="F40" s="2"/>
      <c r="G40" s="2"/>
      <c r="H40" s="2"/>
      <c r="I40" s="2"/>
      <c r="J40" s="2"/>
      <c r="K40" s="2"/>
      <c r="L40" s="2"/>
      <c r="M40" s="2"/>
      <c r="N40" s="2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4.4" customHeight="1" x14ac:dyDescent="0.3">
      <c r="A41" s="12"/>
      <c r="B41" s="2"/>
      <c r="C41" s="5"/>
      <c r="D41" s="11"/>
      <c r="E41" s="5"/>
      <c r="F41" s="2"/>
      <c r="G41" s="2"/>
      <c r="H41" s="2"/>
      <c r="I41" s="2"/>
      <c r="J41" s="2"/>
      <c r="K41" s="2"/>
      <c r="L41" s="2"/>
      <c r="M41" s="2"/>
      <c r="N41" s="2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4.4" customHeight="1" x14ac:dyDescent="0.3">
      <c r="A42" s="12" t="s">
        <v>55</v>
      </c>
      <c r="B42" s="2"/>
      <c r="C42" s="5"/>
      <c r="D42" s="11"/>
      <c r="E42" s="5"/>
      <c r="F42" s="2"/>
      <c r="G42" s="2"/>
      <c r="H42" s="2"/>
      <c r="I42" s="2"/>
      <c r="J42" s="2"/>
      <c r="K42" s="2"/>
      <c r="L42" s="2"/>
      <c r="M42" s="2"/>
      <c r="N42" s="2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4.4" customHeight="1" x14ac:dyDescent="0.3">
      <c r="A43" s="12"/>
      <c r="B43" s="2"/>
      <c r="C43" s="5"/>
      <c r="D43" s="11"/>
      <c r="E43" s="5"/>
      <c r="F43" s="2"/>
      <c r="G43" s="2"/>
      <c r="H43" s="2"/>
      <c r="I43" s="2"/>
      <c r="J43" s="2"/>
      <c r="K43" s="2"/>
      <c r="L43" s="2"/>
      <c r="M43" s="2"/>
      <c r="N43" s="2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4.4" customHeight="1" x14ac:dyDescent="0.3">
      <c r="A44" s="12" t="s">
        <v>32</v>
      </c>
      <c r="B44" s="2"/>
      <c r="C44" s="5"/>
      <c r="D44" s="11"/>
      <c r="E44" s="5"/>
      <c r="F44" s="2"/>
      <c r="G44" s="2"/>
      <c r="H44" s="2"/>
      <c r="I44" s="2"/>
      <c r="J44" s="2"/>
      <c r="K44" s="2"/>
      <c r="L44" s="2"/>
      <c r="M44" s="2"/>
      <c r="N44" s="2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4.4" customHeight="1" x14ac:dyDescent="0.3">
      <c r="A45" s="43" t="s">
        <v>75</v>
      </c>
      <c r="B45" s="2"/>
      <c r="C45" s="5"/>
      <c r="D45" s="11"/>
      <c r="E45" s="5"/>
      <c r="F45" s="2"/>
      <c r="G45" s="2"/>
      <c r="H45" s="2"/>
      <c r="I45" s="2"/>
      <c r="J45" s="2"/>
      <c r="K45" s="2"/>
      <c r="L45" s="2"/>
      <c r="M45" s="2"/>
      <c r="N45" s="2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4.4" customHeight="1" x14ac:dyDescent="0.3">
      <c r="A46" s="12"/>
      <c r="B46" s="2"/>
      <c r="C46" s="5"/>
      <c r="D46" s="11"/>
      <c r="E46" s="5"/>
      <c r="F46" s="2"/>
      <c r="G46" s="2"/>
      <c r="H46" s="2"/>
      <c r="I46" s="2"/>
      <c r="J46" s="2"/>
      <c r="K46" s="2"/>
      <c r="L46" s="2"/>
      <c r="M46" s="2"/>
      <c r="N46" s="2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28.8" customHeight="1" x14ac:dyDescent="0.3">
      <c r="A47" s="13" t="s">
        <v>56</v>
      </c>
      <c r="B47" s="5"/>
      <c r="C47" s="5"/>
      <c r="D47" s="11"/>
      <c r="E47" s="5"/>
      <c r="F47" s="5"/>
      <c r="G47" s="5"/>
      <c r="H47" s="5"/>
      <c r="I47" s="5"/>
      <c r="J47" s="5"/>
      <c r="K47" s="5"/>
      <c r="L47" s="5"/>
      <c r="M47" s="2"/>
      <c r="N47" s="2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3.2" customHeight="1" x14ac:dyDescent="0.3">
      <c r="A48" s="44"/>
      <c r="B48" s="2"/>
      <c r="C48" s="5"/>
      <c r="D48" s="11"/>
      <c r="E48" s="5"/>
      <c r="F48" s="2"/>
      <c r="G48" s="2"/>
      <c r="H48" s="2"/>
      <c r="I48" s="2"/>
      <c r="J48" s="2"/>
      <c r="K48" s="2"/>
      <c r="L48" s="2"/>
      <c r="M48" s="2"/>
      <c r="N48" s="2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.4" customHeight="1" x14ac:dyDescent="0.3">
      <c r="A49" s="12" t="s">
        <v>57</v>
      </c>
      <c r="B49" s="2"/>
      <c r="C49" s="5"/>
      <c r="D49" s="11"/>
      <c r="E49" s="5"/>
      <c r="F49" s="2"/>
      <c r="G49" s="2"/>
      <c r="H49" s="2"/>
      <c r="I49" s="2"/>
      <c r="J49" s="2"/>
      <c r="K49" s="2"/>
      <c r="L49" s="2"/>
      <c r="M49" s="2"/>
      <c r="N49" s="2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.4" customHeight="1" x14ac:dyDescent="0.3">
      <c r="A50" s="12"/>
      <c r="B50" s="2"/>
      <c r="C50" s="5"/>
      <c r="D50" s="11"/>
      <c r="E50" s="5"/>
      <c r="F50" s="2"/>
      <c r="G50" s="2"/>
      <c r="H50" s="2"/>
      <c r="I50" s="2"/>
      <c r="J50" s="2"/>
      <c r="K50" s="2"/>
      <c r="L50" s="2"/>
      <c r="M50" s="2"/>
      <c r="N50" s="2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.4" customHeight="1" x14ac:dyDescent="0.3">
      <c r="A51" s="12" t="s">
        <v>58</v>
      </c>
      <c r="B51" s="2"/>
      <c r="C51" s="5"/>
      <c r="D51" s="11"/>
      <c r="E51" s="5"/>
      <c r="F51" s="2"/>
      <c r="G51" s="2"/>
      <c r="H51" s="2"/>
      <c r="I51" s="2"/>
      <c r="J51" s="2"/>
      <c r="K51" s="2"/>
      <c r="L51" s="2"/>
      <c r="M51" s="2"/>
      <c r="N51" s="2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.4" customHeight="1" x14ac:dyDescent="0.3">
      <c r="A52" s="12"/>
      <c r="B52" s="2"/>
      <c r="C52" s="5"/>
      <c r="D52" s="11"/>
      <c r="E52" s="5"/>
      <c r="F52" s="2"/>
      <c r="G52" s="2"/>
      <c r="H52" s="2"/>
      <c r="I52" s="2"/>
      <c r="J52" s="2"/>
      <c r="K52" s="2"/>
      <c r="L52" s="2"/>
      <c r="M52" s="2"/>
      <c r="N52" s="2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.4" customHeight="1" x14ac:dyDescent="0.3">
      <c r="A53" s="14" t="s">
        <v>33</v>
      </c>
      <c r="B53" s="2"/>
      <c r="C53" s="5"/>
      <c r="D53" s="11"/>
      <c r="E53" s="5"/>
      <c r="F53" s="2"/>
      <c r="G53" s="2"/>
      <c r="H53" s="2"/>
      <c r="I53" s="2"/>
      <c r="J53" s="2"/>
      <c r="K53" s="2"/>
      <c r="L53" s="2"/>
      <c r="M53" s="2"/>
      <c r="N53" s="2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.4" customHeight="1" x14ac:dyDescent="0.3">
      <c r="A54" s="43" t="s">
        <v>76</v>
      </c>
      <c r="B54" s="2"/>
      <c r="C54" s="5"/>
      <c r="D54" s="11"/>
      <c r="E54" s="5"/>
      <c r="F54" s="2"/>
      <c r="G54" s="2"/>
      <c r="H54" s="2"/>
      <c r="I54" s="2"/>
      <c r="J54" s="2"/>
      <c r="K54" s="2"/>
      <c r="L54" s="2"/>
      <c r="M54" s="2"/>
      <c r="N54" s="2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.4" customHeight="1" x14ac:dyDescent="0.3">
      <c r="A55" s="45" t="s">
        <v>77</v>
      </c>
      <c r="B55" s="2"/>
      <c r="C55" s="5"/>
      <c r="D55" s="11"/>
      <c r="E55" s="5"/>
      <c r="F55" s="2"/>
      <c r="G55" s="2"/>
      <c r="H55" s="2"/>
      <c r="I55" s="2"/>
      <c r="J55" s="2"/>
      <c r="K55" s="2"/>
      <c r="L55" s="2"/>
      <c r="M55" s="2"/>
      <c r="N55" s="2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.4" customHeight="1" x14ac:dyDescent="0.3">
      <c r="A56" s="45" t="s">
        <v>78</v>
      </c>
      <c r="B56" s="2"/>
      <c r="C56" s="5"/>
      <c r="D56" s="11"/>
      <c r="E56" s="5"/>
      <c r="F56" s="2"/>
      <c r="G56" s="2"/>
      <c r="H56" s="2"/>
      <c r="I56" s="2"/>
      <c r="J56" s="2"/>
      <c r="K56" s="2"/>
      <c r="L56" s="2"/>
      <c r="M56" s="2"/>
      <c r="N56" s="2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.4" customHeight="1" x14ac:dyDescent="0.3">
      <c r="A57" s="45"/>
      <c r="B57" s="2"/>
      <c r="C57" s="5"/>
      <c r="D57" s="11"/>
      <c r="E57" s="5"/>
      <c r="F57" s="2"/>
      <c r="G57" s="2"/>
      <c r="H57" s="2"/>
      <c r="I57" s="2"/>
      <c r="J57" s="2"/>
      <c r="K57" s="2"/>
      <c r="L57" s="2"/>
      <c r="M57" s="2"/>
      <c r="N57" s="2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.4" customHeight="1" x14ac:dyDescent="0.3">
      <c r="A58" s="12" t="s">
        <v>72</v>
      </c>
      <c r="B58" s="2"/>
      <c r="C58" s="2"/>
      <c r="D58" s="15"/>
      <c r="E58" s="2"/>
      <c r="F58" s="2"/>
      <c r="G58" s="2"/>
      <c r="H58" s="2"/>
      <c r="I58" s="2"/>
      <c r="J58" s="2"/>
      <c r="K58" s="2"/>
      <c r="L58" s="2"/>
      <c r="M58" s="2"/>
      <c r="N58" s="2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.4" customHeight="1" x14ac:dyDescent="0.3">
      <c r="A59" s="12"/>
      <c r="B59" s="2"/>
      <c r="C59" s="2"/>
      <c r="D59" s="15"/>
      <c r="E59" s="2"/>
      <c r="F59" s="2"/>
      <c r="G59" s="2"/>
      <c r="H59" s="2"/>
      <c r="I59" s="2"/>
      <c r="J59" s="2"/>
      <c r="K59" s="2"/>
      <c r="L59" s="2"/>
      <c r="M59" s="2"/>
      <c r="N59" s="2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.4" customHeight="1" x14ac:dyDescent="0.3">
      <c r="A60" s="12" t="s">
        <v>74</v>
      </c>
      <c r="B60" s="2"/>
      <c r="C60" s="2"/>
      <c r="D60" s="15"/>
      <c r="E60" s="2"/>
      <c r="F60" s="2"/>
      <c r="G60" s="2"/>
      <c r="H60" s="2"/>
      <c r="I60" s="2"/>
      <c r="J60" s="2"/>
      <c r="K60" s="2"/>
      <c r="L60" s="2"/>
      <c r="M60" s="2"/>
      <c r="N60" s="2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.4" customHeight="1" x14ac:dyDescent="0.3">
      <c r="A61" s="12"/>
      <c r="B61" s="2"/>
      <c r="C61" s="2"/>
      <c r="D61" s="15"/>
      <c r="E61" s="2"/>
      <c r="F61" s="2"/>
      <c r="G61" s="2"/>
      <c r="H61" s="2"/>
      <c r="I61" s="2"/>
      <c r="J61" s="2"/>
      <c r="K61" s="2"/>
      <c r="L61" s="2"/>
      <c r="M61" s="2"/>
      <c r="N61" s="2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.4" customHeight="1" x14ac:dyDescent="0.3">
      <c r="A62" s="12" t="s">
        <v>73</v>
      </c>
      <c r="B62" s="2"/>
      <c r="C62" s="2"/>
      <c r="D62" s="15"/>
      <c r="E62" s="2"/>
      <c r="F62" s="2"/>
      <c r="G62" s="2"/>
      <c r="H62" s="2"/>
      <c r="I62" s="2"/>
      <c r="J62" s="2"/>
      <c r="K62" s="2"/>
      <c r="L62" s="2"/>
      <c r="M62" s="2"/>
      <c r="N62" s="2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.4" customHeight="1" x14ac:dyDescent="0.3">
      <c r="A63" s="12"/>
      <c r="B63" s="2"/>
      <c r="C63" s="2"/>
      <c r="D63" s="15"/>
      <c r="E63" s="2"/>
      <c r="F63" s="2"/>
      <c r="G63" s="2"/>
      <c r="H63" s="2"/>
      <c r="I63" s="2"/>
      <c r="J63" s="2"/>
      <c r="K63" s="2"/>
      <c r="L63" s="2"/>
      <c r="M63" s="2"/>
      <c r="N63" s="2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.4" customHeight="1" x14ac:dyDescent="0.3">
      <c r="A64" s="12" t="s">
        <v>34</v>
      </c>
      <c r="B64" s="2"/>
      <c r="C64" s="2"/>
      <c r="D64" s="15"/>
      <c r="E64" s="2"/>
      <c r="F64" s="2"/>
      <c r="G64" s="2"/>
      <c r="H64" s="2"/>
      <c r="I64" s="2"/>
      <c r="J64" s="2"/>
      <c r="K64" s="2"/>
      <c r="L64" s="2"/>
      <c r="M64" s="2"/>
      <c r="N64" s="2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.4" customHeight="1" x14ac:dyDescent="0.3">
      <c r="A65" s="12"/>
      <c r="B65" s="2"/>
      <c r="C65" s="2"/>
      <c r="D65" s="15"/>
      <c r="E65" s="2"/>
      <c r="F65" s="2"/>
      <c r="G65" s="2"/>
      <c r="H65" s="2"/>
      <c r="I65" s="2"/>
      <c r="J65" s="2"/>
      <c r="K65" s="2"/>
      <c r="L65" s="2"/>
      <c r="M65" s="2"/>
      <c r="N65" s="2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.4" customHeight="1" x14ac:dyDescent="0.3">
      <c r="A66" s="12" t="s">
        <v>59</v>
      </c>
      <c r="B66" s="2"/>
      <c r="C66" s="2"/>
      <c r="D66" s="15"/>
      <c r="E66" s="2"/>
      <c r="F66" s="2"/>
      <c r="G66" s="2"/>
      <c r="H66" s="2"/>
      <c r="I66" s="2"/>
      <c r="J66" s="2"/>
      <c r="K66" s="2"/>
      <c r="L66" s="2"/>
      <c r="M66" s="2"/>
      <c r="N66" s="2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.4" customHeight="1" x14ac:dyDescent="0.3">
      <c r="A67" s="12"/>
      <c r="B67" s="2"/>
      <c r="C67" s="2"/>
      <c r="D67" s="15"/>
      <c r="E67" s="2"/>
      <c r="F67" s="2"/>
      <c r="G67" s="2"/>
      <c r="H67" s="2"/>
      <c r="I67" s="2"/>
      <c r="J67" s="2"/>
      <c r="K67" s="2"/>
      <c r="L67" s="2"/>
      <c r="M67" s="2"/>
      <c r="N67" s="2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.4" customHeight="1" x14ac:dyDescent="0.3">
      <c r="A68" s="12" t="s">
        <v>60</v>
      </c>
      <c r="B68" s="2"/>
      <c r="C68" s="2"/>
      <c r="D68" s="15"/>
      <c r="E68" s="2"/>
      <c r="F68" s="2"/>
      <c r="G68" s="2"/>
      <c r="H68" s="2"/>
      <c r="I68" s="2"/>
      <c r="J68" s="2"/>
      <c r="K68" s="2"/>
      <c r="L68" s="2"/>
      <c r="M68" s="2"/>
      <c r="N68" s="2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.4" customHeight="1" x14ac:dyDescent="0.3">
      <c r="A69" s="12"/>
      <c r="B69" s="2"/>
      <c r="C69" s="2"/>
      <c r="D69" s="15"/>
      <c r="E69" s="2"/>
      <c r="F69" s="2"/>
      <c r="G69" s="2"/>
      <c r="H69" s="2"/>
      <c r="I69" s="2"/>
      <c r="J69" s="2"/>
      <c r="K69" s="2"/>
      <c r="L69" s="2"/>
      <c r="M69" s="2"/>
      <c r="N69" s="2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.4" customHeight="1" x14ac:dyDescent="0.3">
      <c r="A70" s="12" t="s">
        <v>61</v>
      </c>
      <c r="B70" s="2"/>
      <c r="C70" s="2"/>
      <c r="D70" s="15"/>
      <c r="E70" s="2"/>
      <c r="F70" s="2"/>
      <c r="G70" s="2"/>
      <c r="H70" s="2"/>
      <c r="I70" s="2"/>
      <c r="J70" s="2"/>
      <c r="K70" s="2"/>
      <c r="L70" s="2"/>
      <c r="M70" s="2"/>
      <c r="N70" s="2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.4" customHeight="1" x14ac:dyDescent="0.3">
      <c r="A71" s="12"/>
      <c r="B71" s="2"/>
      <c r="C71" s="2"/>
      <c r="D71" s="15"/>
      <c r="E71" s="2"/>
      <c r="F71" s="2"/>
      <c r="G71" s="2"/>
      <c r="H71" s="2"/>
      <c r="I71" s="2"/>
      <c r="J71" s="2"/>
      <c r="K71" s="2"/>
      <c r="L71" s="2"/>
      <c r="M71" s="2"/>
      <c r="N71" s="2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.4" customHeight="1" x14ac:dyDescent="0.3">
      <c r="A72" s="12"/>
      <c r="B72" s="2"/>
      <c r="C72" s="2"/>
      <c r="D72" s="15"/>
      <c r="E72" s="2"/>
      <c r="F72" s="2"/>
      <c r="G72" s="2"/>
      <c r="H72" s="2"/>
      <c r="I72" s="2"/>
      <c r="J72" s="2"/>
      <c r="K72" s="2"/>
      <c r="L72" s="2"/>
      <c r="M72" s="2"/>
      <c r="N72" s="2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.4" customHeight="1" x14ac:dyDescent="0.3">
      <c r="A73" s="12"/>
      <c r="B73" s="2"/>
      <c r="C73" s="2"/>
      <c r="D73" s="15"/>
      <c r="E73" s="2"/>
      <c r="F73" s="2"/>
      <c r="G73" s="2"/>
      <c r="H73" s="2"/>
      <c r="I73" s="2"/>
      <c r="J73" s="2"/>
      <c r="K73" s="2"/>
      <c r="L73" s="2"/>
      <c r="M73" s="2"/>
      <c r="N73" s="2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.4" customHeight="1" x14ac:dyDescent="0.3">
      <c r="A74" s="12" t="s">
        <v>35</v>
      </c>
      <c r="B74" s="2"/>
      <c r="C74" s="2"/>
      <c r="D74" s="15"/>
      <c r="E74" s="2"/>
      <c r="F74" s="2"/>
      <c r="G74" s="2"/>
      <c r="H74" s="2"/>
      <c r="I74" s="2"/>
      <c r="J74" s="2"/>
      <c r="K74" s="2"/>
      <c r="L74" s="2"/>
      <c r="M74" s="2"/>
      <c r="N74" s="2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.4" customHeight="1" x14ac:dyDescent="0.3">
      <c r="A75" s="12"/>
      <c r="B75" s="2"/>
      <c r="C75" s="2"/>
      <c r="D75" s="15"/>
      <c r="E75" s="2"/>
      <c r="F75" s="2"/>
      <c r="G75" s="2"/>
      <c r="H75" s="2"/>
      <c r="I75" s="2"/>
      <c r="J75" s="2"/>
      <c r="K75" s="2"/>
      <c r="L75" s="2"/>
      <c r="M75" s="2"/>
      <c r="N75" s="2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4.4" customHeight="1" x14ac:dyDescent="0.3">
      <c r="A76" s="12" t="s">
        <v>36</v>
      </c>
      <c r="B76" s="2"/>
      <c r="C76" s="2"/>
      <c r="D76" s="15"/>
      <c r="E76" s="2"/>
      <c r="F76" s="2"/>
      <c r="G76" s="2"/>
      <c r="H76" s="2"/>
      <c r="I76" s="2"/>
      <c r="J76" s="2"/>
      <c r="K76" s="2"/>
      <c r="L76" s="2"/>
      <c r="M76" s="2"/>
      <c r="N76" s="2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4.4" customHeight="1" x14ac:dyDescent="0.3">
      <c r="A77" s="12"/>
      <c r="B77" s="2"/>
      <c r="C77" s="2"/>
      <c r="D77" s="15"/>
      <c r="E77" s="2"/>
      <c r="F77" s="2"/>
      <c r="G77" s="2"/>
      <c r="H77" s="2"/>
      <c r="I77" s="2"/>
      <c r="J77" s="2"/>
      <c r="K77" s="2"/>
      <c r="L77" s="2"/>
      <c r="M77" s="2"/>
      <c r="N77" s="2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4.4" customHeight="1" x14ac:dyDescent="0.3">
      <c r="A78" s="12" t="s">
        <v>37</v>
      </c>
      <c r="B78" s="2"/>
      <c r="C78" s="2"/>
      <c r="D78" s="15"/>
      <c r="E78" s="2"/>
      <c r="F78" s="2"/>
      <c r="G78" s="2"/>
      <c r="H78" s="2"/>
      <c r="I78" s="2"/>
      <c r="J78" s="2"/>
      <c r="K78" s="2"/>
      <c r="L78" s="2"/>
      <c r="M78" s="2"/>
      <c r="N78" s="2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4.4" customHeight="1" x14ac:dyDescent="0.3">
      <c r="A79" s="12"/>
      <c r="B79" s="2"/>
      <c r="C79" s="2"/>
      <c r="D79" s="15"/>
      <c r="E79" s="2"/>
      <c r="F79" s="2"/>
      <c r="G79" s="2"/>
      <c r="H79" s="2"/>
      <c r="I79" s="2"/>
      <c r="J79" s="2"/>
      <c r="K79" s="2"/>
      <c r="L79" s="2"/>
      <c r="M79" s="2"/>
      <c r="N79" s="2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4.4" customHeight="1" x14ac:dyDescent="0.3">
      <c r="A80" s="12" t="s">
        <v>38</v>
      </c>
      <c r="B80" s="2"/>
      <c r="C80" s="2"/>
      <c r="D80" s="15"/>
      <c r="E80" s="2"/>
      <c r="F80" s="2"/>
      <c r="G80" s="2"/>
      <c r="H80" s="2"/>
      <c r="I80" s="2"/>
      <c r="J80" s="2"/>
      <c r="K80" s="2"/>
      <c r="L80" s="2"/>
      <c r="M80" s="2"/>
      <c r="N80" s="2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4.4" customHeight="1" x14ac:dyDescent="0.3">
      <c r="A81" s="12"/>
      <c r="B81" s="2"/>
      <c r="C81" s="2"/>
      <c r="D81" s="11"/>
      <c r="E81" s="5"/>
      <c r="F81" s="5"/>
      <c r="G81" s="2"/>
      <c r="H81" s="2"/>
      <c r="I81" s="2"/>
      <c r="J81" s="2"/>
      <c r="K81" s="2"/>
      <c r="L81" s="2"/>
      <c r="M81" s="2"/>
      <c r="N81" s="2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4.4" customHeight="1" x14ac:dyDescent="0.3">
      <c r="A82" s="12" t="s">
        <v>39</v>
      </c>
      <c r="B82" s="2"/>
      <c r="C82" s="2"/>
      <c r="D82" s="11"/>
      <c r="E82" s="5"/>
      <c r="F82" s="5"/>
      <c r="G82" s="2"/>
      <c r="H82" s="2"/>
      <c r="I82" s="2"/>
      <c r="J82" s="2"/>
      <c r="K82" s="2"/>
      <c r="L82" s="2"/>
      <c r="M82" s="2"/>
      <c r="N82" s="2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4.4" customHeight="1" x14ac:dyDescent="0.3">
      <c r="A83" s="12"/>
      <c r="B83" s="2"/>
      <c r="C83" s="2"/>
      <c r="D83" s="11"/>
      <c r="E83" s="5"/>
      <c r="F83" s="5"/>
      <c r="G83" s="2"/>
      <c r="H83" s="2"/>
      <c r="I83" s="2"/>
      <c r="J83" s="2"/>
      <c r="K83" s="2"/>
      <c r="L83" s="2"/>
      <c r="M83" s="2"/>
      <c r="N83" s="2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4.4" customHeight="1" x14ac:dyDescent="0.3">
      <c r="A84" s="12" t="s">
        <v>40</v>
      </c>
      <c r="B84" s="2"/>
      <c r="C84" s="2"/>
      <c r="D84" s="11"/>
      <c r="E84" s="5"/>
      <c r="F84" s="5"/>
      <c r="G84" s="2"/>
      <c r="H84" s="2"/>
      <c r="I84" s="2"/>
      <c r="J84" s="2"/>
      <c r="K84" s="2"/>
      <c r="L84" s="2"/>
      <c r="M84" s="2"/>
      <c r="N84" s="2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4.4" customHeight="1" x14ac:dyDescent="0.3">
      <c r="A85" s="12"/>
      <c r="B85" s="2"/>
      <c r="C85" s="2"/>
      <c r="D85" s="11"/>
      <c r="E85" s="5"/>
      <c r="F85" s="5"/>
      <c r="G85" s="2"/>
      <c r="H85" s="2"/>
      <c r="I85" s="2"/>
      <c r="J85" s="2"/>
      <c r="K85" s="2"/>
      <c r="L85" s="2"/>
      <c r="M85" s="2"/>
      <c r="N85" s="2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4.4" customHeight="1" x14ac:dyDescent="0.3">
      <c r="A86" s="12" t="s">
        <v>41</v>
      </c>
      <c r="B86" s="2"/>
      <c r="C86" s="2"/>
      <c r="D86" s="11"/>
      <c r="E86" s="5"/>
      <c r="F86" s="5"/>
      <c r="G86" s="2"/>
      <c r="H86" s="2"/>
      <c r="I86" s="2"/>
      <c r="J86" s="2"/>
      <c r="K86" s="2"/>
      <c r="L86" s="2"/>
      <c r="M86" s="2"/>
      <c r="N86" s="2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4.4" customHeight="1" x14ac:dyDescent="0.3">
      <c r="A87" s="12"/>
      <c r="B87" s="2"/>
      <c r="C87" s="2"/>
      <c r="D87" s="11"/>
      <c r="E87" s="5"/>
      <c r="F87" s="5"/>
      <c r="G87" s="2"/>
      <c r="H87" s="2"/>
      <c r="I87" s="2"/>
      <c r="J87" s="2"/>
      <c r="K87" s="2"/>
      <c r="L87" s="2"/>
      <c r="M87" s="2"/>
      <c r="N87" s="2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3">
      <c r="A88" s="12" t="s">
        <v>62</v>
      </c>
      <c r="B88" s="2"/>
      <c r="C88" s="2"/>
      <c r="D88" s="15"/>
      <c r="E88" s="2"/>
      <c r="F88" s="2"/>
      <c r="G88" s="2"/>
      <c r="H88" s="2"/>
      <c r="I88" s="2"/>
      <c r="J88" s="2"/>
      <c r="K88" s="2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3">
      <c r="A89" s="12"/>
      <c r="B89" s="2"/>
      <c r="C89" s="2"/>
      <c r="D89" s="15"/>
      <c r="E89" s="2"/>
      <c r="F89" s="2"/>
      <c r="G89" s="2"/>
      <c r="H89" s="2"/>
      <c r="I89" s="2"/>
      <c r="J89" s="2"/>
      <c r="K89" s="2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3">
      <c r="A90" s="12" t="s">
        <v>42</v>
      </c>
      <c r="B90" s="2"/>
      <c r="C90" s="2"/>
      <c r="D90" s="15"/>
      <c r="E90" s="2"/>
      <c r="F90" s="2"/>
      <c r="G90" s="2"/>
      <c r="H90" s="2"/>
      <c r="I90" s="2"/>
      <c r="J90" s="2"/>
      <c r="K90" s="2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3">
      <c r="A91" s="12"/>
      <c r="B91" s="2"/>
      <c r="C91" s="2"/>
      <c r="D91" s="15"/>
      <c r="E91" s="2"/>
      <c r="F91" s="2"/>
      <c r="G91" s="2"/>
      <c r="H91" s="2"/>
      <c r="I91" s="2"/>
      <c r="J91" s="2"/>
      <c r="K91" s="2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3">
      <c r="A92" s="12" t="s">
        <v>43</v>
      </c>
      <c r="B92" s="2"/>
      <c r="C92" s="2"/>
      <c r="D92" s="15"/>
      <c r="E92" s="2"/>
      <c r="F92" s="2"/>
      <c r="G92" s="2"/>
      <c r="H92" s="2"/>
      <c r="I92" s="2"/>
      <c r="J92" s="2"/>
      <c r="K92" s="2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3">
      <c r="A93" s="12"/>
      <c r="B93" s="2"/>
      <c r="C93" s="2"/>
      <c r="D93" s="15"/>
      <c r="E93" s="2"/>
      <c r="F93" s="2"/>
      <c r="G93" s="2"/>
      <c r="H93" s="2"/>
      <c r="I93" s="2"/>
      <c r="J93" s="2"/>
      <c r="K93" s="2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3">
      <c r="A94" s="12" t="s">
        <v>44</v>
      </c>
      <c r="B94" s="2"/>
      <c r="C94" s="2"/>
      <c r="D94" s="15"/>
      <c r="E94" s="2"/>
      <c r="F94" s="2"/>
      <c r="G94" s="2"/>
      <c r="H94" s="2"/>
      <c r="I94" s="2"/>
      <c r="J94" s="2"/>
      <c r="K94" s="2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3">
      <c r="A95" s="12"/>
      <c r="B95" s="2"/>
      <c r="C95" s="2"/>
      <c r="D95" s="15"/>
      <c r="E95" s="2"/>
      <c r="F95" s="2"/>
      <c r="G95" s="2"/>
      <c r="H95" s="2"/>
      <c r="I95" s="2"/>
      <c r="J95" s="2"/>
      <c r="K95" s="2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3">
      <c r="A96" s="12"/>
      <c r="B96" s="2"/>
      <c r="C96" s="2"/>
      <c r="D96" s="15"/>
      <c r="E96" s="2"/>
      <c r="F96" s="2"/>
      <c r="G96" s="2"/>
      <c r="H96" s="2"/>
      <c r="I96" s="2"/>
      <c r="J96" s="2"/>
      <c r="K96" s="2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3">
      <c r="A97" s="12"/>
      <c r="B97" s="2"/>
      <c r="C97" s="2"/>
      <c r="D97" s="15"/>
      <c r="E97" s="2"/>
      <c r="F97" s="2"/>
      <c r="G97" s="2"/>
      <c r="H97" s="2"/>
      <c r="I97" s="2"/>
      <c r="J97" s="2"/>
      <c r="K97" s="2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3">
      <c r="A98" s="12" t="s">
        <v>45</v>
      </c>
      <c r="B98" s="2"/>
      <c r="C98" s="2"/>
      <c r="D98" s="15"/>
      <c r="E98" s="2"/>
      <c r="F98" s="2"/>
      <c r="G98" s="2"/>
      <c r="H98" s="2"/>
      <c r="I98" s="2"/>
      <c r="J98" s="2"/>
      <c r="K98" s="2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3">
      <c r="A99" s="12"/>
      <c r="B99" s="2"/>
      <c r="C99" s="2"/>
      <c r="D99" s="15"/>
      <c r="E99" s="2"/>
      <c r="F99" s="2"/>
      <c r="G99" s="2"/>
      <c r="H99" s="2"/>
      <c r="I99" s="2"/>
      <c r="J99" s="2"/>
      <c r="K99" s="2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3">
      <c r="A100" s="12" t="s">
        <v>63</v>
      </c>
      <c r="B100" s="2"/>
      <c r="C100" s="2"/>
      <c r="D100" s="15"/>
      <c r="E100" s="2"/>
      <c r="F100" s="2"/>
      <c r="G100" s="2"/>
      <c r="H100" s="2"/>
      <c r="I100" s="2"/>
      <c r="J100" s="2"/>
      <c r="K100" s="2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3">
      <c r="A101" s="12"/>
      <c r="B101" s="2"/>
      <c r="C101" s="2"/>
      <c r="D101" s="15"/>
      <c r="E101" s="2"/>
      <c r="F101" s="2"/>
      <c r="G101" s="2"/>
      <c r="H101" s="2"/>
      <c r="I101" s="2"/>
      <c r="J101" s="2"/>
      <c r="K101" s="2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3">
      <c r="A102" s="12" t="s">
        <v>64</v>
      </c>
      <c r="B102" s="2"/>
      <c r="C102" s="2"/>
      <c r="D102" s="15"/>
      <c r="E102" s="2"/>
      <c r="F102" s="2"/>
      <c r="G102" s="2"/>
      <c r="H102" s="2"/>
      <c r="I102" s="2"/>
      <c r="J102" s="2"/>
      <c r="K102" s="2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3">
      <c r="A103" s="12"/>
      <c r="B103" s="2"/>
      <c r="C103" s="2"/>
      <c r="D103" s="15"/>
      <c r="E103" s="2"/>
      <c r="F103" s="2"/>
      <c r="G103" s="2"/>
      <c r="H103" s="2"/>
      <c r="I103" s="2"/>
      <c r="J103" s="2"/>
      <c r="K103" s="2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3">
      <c r="A104" s="12" t="s">
        <v>65</v>
      </c>
      <c r="B104" s="2"/>
      <c r="C104" s="2"/>
      <c r="D104" s="15"/>
      <c r="E104" s="2"/>
      <c r="F104" s="2"/>
      <c r="G104" s="2"/>
      <c r="H104" s="2"/>
      <c r="I104" s="2"/>
      <c r="J104" s="2"/>
      <c r="K104" s="2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3">
      <c r="A105" s="12"/>
      <c r="B105" s="2"/>
      <c r="C105" s="2"/>
      <c r="D105" s="15"/>
      <c r="E105" s="2"/>
      <c r="F105" s="2"/>
      <c r="G105" s="2"/>
      <c r="H105" s="2"/>
      <c r="I105" s="2"/>
      <c r="J105" s="2"/>
      <c r="K105" s="2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3">
      <c r="A106" s="12" t="s">
        <v>66</v>
      </c>
      <c r="B106" s="2"/>
      <c r="C106" s="2"/>
      <c r="D106" s="15"/>
      <c r="E106" s="2"/>
      <c r="F106" s="2"/>
      <c r="G106" s="2"/>
      <c r="H106" s="2"/>
      <c r="I106" s="2"/>
      <c r="J106" s="2"/>
      <c r="K106" s="2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3">
      <c r="A107" s="12"/>
      <c r="B107" s="2"/>
      <c r="C107" s="2"/>
      <c r="D107" s="15"/>
      <c r="E107" s="2"/>
      <c r="F107" s="2"/>
      <c r="G107" s="2"/>
      <c r="H107" s="2"/>
      <c r="I107" s="2"/>
      <c r="J107" s="2"/>
      <c r="K107" s="2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3">
      <c r="A108" s="12" t="s">
        <v>67</v>
      </c>
      <c r="B108" s="2"/>
      <c r="C108" s="2"/>
      <c r="D108" s="15"/>
      <c r="E108" s="2"/>
      <c r="F108" s="2"/>
      <c r="G108" s="2"/>
      <c r="H108" s="2"/>
      <c r="I108" s="2"/>
      <c r="J108" s="2"/>
      <c r="K108" s="2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3">
      <c r="A109" s="12"/>
      <c r="B109" s="2"/>
      <c r="C109" s="2"/>
      <c r="D109" s="15"/>
      <c r="E109" s="2"/>
      <c r="F109" s="2"/>
      <c r="G109" s="2"/>
      <c r="H109" s="2"/>
      <c r="I109" s="2"/>
      <c r="J109" s="2"/>
      <c r="K109" s="2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3">
      <c r="A110" s="12"/>
      <c r="B110" s="2"/>
      <c r="C110" s="2"/>
      <c r="D110" s="15"/>
      <c r="E110" s="2"/>
      <c r="F110" s="2"/>
      <c r="G110" s="2"/>
      <c r="H110" s="2"/>
      <c r="I110" s="2"/>
      <c r="J110" s="2"/>
      <c r="K110" s="2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3">
      <c r="A111" s="12"/>
      <c r="B111" s="2"/>
      <c r="C111" s="2"/>
      <c r="D111" s="15"/>
      <c r="E111" s="2"/>
      <c r="F111" s="2"/>
      <c r="G111" s="2"/>
      <c r="H111" s="2"/>
      <c r="I111" s="2"/>
      <c r="J111" s="2"/>
      <c r="K111" s="2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3">
      <c r="A112" s="12" t="s">
        <v>68</v>
      </c>
      <c r="B112" s="2"/>
      <c r="C112" s="2"/>
      <c r="D112" s="15"/>
      <c r="E112" s="2"/>
      <c r="F112" s="2"/>
      <c r="G112" s="2"/>
      <c r="H112" s="2"/>
      <c r="I112" s="2"/>
      <c r="J112" s="2"/>
      <c r="K112" s="2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3">
      <c r="A113" s="12" t="s">
        <v>69</v>
      </c>
      <c r="B113" s="2"/>
      <c r="C113" s="2"/>
      <c r="D113" s="15"/>
      <c r="E113" s="2"/>
      <c r="F113" s="2"/>
      <c r="G113" s="2"/>
      <c r="H113" s="2"/>
      <c r="I113" s="2"/>
      <c r="J113" s="2"/>
      <c r="K113" s="2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3">
      <c r="A114" s="12" t="s">
        <v>46</v>
      </c>
      <c r="B114" s="2"/>
      <c r="C114" s="2"/>
      <c r="D114" s="15"/>
      <c r="E114" s="2"/>
      <c r="F114" s="2"/>
      <c r="G114" s="2"/>
      <c r="H114" s="2"/>
      <c r="I114" s="2"/>
      <c r="J114" s="2"/>
      <c r="K114" s="2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3">
      <c r="A115" s="12" t="s">
        <v>47</v>
      </c>
      <c r="B115" s="2"/>
      <c r="C115" s="2"/>
      <c r="D115" s="15"/>
      <c r="E115" s="2"/>
      <c r="F115" s="2"/>
      <c r="G115" s="2"/>
      <c r="H115" s="2"/>
      <c r="I115" s="2"/>
      <c r="J115" s="2"/>
      <c r="K115" s="2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3">
      <c r="A116" s="12"/>
      <c r="B116" s="2"/>
      <c r="C116" s="2"/>
      <c r="D116" s="15"/>
      <c r="E116" s="2"/>
      <c r="F116" s="2"/>
      <c r="G116" s="2"/>
      <c r="H116" s="2"/>
      <c r="I116" s="2"/>
      <c r="J116" s="2"/>
      <c r="K116" s="2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3">
      <c r="A117" s="12" t="s">
        <v>48</v>
      </c>
      <c r="B117" s="2"/>
      <c r="C117" s="2"/>
      <c r="D117" s="15"/>
      <c r="E117" s="2"/>
      <c r="F117" s="2"/>
      <c r="G117" s="2"/>
      <c r="H117" s="2"/>
      <c r="I117" s="2"/>
      <c r="J117" s="2"/>
      <c r="K117" s="2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3">
      <c r="A118" s="12" t="s">
        <v>70</v>
      </c>
      <c r="B118" s="2"/>
      <c r="C118" s="2"/>
      <c r="D118" s="15"/>
      <c r="E118" s="2"/>
      <c r="F118" s="2"/>
      <c r="G118" s="2"/>
      <c r="H118" s="2"/>
      <c r="I118" s="2"/>
      <c r="J118" s="2"/>
      <c r="K118" s="2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3">
      <c r="A119" s="12"/>
      <c r="B119" s="2"/>
      <c r="C119" s="2"/>
      <c r="D119" s="15"/>
      <c r="E119" s="2"/>
      <c r="F119" s="2"/>
      <c r="G119" s="2"/>
      <c r="H119" s="2"/>
      <c r="I119" s="2"/>
      <c r="J119" s="2"/>
      <c r="K119" s="2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" thickBot="1" x14ac:dyDescent="0.35">
      <c r="A120" s="16"/>
      <c r="B120" s="17"/>
      <c r="C120" s="17"/>
      <c r="D120" s="18"/>
      <c r="E120" s="2"/>
      <c r="F120" s="2"/>
      <c r="G120" s="2"/>
      <c r="H120" s="2"/>
      <c r="I120" s="2"/>
      <c r="J120" s="2"/>
      <c r="K120" s="2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3">
      <c r="A147" s="2" t="s">
        <v>79</v>
      </c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3">
      <c r="A148" s="2" t="s">
        <v>80</v>
      </c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</sheetData>
  <sheetProtection algorithmName="SHA-512" hashValue="zcWLU4JX2MoqeSB943xZ1Lyi+wRMiPM5sYN4JL1/hIpbG9uhOA56KYHe/STSiqn8QS6p/sskish27Iz8Tu8XDA==" saltValue="UDCEFsRcripLPeR24bRXbA==" spinCount="100000" sheet="1" objects="1" scenarios="1" selectLockedCells="1" selectUnlockedCells="1"/>
  <hyperlinks>
    <hyperlink ref="A53" r:id="rId1" display="http://www.yscapgroup.com/" xr:uid="{523CE07E-2488-4F3E-BA09-5975104B02BE}"/>
  </hyperlinks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FC264900052B4E8B7EFCB5708AF87F" ma:contentTypeVersion="14" ma:contentTypeDescription="Create a new document." ma:contentTypeScope="" ma:versionID="64d2cbc56a22ac5cd338f08e0e4464ab">
  <xsd:schema xmlns:xsd="http://www.w3.org/2001/XMLSchema" xmlns:xs="http://www.w3.org/2001/XMLSchema" xmlns:p="http://schemas.microsoft.com/office/2006/metadata/properties" xmlns:ns2="e8e991a0-14da-48f8-b377-886d3df09443" xmlns:ns3="d7eac4ec-cfe6-44c1-8384-f889af4f723e" targetNamespace="http://schemas.microsoft.com/office/2006/metadata/properties" ma:root="true" ma:fieldsID="8a18193c64b0e2170cc0565e8c23d6ba" ns2:_="" ns3:_="">
    <xsd:import namespace="e8e991a0-14da-48f8-b377-886d3df09443"/>
    <xsd:import namespace="d7eac4ec-cfe6-44c1-8384-f889af4f72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e991a0-14da-48f8-b377-886d3df094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b6a5766-90f7-438b-82a3-36862ccf51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eac4ec-cfe6-44c1-8384-f889af4f723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020f1e17-e6f4-4609-9b1d-e1ed074f2e8b}" ma:internalName="TaxCatchAll" ma:showField="CatchAllData" ma:web="d7eac4ec-cfe6-44c1-8384-f889af4f72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7eac4ec-cfe6-44c1-8384-f889af4f723e" xsi:nil="true"/>
    <lcf76f155ced4ddcb4097134ff3c332f xmlns="e8e991a0-14da-48f8-b377-886d3df09443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8F3A20C-F46E-4647-B65D-266FE8D19DB4}"/>
</file>

<file path=customXml/itemProps2.xml><?xml version="1.0" encoding="utf-8"?>
<ds:datastoreItem xmlns:ds="http://schemas.openxmlformats.org/officeDocument/2006/customXml" ds:itemID="{C044CADB-2C83-415F-A294-DBF919E0A950}">
  <ds:schemaRefs>
    <ds:schemaRef ds:uri="http://schemas.microsoft.com/office/2006/metadata/properties"/>
    <ds:schemaRef ds:uri="http://schemas.microsoft.com/office/infopath/2007/PartnerControls"/>
    <ds:schemaRef ds:uri="d7eac4ec-cfe6-44c1-8384-f889af4f723e"/>
    <ds:schemaRef ds:uri="e8e991a0-14da-48f8-b377-886d3df09443"/>
  </ds:schemaRefs>
</ds:datastoreItem>
</file>

<file path=customXml/itemProps3.xml><?xml version="1.0" encoding="utf-8"?>
<ds:datastoreItem xmlns:ds="http://schemas.openxmlformats.org/officeDocument/2006/customXml" ds:itemID="{5F8E8FD8-3117-4A7F-ADE9-92D2D34522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Loan Comparison</vt:lpstr>
      <vt:lpstr>Sample</vt:lpstr>
      <vt:lpstr>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Yehuda Bochner</dc:creator>
  <cp:lastModifiedBy>Yehuda Bochner</cp:lastModifiedBy>
  <dcterms:created xsi:type="dcterms:W3CDTF">2025-04-03T23:57:03Z</dcterms:created>
  <dcterms:modified xsi:type="dcterms:W3CDTF">2025-05-22T05:25:08Z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0x01010013FC264900052B4E8B7EFCB5708AF87F</vt:lpwstr>
  </property>
  <property fmtid="{D5CDD505-2E9C-101B-9397-08002B2CF9AE}" pid="3" name="MediaServiceImageTags">
    <vt:lpwstr/>
  </property>
</Properties>
</file>