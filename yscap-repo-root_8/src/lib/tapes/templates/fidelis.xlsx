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efe0440d-a9cf-453c-9877-317dbf10424a/WOPIServiceId_TP_EGNYTE_PLUS/WOPIUserId_-/"/>
    </mc:Choice>
  </mc:AlternateContent>
  <xr:revisionPtr revIDLastSave="148" documentId="13_ncr:1_{CF08DE1B-A8F3-4BDB-9E15-8F13C55377D6}" xr6:coauthVersionLast="47" xr6:coauthVersionMax="47" xr10:uidLastSave="{821B053E-78BC-4C97-8B7F-15B73A3C2A89}"/>
  <bookViews>
    <workbookView xWindow="57480" yWindow="-120" windowWidth="29040" windowHeight="15720" firstSheet="3" activeTab="4" xr2:uid="{00000000-000D-0000-FFFF-FFFF00000000}"/>
  </bookViews>
  <sheets>
    <sheet name="Pricing Matrix" sheetId="1" state="veryHidden" r:id="rId1"/>
    <sheet name="Guideline Limits" sheetId="2" state="veryHidden" r:id="rId2"/>
    <sheet name="Rate Assumptions" sheetId="3" state="veryHidden" r:id="rId3"/>
    <sheet name="Buy Rate" sheetId="4" r:id="rId4"/>
    <sheet name="Data Tape" sheetId="6" r:id="rId5"/>
    <sheet name="Definitions" sheetId="7" r:id="rId6"/>
    <sheet name="Rate Build-Up" sheetId="5" state="veryHidden" r:id="rId7"/>
  </sheets>
  <definedNames>
    <definedName name="_xlnm.Print_Area" localSheetId="3">'Buy Rate'!$A$1:$B$44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28" i="4" s="1"/>
  <c r="B19" i="5" s="1"/>
  <c r="B7" i="4"/>
  <c r="B30" i="4" s="1"/>
  <c r="B21" i="5" s="1"/>
  <c r="B11" i="4"/>
  <c r="B12" i="5" s="1"/>
  <c r="B9" i="4"/>
  <c r="B10" i="5" s="1"/>
  <c r="B16" i="4"/>
  <c r="B34" i="5" s="1"/>
  <c r="B36" i="5" s="1"/>
  <c r="B15" i="4"/>
  <c r="B14" i="4"/>
  <c r="B34" i="4" s="1"/>
  <c r="B25" i="5" s="1"/>
  <c r="B12" i="4"/>
  <c r="B13" i="5" s="1"/>
  <c r="B10" i="4"/>
  <c r="B11" i="5" s="1"/>
  <c r="B8" i="4"/>
  <c r="B9" i="5" s="1"/>
  <c r="B6" i="4"/>
  <c r="B29" i="4" s="1"/>
  <c r="B20" i="5" s="1"/>
  <c r="B4" i="4"/>
  <c r="B33" i="4" s="1"/>
  <c r="B24" i="5" s="1"/>
  <c r="J5" i="1"/>
  <c r="B28" i="5"/>
  <c r="B27" i="5"/>
  <c r="B14" i="5"/>
  <c r="P22" i="1"/>
  <c r="O22" i="1"/>
  <c r="N22" i="1"/>
  <c r="M22" i="1"/>
  <c r="L22" i="1"/>
  <c r="K22" i="1"/>
  <c r="J22" i="1"/>
  <c r="P21" i="1"/>
  <c r="O21" i="1"/>
  <c r="N21" i="1"/>
  <c r="M21" i="1"/>
  <c r="L21" i="1"/>
  <c r="K21" i="1"/>
  <c r="J21" i="1"/>
  <c r="P20" i="1"/>
  <c r="O20" i="1"/>
  <c r="N20" i="1"/>
  <c r="M20" i="1"/>
  <c r="L20" i="1"/>
  <c r="K20" i="1"/>
  <c r="J20" i="1"/>
  <c r="P19" i="1"/>
  <c r="O19" i="1"/>
  <c r="N19" i="1"/>
  <c r="M19" i="1"/>
  <c r="L19" i="1"/>
  <c r="K19" i="1"/>
  <c r="J19" i="1"/>
  <c r="P18" i="1"/>
  <c r="O18" i="1"/>
  <c r="N18" i="1"/>
  <c r="M18" i="1"/>
  <c r="L18" i="1"/>
  <c r="K18" i="1"/>
  <c r="J18" i="1"/>
  <c r="P17" i="1"/>
  <c r="O17" i="1"/>
  <c r="N17" i="1"/>
  <c r="M17" i="1"/>
  <c r="L17" i="1"/>
  <c r="K17" i="1"/>
  <c r="J17" i="1"/>
  <c r="P15" i="1"/>
  <c r="O15" i="1"/>
  <c r="N15" i="1"/>
  <c r="M15" i="1"/>
  <c r="L15" i="1"/>
  <c r="K15" i="1"/>
  <c r="J15" i="1"/>
  <c r="P14" i="1"/>
  <c r="O14" i="1"/>
  <c r="N14" i="1"/>
  <c r="M14" i="1"/>
  <c r="L14" i="1"/>
  <c r="K14" i="1"/>
  <c r="J14" i="1"/>
  <c r="P13" i="1"/>
  <c r="O13" i="1"/>
  <c r="N13" i="1"/>
  <c r="M13" i="1"/>
  <c r="L13" i="1"/>
  <c r="K13" i="1"/>
  <c r="J13" i="1"/>
  <c r="P12" i="1"/>
  <c r="O12" i="1"/>
  <c r="N12" i="1"/>
  <c r="M12" i="1"/>
  <c r="L12" i="1"/>
  <c r="K12" i="1"/>
  <c r="J12" i="1"/>
  <c r="P11" i="1"/>
  <c r="O11" i="1"/>
  <c r="N11" i="1"/>
  <c r="M11" i="1"/>
  <c r="L11" i="1"/>
  <c r="K11" i="1"/>
  <c r="J11" i="1"/>
  <c r="P10" i="1"/>
  <c r="O10" i="1"/>
  <c r="N10" i="1"/>
  <c r="M10" i="1"/>
  <c r="L10" i="1"/>
  <c r="K10" i="1"/>
  <c r="J10" i="1"/>
  <c r="P9" i="1"/>
  <c r="O9" i="1"/>
  <c r="N9" i="1"/>
  <c r="M9" i="1"/>
  <c r="L9" i="1"/>
  <c r="K9" i="1"/>
  <c r="J9" i="1"/>
  <c r="P8" i="1"/>
  <c r="O8" i="1"/>
  <c r="N8" i="1"/>
  <c r="M8" i="1"/>
  <c r="L8" i="1"/>
  <c r="K8" i="1"/>
  <c r="J8" i="1"/>
  <c r="P7" i="1"/>
  <c r="O7" i="1"/>
  <c r="N7" i="1"/>
  <c r="M7" i="1"/>
  <c r="L7" i="1"/>
  <c r="K7" i="1"/>
  <c r="J7" i="1"/>
  <c r="P6" i="1"/>
  <c r="O6" i="1"/>
  <c r="N6" i="1"/>
  <c r="M6" i="1"/>
  <c r="L6" i="1"/>
  <c r="K6" i="1"/>
  <c r="J6" i="1"/>
  <c r="P5" i="1"/>
  <c r="O5" i="1"/>
  <c r="N5" i="1"/>
  <c r="M5" i="1"/>
  <c r="L5" i="1"/>
  <c r="K5" i="1"/>
  <c r="B27" i="4" l="1"/>
  <c r="B31" i="4" s="1"/>
  <c r="B22" i="5" s="1"/>
  <c r="B35" i="4"/>
  <c r="B26" i="5" s="1"/>
  <c r="B15" i="5"/>
  <c r="B32" i="4"/>
  <c r="B23" i="5" s="1"/>
  <c r="B8" i="5"/>
  <c r="B7" i="5"/>
  <c r="B5" i="5"/>
  <c r="B6" i="5"/>
  <c r="B20" i="4"/>
  <c r="B25" i="4" l="1"/>
  <c r="B43" i="4" s="1"/>
  <c r="F9" i="5" s="1"/>
  <c r="B21" i="4"/>
  <c r="E5" i="5" s="1"/>
  <c r="B24" i="4"/>
  <c r="E8" i="5" s="1"/>
  <c r="B29" i="5"/>
  <c r="B37" i="5" s="1"/>
  <c r="B22" i="4"/>
  <c r="B40" i="4" s="1"/>
  <c r="F6" i="5" s="1"/>
  <c r="B23" i="4"/>
  <c r="E7" i="5" s="1"/>
  <c r="E9" i="5"/>
  <c r="B42" i="4" l="1"/>
  <c r="F8" i="5" s="1"/>
  <c r="B26" i="4"/>
  <c r="B36" i="4" s="1"/>
  <c r="B30" i="5" s="1"/>
  <c r="B39" i="4"/>
  <c r="F5" i="5" s="1"/>
  <c r="E6" i="5"/>
  <c r="B41" i="4"/>
  <c r="F7" i="5" s="1"/>
  <c r="B44" i="4" l="1"/>
  <c r="F10" i="5"/>
  <c r="B35" i="5"/>
</calcChain>
</file>

<file path=xl/sharedStrings.xml><?xml version="1.0" encoding="utf-8"?>
<sst xmlns="http://schemas.openxmlformats.org/spreadsheetml/2006/main" count="541" uniqueCount="248">
  <si>
    <t>Loan Quote Evaluator</t>
  </si>
  <si>
    <t>Loan Type</t>
  </si>
  <si>
    <t>Purchase</t>
  </si>
  <si>
    <t>Strategy</t>
  </si>
  <si>
    <t>Fix &amp; Flip / Fix &amp; Hold</t>
  </si>
  <si>
    <t>Borrower Tier</t>
  </si>
  <si>
    <t>Tier 1</t>
  </si>
  <si>
    <t>FICO</t>
  </si>
  <si>
    <t>Total Loan Amount</t>
  </si>
  <si>
    <t>Acq LTV</t>
  </si>
  <si>
    <t>ARLTV</t>
  </si>
  <si>
    <t>LTC</t>
  </si>
  <si>
    <t>Term Months</t>
  </si>
  <si>
    <t>Cash-Out Refi?</t>
  </si>
  <si>
    <t>No</t>
  </si>
  <si>
    <t>Foreclosure Type</t>
  </si>
  <si>
    <t>Sq. Ft Addition?</t>
  </si>
  <si>
    <t>Heavy Rehab (&gt;25%)</t>
  </si>
  <si>
    <t>Guideline Key</t>
  </si>
  <si>
    <t>Max Loan Amount</t>
  </si>
  <si>
    <t>Min FICO</t>
  </si>
  <si>
    <t>Max Acq LTV</t>
  </si>
  <si>
    <t>Max ARLTV</t>
  </si>
  <si>
    <t>Max LTC</t>
  </si>
  <si>
    <t>Guideline Eligible?</t>
  </si>
  <si>
    <t>Pricing Leverage Bucket</t>
  </si>
  <si>
    <t>Base Rate</t>
  </si>
  <si>
    <t>Tier Adjustment</t>
  </si>
  <si>
    <t>FICO Adjustment</t>
  </si>
  <si>
    <t>Leverage Adjustment</t>
  </si>
  <si>
    <t>Term Adjustment</t>
  </si>
  <si>
    <t>Cash-Out Adjustment</t>
  </si>
  <si>
    <t>Foreclosure Adjustment</t>
  </si>
  <si>
    <t>Heavy Rehab Adjustment</t>
  </si>
  <si>
    <t>Calculated Buy Rate</t>
  </si>
  <si>
    <t>Loan Amount Test</t>
  </si>
  <si>
    <t>FICO Test</t>
  </si>
  <si>
    <t>Acq LTV Test</t>
  </si>
  <si>
    <t>ARLTV Test</t>
  </si>
  <si>
    <t>LTC Test</t>
  </si>
  <si>
    <t>Summary</t>
  </si>
  <si>
    <t>Fidelis Investors Pricing Matrix - Layered Guideline Version</t>
  </si>
  <si>
    <t>Rates are shown only where the guideline LTC bucket is eligible; Acq LTV and ARLTV caps must also be met</t>
  </si>
  <si>
    <t>Tier</t>
  </si>
  <si>
    <t>Max Loan Amt</t>
  </si>
  <si>
    <t>Notes</t>
  </si>
  <si>
    <t>Projects with sq. ft additions capped at 87.5% LTC</t>
  </si>
  <si>
    <t>Tier 2</t>
  </si>
  <si>
    <t>Tier 3</t>
  </si>
  <si>
    <t>New Construction</t>
  </si>
  <si>
    <t>Max Acq. LTV subject to soft costs included in construction budget</t>
  </si>
  <si>
    <t>Bridge</t>
  </si>
  <si>
    <t>Refinance</t>
  </si>
  <si>
    <t>Mid-construction refinances ineligible</t>
  </si>
  <si>
    <t>N/A</t>
  </si>
  <si>
    <t>Ineligible</t>
  </si>
  <si>
    <t>"Ineligible"</t>
  </si>
  <si>
    <t>Control notes: Rate cells are suppressed as N/A when the LTC bucket exceeds the guideline Max LTC for that transaction type / strategy / tier. The borrower must also satisfy Max Acq LTV, Max ARLTV, Min FICO, and Max Loan Amount. Use the Loan Quote Evaluator for loan-level pass/fail and final buy rate.</t>
  </si>
  <si>
    <t>Fidelis Investors - April 2026 Guideline Limits</t>
  </si>
  <si>
    <t>Appendix A page 15 only; FL / CA / NY overlays excluded</t>
  </si>
  <si>
    <t>Key</t>
  </si>
  <si>
    <t>Max Total Loan Amount</t>
  </si>
  <si>
    <t>Eligible Strategy</t>
  </si>
  <si>
    <t>Purchase|Fix &amp; Flip / Fix &amp; Hold|Tier 1</t>
  </si>
  <si>
    <t>F&amp;F / F&amp;H</t>
  </si>
  <si>
    <t>Purchase|Fix &amp; Flip / Fix &amp; Hold|Tier 2</t>
  </si>
  <si>
    <t>Purchase|Fix &amp; Flip / Fix &amp; Hold|Tier 3</t>
  </si>
  <si>
    <t>Purchase|New Construction|Tier 1</t>
  </si>
  <si>
    <t>NC</t>
  </si>
  <si>
    <t>Purchase|New Construction|Tier 2</t>
  </si>
  <si>
    <t>Purchase|New Construction|Tier 3</t>
  </si>
  <si>
    <t>Purchase|Bridge|Tier 1</t>
  </si>
  <si>
    <t>Purchase|Bridge|Tier 2</t>
  </si>
  <si>
    <t>Purchase|Bridge|Tier 3</t>
  </si>
  <si>
    <t>Refinance|Fix &amp; Flip / Fix &amp; Hold|Tier 1</t>
  </si>
  <si>
    <t>Refinance|Fix &amp; Flip / Fix &amp; Hold|Tier 2</t>
  </si>
  <si>
    <t>Refinance|Fix &amp; Flip / Fix &amp; Hold|Tier 3</t>
  </si>
  <si>
    <t>Refinance|New Construction|Tier 1</t>
  </si>
  <si>
    <t>Refinance|New Construction|Tier 2</t>
  </si>
  <si>
    <t>Refinance|New Construction|Tier 3</t>
  </si>
  <si>
    <t>Refinance|Bridge|Tier 1</t>
  </si>
  <si>
    <t>Refinance|Bridge|Tier 2</t>
  </si>
  <si>
    <t>Refinance|Bridge|Tier 3</t>
  </si>
  <si>
    <t>Rate Assumptions</t>
  </si>
  <si>
    <t>Editable controls for buy rate floor/cap and pricing add-ons</t>
  </si>
  <si>
    <t>Assumption</t>
  </si>
  <si>
    <t>Value</t>
  </si>
  <si>
    <t>Note</t>
  </si>
  <si>
    <t>Rate Floor</t>
  </si>
  <si>
    <t>Hard minimum buy rate</t>
  </si>
  <si>
    <t>Rate Cap</t>
  </si>
  <si>
    <t>Hard maximum buy rate</t>
  </si>
  <si>
    <t>Target Low</t>
  </si>
  <si>
    <t>Most submissions should price at or above this</t>
  </si>
  <si>
    <t>Target High</t>
  </si>
  <si>
    <t>Most submissions should price at or below this</t>
  </si>
  <si>
    <t>Base - Fix &amp; Flip / Fix &amp; Hold</t>
  </si>
  <si>
    <t>Before tier/FICO/leverage/other adjustments</t>
  </si>
  <si>
    <t>Base - New Construction</t>
  </si>
  <si>
    <t>Base - Bridge</t>
  </si>
  <si>
    <t>Tier 1 Adjustment</t>
  </si>
  <si>
    <t>3+ completed projects in last 3 years</t>
  </si>
  <si>
    <t>Tier 2 Adjustment</t>
  </si>
  <si>
    <t>1-2 completed projects in last 3 years</t>
  </si>
  <si>
    <t>Tier 3 Adjustment</t>
  </si>
  <si>
    <t>0 completed projects in last 3 years</t>
  </si>
  <si>
    <t>FICO 740+ Adjustment</t>
  </si>
  <si>
    <t>FICO 700-739 Adjustment</t>
  </si>
  <si>
    <t>FICO &lt;700 Adjustment</t>
  </si>
  <si>
    <t>Still subject to guideline min FICO by tier/product</t>
  </si>
  <si>
    <t>13+ Month Term Adjustment</t>
  </si>
  <si>
    <t>Cash-Out Refi Adjustment</t>
  </si>
  <si>
    <t>Judicial State Adjustment</t>
  </si>
  <si>
    <t>Non-Judicial State Adjustment</t>
  </si>
  <si>
    <t>Sq. Ft Addition LTC Cap</t>
  </si>
  <si>
    <t>Applies to Purchase F&amp;F/F&amp;H with sq. ft additions</t>
  </si>
  <si>
    <t>Leverage Buckets</t>
  </si>
  <si>
    <t>Add-on</t>
  </si>
  <si>
    <t>Heavy Rehab Adjustment (&gt;25% Rehab Budget)</t>
  </si>
  <si>
    <t>Add 20 bps if rehab scope exceeds 25%</t>
  </si>
  <si>
    <t>Fidelis Buy Rate Build-Up</t>
  </si>
  <si>
    <t>Simple broker/lender-facing explanation of how the buy rate is built and whether the loan clears guideline limits.</t>
  </si>
  <si>
    <t>Input</t>
  </si>
  <si>
    <t>Guideline Check</t>
  </si>
  <si>
    <t>Limit</t>
  </si>
  <si>
    <t>Result</t>
  </si>
  <si>
    <t>Overall Eligibility</t>
  </si>
  <si>
    <t>Rate Component</t>
  </si>
  <si>
    <t>Adjustment</t>
  </si>
  <si>
    <t>What it means</t>
  </si>
  <si>
    <t>Source</t>
  </si>
  <si>
    <t>Starting buy rate based on strategy</t>
  </si>
  <si>
    <t>Adjustment for borrower experience tier</t>
  </si>
  <si>
    <t>Credit score pricing adjustment</t>
  </si>
  <si>
    <t>Leverage / LTC</t>
  </si>
  <si>
    <t>Pricing add-on based on actual LTC bucket</t>
  </si>
  <si>
    <t>Term</t>
  </si>
  <si>
    <t>Add-on if term is 13+ months</t>
  </si>
  <si>
    <t>Cash-Out Refi</t>
  </si>
  <si>
    <t>Add-on if refinance is cash-out</t>
  </si>
  <si>
    <t>Judicial / non-judicial adjustment</t>
  </si>
  <si>
    <t>20 bps added if rehab scope exceeds 25%</t>
  </si>
  <si>
    <t>Minimum buy rate</t>
  </si>
  <si>
    <t>Maximum buy rate</t>
  </si>
  <si>
    <t>Final Buy Rate</t>
  </si>
  <si>
    <t>Shown only if guideline eligible</t>
  </si>
  <si>
    <t>Plain-English Summary</t>
  </si>
  <si>
    <t>Heavy Rehab?</t>
  </si>
  <si>
    <t>Why</t>
  </si>
  <si>
    <t>Rate Explanation</t>
  </si>
  <si>
    <t>Pricing Band</t>
  </si>
  <si>
    <t>Buy rate is suppressed only when the loan fails a guideline test. Otherwise, the rate build-up shows the component pieces.</t>
  </si>
  <si>
    <t>Fidelis Guidelines (April 2026), Appendix A page 15 only. FL / CA / NY overlays excluded.</t>
  </si>
  <si>
    <t>Inputs</t>
  </si>
  <si>
    <t>Results</t>
  </si>
  <si>
    <t>Loan Number</t>
  </si>
  <si>
    <t>Borrowing Entity</t>
  </si>
  <si>
    <t>Guarantor</t>
  </si>
  <si>
    <t>Address</t>
  </si>
  <si>
    <t>City</t>
  </si>
  <si>
    <t>State</t>
  </si>
  <si>
    <t>Zip</t>
  </si>
  <si>
    <t>Original Rehab Amount</t>
  </si>
  <si>
    <t>Current Rehab Amount</t>
  </si>
  <si>
    <t>Current Balance</t>
  </si>
  <si>
    <t>Original Interest Reserve</t>
  </si>
  <si>
    <t>Current Interest Reserve</t>
  </si>
  <si>
    <t>OOP Rehab</t>
  </si>
  <si>
    <t>Total Rehab Amount</t>
  </si>
  <si>
    <t>Borrower Total Projects Completed</t>
  </si>
  <si>
    <t>Purchase Price</t>
  </si>
  <si>
    <t>Assignment Fee, Wholesaler Fee, Seller Credit, Previous Purchase Price</t>
  </si>
  <si>
    <t>AIV</t>
  </si>
  <si>
    <t>ARV</t>
  </si>
  <si>
    <t>Appraisal Type</t>
  </si>
  <si>
    <t>Note Rate</t>
  </si>
  <si>
    <t>Origination Date</t>
  </si>
  <si>
    <t>Next Due</t>
  </si>
  <si>
    <t>First Due</t>
  </si>
  <si>
    <t>Maturity Date</t>
  </si>
  <si>
    <t>Purchase/Refi</t>
  </si>
  <si>
    <t>Accrual Type</t>
  </si>
  <si>
    <t>Borrower Internal Projects Exited</t>
  </si>
  <si>
    <t># of Years Experience</t>
  </si>
  <si>
    <t>Repeat Borrower (Y/N)</t>
  </si>
  <si>
    <t># of Bed/Baths</t>
  </si>
  <si>
    <t>Pre- Rehab Sqft</t>
  </si>
  <si>
    <t>Post- Rehab Sqft</t>
  </si>
  <si>
    <t># of Units</t>
  </si>
  <si>
    <t>Property Type</t>
  </si>
  <si>
    <t>Exit Strategy</t>
  </si>
  <si>
    <t>Guarantor Citizenship Status</t>
  </si>
  <si>
    <t>Multi Property Flag</t>
  </si>
  <si>
    <t>Cross Collateralized Flag</t>
  </si>
  <si>
    <t>Asset Purchased</t>
  </si>
  <si>
    <t>Entitlement Status</t>
  </si>
  <si>
    <t>Build Status</t>
  </si>
  <si>
    <t>Lot Purchase Price</t>
  </si>
  <si>
    <t>Lot Purchase Date</t>
  </si>
  <si>
    <t>Field Name</t>
  </si>
  <si>
    <t>Data Type</t>
  </si>
  <si>
    <t>Definition</t>
  </si>
  <si>
    <t>Text</t>
  </si>
  <si>
    <t>Borrower LLC Name</t>
  </si>
  <si>
    <t>Guarantor First and Last Name</t>
  </si>
  <si>
    <t>Street Address</t>
  </si>
  <si>
    <t>Ensure that it is a full zip code. (Zip codes with 0 at the beginning can be saved as texts)</t>
  </si>
  <si>
    <t>Numeric</t>
  </si>
  <si>
    <t>Defined as the Lender Financed Rehab Amount</t>
  </si>
  <si>
    <t>If Draws released, input remaining rehab</t>
  </si>
  <si>
    <t>Outstanding UPB of the loan</t>
  </si>
  <si>
    <t>Defined as Financed Interest Reserve</t>
  </si>
  <si>
    <t>If IR released, input remaining IR</t>
  </si>
  <si>
    <t>If borrower is coming out of pocket for rehab funds, then populate</t>
  </si>
  <si>
    <t>Defined as the sum of the "Original Rehab Amount" (row 10) and "OOP Rehab" (row 15)</t>
  </si>
  <si>
    <t>FICO Score</t>
  </si>
  <si>
    <t>Determined by using the borrowers median FICO as indicated by a tri-merge credit report. If only two (2) scores are returned, the lower of the 2 will be used as the representative score. In the case of multiple qualifying borrowers/guarantors, Fidelis Investors will use the highest median score as the representative score.</t>
  </si>
  <si>
    <t>Defined as number of successful exits (sale or refinance into DSCR) in the past 36 months</t>
  </si>
  <si>
    <r>
      <t xml:space="preserve">Gross dollar amount paid for property
</t>
    </r>
    <r>
      <rPr>
        <i/>
        <sz val="12"/>
        <color rgb="FFFF0000"/>
        <rFont val="Garamond"/>
        <family val="1"/>
      </rPr>
      <t>*Always populate, even for refinances</t>
    </r>
  </si>
  <si>
    <t>As Is Value</t>
  </si>
  <si>
    <r>
      <t xml:space="preserve">Value of the property as of the date of origination
</t>
    </r>
    <r>
      <rPr>
        <i/>
        <sz val="12"/>
        <color rgb="FFFF0000"/>
        <rFont val="Garamond"/>
        <family val="1"/>
      </rPr>
      <t>*Always populate, even for purchases</t>
    </r>
  </si>
  <si>
    <r>
      <t xml:space="preserve">Value of the property after rehabitilitation of property is completed
</t>
    </r>
    <r>
      <rPr>
        <i/>
        <sz val="12"/>
        <color rgb="FFFF0000"/>
        <rFont val="Garamond"/>
        <family val="1"/>
      </rPr>
      <t>*Always populate, even for bridge loans</t>
    </r>
  </si>
  <si>
    <t>Valid Fields: 
- 1004 Appraisal
- 2055 Appraisal
- 1073 Appraisal
- BPO (Richer Values, Redbell etc.)</t>
  </si>
  <si>
    <t>Percent</t>
  </si>
  <si>
    <t>Rate being charged to the borrower</t>
  </si>
  <si>
    <t>Funding Date</t>
  </si>
  <si>
    <t>Date</t>
  </si>
  <si>
    <t>Date for when loan will or did fund</t>
  </si>
  <si>
    <t>First payment due for the borrower</t>
  </si>
  <si>
    <t>Date when payoff will be due</t>
  </si>
  <si>
    <t xml:space="preserve">Purchase/Refi </t>
  </si>
  <si>
    <t>Valid values:
- Purchase
- Refinance Rate/Term
- Refinance Cash Out</t>
  </si>
  <si>
    <t>Valid values:
- Note (aka Dutch)
- Drawn (aka Non-Dutch)</t>
  </si>
  <si>
    <t>Number of projects exited with the originating lender</t>
  </si>
  <si>
    <t>Repeat Borrower</t>
  </si>
  <si>
    <t>Valid values:
- Yes
- No</t>
  </si>
  <si>
    <t>i.e. 3/2</t>
  </si>
  <si>
    <t>Pre-Rehab Sqft</t>
  </si>
  <si>
    <t>Post-Rehab Sqft</t>
  </si>
  <si>
    <t>Valid values:
- Single Family Residence
- 2-4 Family
- Condo
- Townhouse
- Multifamily (5+ Units)
- Manufactured Home
- Mixed Use</t>
  </si>
  <si>
    <t>Valid values:
- New Construction
- Fix and Flip
- Fix and Hold
- Bridge</t>
  </si>
  <si>
    <t>Valid values:
- Sale
- Refinance: Rental
- Refinance: Bridge</t>
  </si>
  <si>
    <t>Valid values:
- U.S. Citizen
- Permanent Resident
- Non-Permanent Resident
- Foreign Nationals</t>
  </si>
  <si>
    <t>Multiproperty Flag</t>
  </si>
  <si>
    <t xml:space="preserve">Valid values:
- Yes
- No
</t>
  </si>
  <si>
    <r>
      <t xml:space="preserve">Description of the purchased asset
</t>
    </r>
    <r>
      <rPr>
        <i/>
        <sz val="12"/>
        <color rgb="FFFF0000"/>
        <rFont val="Garamond"/>
        <family val="1"/>
      </rPr>
      <t>*New Construction only</t>
    </r>
  </si>
  <si>
    <r>
      <t xml:space="preserve">Defined as the status of legal/permit approvals from the applicable jurisdiction
</t>
    </r>
    <r>
      <rPr>
        <i/>
        <sz val="12"/>
        <color rgb="FFFF0000"/>
        <rFont val="Garamond"/>
        <family val="1"/>
      </rPr>
      <t>*New Construction only</t>
    </r>
  </si>
  <si>
    <t>*New Construction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</si>
</sst>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\&lt;\=0.0%\ &quot;LTC&quot;"/>
    <numFmt numFmtId="165" formatCode="0.000%;[Red]\(0.000%\);&quot;-&quot;"/>
    <numFmt numFmtId="166" formatCode="\$#,##0"/>
    <numFmt numFmtId="167" formatCode="0.0%"/>
    <numFmt numFmtId="168" formatCode="0.000%"/>
    <numFmt numFmtId="169" formatCode="_(&quot;$&quot;* #,##0_);_(&quot;$&quot;* \(#,##0\);_(&quot;$&quot;* &quot;-&quot;??_);_(@_)"/>
  </numFmts>
  <fonts count="30" x14ac:knownFonts="1">
    <font>
      <sz val="11"/>
      <color theme="1"/>
      <name val="Calibri"/>
    </font>
    <font>
      <b/>
      <sz val="16"/>
      <color rgb="FFFFFFFF"/>
      <name val="Calibri"/>
      <family val="2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  <font>
      <sz val="11"/>
      <color rgb="FF808080"/>
      <name val="Calibri"/>
      <family val="2"/>
    </font>
    <font>
      <sz val="11"/>
      <color rgb="FF008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Garamond"/>
      <family val="1"/>
    </font>
    <font>
      <b/>
      <sz val="12"/>
      <color rgb="FFFFFFFF"/>
      <name val="Garamond"/>
      <family val="1"/>
    </font>
    <font>
      <sz val="11"/>
      <color rgb="FF0000FF"/>
      <name val="Calibri"/>
      <family val="2"/>
    </font>
    <font>
      <i/>
      <sz val="11"/>
      <color rgb="FF0000FF"/>
      <name val="Calibri"/>
      <family val="2"/>
    </font>
    <font>
      <i/>
      <sz val="9"/>
      <name val="Calibri"/>
      <family val="2"/>
    </font>
    <font>
      <b/>
      <sz val="11"/>
      <name val="Garamond"/>
      <family val="1"/>
    </font>
    <font>
      <sz val="11"/>
      <name val="Garamond"/>
      <family val="1"/>
    </font>
    <font>
      <b/>
      <sz val="11"/>
      <color theme="0"/>
      <name val="Garamond"/>
      <family val="1"/>
    </font>
    <font>
      <b/>
      <sz val="10"/>
      <name val="Garamond"/>
      <family val="1"/>
    </font>
    <font>
      <b/>
      <sz val="12"/>
      <color theme="1"/>
      <name val="Garamond"/>
      <family val="1"/>
    </font>
    <font>
      <b/>
      <sz val="11"/>
      <color theme="1"/>
      <name val="Garamond"/>
      <family val="1"/>
    </font>
    <font>
      <sz val="10"/>
      <color theme="1"/>
      <name val="Garamond"/>
      <family val="1"/>
    </font>
    <font>
      <b/>
      <sz val="12"/>
      <color theme="0"/>
      <name val="Garamond"/>
      <family val="1"/>
    </font>
    <font>
      <b/>
      <sz val="12"/>
      <name val="Garamond"/>
      <family val="1"/>
    </font>
    <font>
      <sz val="12"/>
      <color theme="1"/>
      <name val="Garamond"/>
      <family val="1"/>
    </font>
    <font>
      <i/>
      <sz val="12"/>
      <color rgb="FFFF0000"/>
      <name val="Garamond"/>
      <family val="1"/>
    </font>
  </fonts>
  <fills count="13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2060"/>
      </patternFill>
    </fill>
    <fill>
      <patternFill patternType="solid">
        <f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2" fillId="0" borderId="0"/>
    <xf numFmtId="9" fontId="12" fillId="0" borderId="0"/>
  </cellStyleXfs>
  <cellXfs count="92">
    <xf numFmtId="0" fontId="0" fillId="0" borderId="0" xfId="0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66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67" fontId="6" fillId="0" borderId="2" xfId="0" applyNumberFormat="1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168" fontId="7" fillId="0" borderId="2" xfId="0" applyNumberFormat="1" applyFont="1" applyBorder="1" applyAlignment="1">
      <alignment vertical="center" wrapText="1"/>
    </xf>
    <xf numFmtId="167" fontId="7" fillId="0" borderId="2" xfId="0" applyNumberFormat="1" applyFont="1" applyBorder="1" applyAlignment="1">
      <alignment vertical="center" wrapText="1"/>
    </xf>
    <xf numFmtId="0" fontId="9" fillId="5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1" fillId="5" borderId="0" xfId="0" applyFont="1" applyFill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44" fontId="0" fillId="0" borderId="0" xfId="1" applyFont="1" applyAlignment="1">
      <alignment wrapText="1"/>
    </xf>
    <xf numFmtId="9" fontId="0" fillId="0" borderId="0" xfId="2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10" fontId="7" fillId="0" borderId="2" xfId="0" applyNumberFormat="1" applyFont="1" applyBorder="1" applyAlignment="1">
      <alignment vertical="center" wrapText="1"/>
    </xf>
    <xf numFmtId="0" fontId="16" fillId="0" borderId="0" xfId="0" applyFont="1"/>
    <xf numFmtId="168" fontId="16" fillId="0" borderId="0" xfId="0" applyNumberFormat="1" applyFont="1"/>
    <xf numFmtId="0" fontId="0" fillId="6" borderId="0" xfId="0" applyFill="1" applyAlignment="1">
      <alignment wrapText="1"/>
    </xf>
    <xf numFmtId="168" fontId="0" fillId="6" borderId="0" xfId="0" applyNumberFormat="1" applyFill="1" applyAlignment="1">
      <alignment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8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1" fontId="20" fillId="8" borderId="2" xfId="0" applyNumberFormat="1" applyFont="1" applyFill="1" applyBorder="1" applyAlignment="1">
      <alignment horizontal="center" vertical="center" wrapText="1"/>
    </xf>
    <xf numFmtId="166" fontId="20" fillId="8" borderId="2" xfId="0" applyNumberFormat="1" applyFont="1" applyFill="1" applyBorder="1" applyAlignment="1">
      <alignment horizontal="center" vertical="center" wrapText="1"/>
    </xf>
    <xf numFmtId="167" fontId="20" fillId="8" borderId="2" xfId="0" applyNumberFormat="1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168" fontId="20" fillId="8" borderId="2" xfId="0" applyNumberFormat="1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 wrapText="1"/>
    </xf>
    <xf numFmtId="168" fontId="21" fillId="9" borderId="0" xfId="0" applyNumberFormat="1" applyFont="1" applyFill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9" fontId="14" fillId="0" borderId="0" xfId="2" applyFont="1" applyAlignment="1">
      <alignment horizontal="center" vertical="center"/>
    </xf>
    <xf numFmtId="0" fontId="19" fillId="10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169" fontId="25" fillId="0" borderId="0" xfId="1" applyNumberFormat="1" applyFont="1"/>
    <xf numFmtId="0" fontId="26" fillId="11" borderId="6" xfId="0" applyFont="1" applyFill="1" applyBorder="1" applyAlignment="1">
      <alignment horizontal="left"/>
    </xf>
    <xf numFmtId="0" fontId="26" fillId="11" borderId="6" xfId="0" applyFont="1" applyFill="1" applyBorder="1" applyAlignment="1">
      <alignment horizontal="center" vertical="center"/>
    </xf>
    <xf numFmtId="0" fontId="26" fillId="11" borderId="5" xfId="0" applyFont="1" applyFill="1" applyBorder="1"/>
    <xf numFmtId="0" fontId="0" fillId="8" borderId="0" xfId="0" applyFill="1"/>
    <xf numFmtId="0" fontId="27" fillId="12" borderId="7" xfId="0" applyFont="1" applyFill="1" applyBorder="1" applyAlignment="1">
      <alignment horizontal="left" vertical="center"/>
    </xf>
    <xf numFmtId="0" fontId="28" fillId="8" borderId="7" xfId="0" applyFont="1" applyFill="1" applyBorder="1" applyAlignment="1">
      <alignment horizontal="center" vertical="center"/>
    </xf>
    <xf numFmtId="0" fontId="28" fillId="8" borderId="8" xfId="0" applyFont="1" applyFill="1" applyBorder="1" applyAlignment="1">
      <alignment vertical="top"/>
    </xf>
    <xf numFmtId="0" fontId="27" fillId="12" borderId="9" xfId="0" applyFont="1" applyFill="1" applyBorder="1" applyAlignment="1">
      <alignment horizontal="left" vertical="center"/>
    </xf>
    <xf numFmtId="0" fontId="28" fillId="8" borderId="9" xfId="0" applyFont="1" applyFill="1" applyBorder="1" applyAlignment="1">
      <alignment horizontal="center" vertical="center"/>
    </xf>
    <xf numFmtId="0" fontId="28" fillId="8" borderId="10" xfId="0" applyFont="1" applyFill="1" applyBorder="1" applyAlignment="1">
      <alignment vertical="top"/>
    </xf>
    <xf numFmtId="0" fontId="28" fillId="8" borderId="10" xfId="0" applyFont="1" applyFill="1" applyBorder="1" applyAlignment="1">
      <alignment vertical="top" wrapText="1"/>
    </xf>
    <xf numFmtId="10" fontId="27" fillId="12" borderId="9" xfId="2" applyNumberFormat="1" applyFont="1" applyFill="1" applyBorder="1" applyAlignment="1">
      <alignment horizontal="left" vertical="center"/>
    </xf>
    <xf numFmtId="167" fontId="27" fillId="12" borderId="9" xfId="0" applyNumberFormat="1" applyFont="1" applyFill="1" applyBorder="1" applyAlignment="1">
      <alignment horizontal="left" vertical="center"/>
    </xf>
    <xf numFmtId="14" fontId="27" fillId="12" borderId="9" xfId="0" applyNumberFormat="1" applyFont="1" applyFill="1" applyBorder="1" applyAlignment="1">
      <alignment horizontal="left" vertical="center"/>
    </xf>
    <xf numFmtId="0" fontId="28" fillId="8" borderId="9" xfId="0" applyFont="1" applyFill="1" applyBorder="1" applyAlignment="1">
      <alignment horizontal="center" vertical="center" wrapText="1"/>
    </xf>
    <xf numFmtId="0" fontId="29" fillId="8" borderId="10" xfId="0" applyFont="1" applyFill="1" applyBorder="1" applyAlignment="1">
      <alignment vertical="top"/>
    </xf>
    <xf numFmtId="0" fontId="27" fillId="12" borderId="11" xfId="0" applyFont="1" applyFill="1" applyBorder="1" applyAlignment="1">
      <alignment horizontal="left" vertical="center"/>
    </xf>
    <xf numFmtId="0" fontId="28" fillId="8" borderId="11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vertical="top"/>
    </xf>
    <xf numFmtId="3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69" fontId="0" fillId="0" borderId="0" xfId="0" applyNumberFormat="1"/>
    <xf numFmtId="44" fontId="0" fillId="0" borderId="0" xfId="0" applyNumberFormat="1"/>
    <xf numFmtId="9" fontId="12" fillId="0" borderId="0" xfId="2"/>
    <xf numFmtId="49" fontId="25" fillId="0" borderId="0" xfId="0" applyNumberFormat="1" applyFont="1" applyAlignment="1">
      <alignment horizontal="center" vertical="center"/>
    </xf>
    <xf numFmtId="0" fontId="24" fillId="7" borderId="3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23" fillId="7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4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5"/>
  <sheetViews>
    <sheetView showGridLines="0" workbookViewId="0">
      <selection activeCell="B5" sqref="B5"/>
    </sheetView>
  </sheetViews>
  <sheetFormatPr defaultRowHeight="15" x14ac:dyDescent="0.25"/>
  <cols>
    <col min="1" max="1" width="9.85546875" style="24" bestFit="1" customWidth="1"/>
    <col min="2" max="2" width="20.140625" style="24" bestFit="1" customWidth="1"/>
    <col min="3" max="3" width="5.85546875" style="24" bestFit="1" customWidth="1"/>
    <col min="4" max="4" width="13.7109375" style="24" bestFit="1" customWidth="1"/>
    <col min="5" max="5" width="9.140625" style="24" bestFit="1" customWidth="1"/>
    <col min="6" max="6" width="8.5703125" style="24" bestFit="1" customWidth="1"/>
    <col min="7" max="7" width="10.85546875" style="24" bestFit="1" customWidth="1"/>
    <col min="8" max="8" width="8.28515625" style="24" bestFit="1" customWidth="1"/>
    <col min="9" max="9" width="39.5703125" style="24" bestFit="1" customWidth="1"/>
    <col min="10" max="16" width="11.5703125" style="24" bestFit="1" customWidth="1"/>
    <col min="17" max="17" width="9.140625" style="24" customWidth="1"/>
    <col min="18" max="16384" width="9.140625" style="24"/>
  </cols>
  <sheetData>
    <row r="1" spans="1:16" x14ac:dyDescent="0.25">
      <c r="A1" s="87" t="s">
        <v>41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6" x14ac:dyDescent="0.25">
      <c r="A2" s="90" t="s">
        <v>42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30" customHeight="1" x14ac:dyDescent="0.25">
      <c r="A4" s="2" t="s">
        <v>1</v>
      </c>
      <c r="B4" s="2" t="s">
        <v>3</v>
      </c>
      <c r="C4" s="2" t="s">
        <v>43</v>
      </c>
      <c r="D4" s="2" t="s">
        <v>44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45</v>
      </c>
      <c r="J4" s="3">
        <v>0.65</v>
      </c>
      <c r="K4" s="3">
        <v>0.7</v>
      </c>
      <c r="L4" s="3">
        <v>0.75</v>
      </c>
      <c r="M4" s="3">
        <v>0.8</v>
      </c>
      <c r="N4" s="3">
        <v>0.85</v>
      </c>
      <c r="O4" s="3">
        <v>0.9</v>
      </c>
      <c r="P4" s="3">
        <v>0.92500000000000004</v>
      </c>
    </row>
    <row r="5" spans="1:16" ht="30" customHeight="1" x14ac:dyDescent="0.25">
      <c r="A5" s="25" t="s">
        <v>2</v>
      </c>
      <c r="B5" s="25" t="s">
        <v>4</v>
      </c>
      <c r="C5" s="25" t="s">
        <v>6</v>
      </c>
      <c r="D5" s="26">
        <v>3000000</v>
      </c>
      <c r="E5" s="25">
        <v>600</v>
      </c>
      <c r="F5" s="27">
        <v>0.9</v>
      </c>
      <c r="G5" s="27">
        <v>0.75</v>
      </c>
      <c r="H5" s="27">
        <v>0.92500000000000004</v>
      </c>
      <c r="I5" s="25" t="s">
        <v>46</v>
      </c>
      <c r="J5" s="4">
        <f>IF(J$4&lt;=$H5,MAX('Rate Assumptions'!$B$5,MIN('Rate Assumptions'!$B$6,IF($B5="Bridge",'Rate Assumptions'!$B$11,IF($B5="New Construction",'Rate Assumptions'!$B$10,'Rate Assumptions'!$B$9))+IF($C5="Tier 1",'Rate Assumptions'!$B$12,IF($C5="Tier 2",'Rate Assumptions'!$B$13,'Rate Assumptions'!$B$14))+'Rate Assumptions'!$B$26)),"N/A")</f>
        <v>9.2499999999999999E-2</v>
      </c>
      <c r="K5" s="4">
        <f>IF(K$4&lt;=$H5,MAX('Rate Assumptions'!$B$5,MIN('Rate Assumptions'!$B$6,IF($B5="Bridge",'Rate Assumptions'!$B$11,IF($B5="New Construction",'Rate Assumptions'!$B$10,'Rate Assumptions'!$B$9))+IF($C5="Tier 1",'Rate Assumptions'!$B$12,IF($C5="Tier 2",'Rate Assumptions'!$B$13,'Rate Assumptions'!$B$14))+'Rate Assumptions'!$B$27)),"N/A")</f>
        <v>9.2999999999999999E-2</v>
      </c>
      <c r="L5" s="4">
        <f>IF(L$4&lt;=$H5,MAX('Rate Assumptions'!$B$5,MIN('Rate Assumptions'!$B$6,IF($B5="Bridge",'Rate Assumptions'!$B$11,IF($B5="New Construction",'Rate Assumptions'!$B$10,'Rate Assumptions'!$B$9))+IF($C5="Tier 1",'Rate Assumptions'!$B$12,IF($C5="Tier 2",'Rate Assumptions'!$B$13,'Rate Assumptions'!$B$14))+'Rate Assumptions'!$B$28)),"N/A")</f>
        <v>9.4E-2</v>
      </c>
      <c r="M5" s="4">
        <f>IF(M$4&lt;=$H5,MAX('Rate Assumptions'!$B$5,MIN('Rate Assumptions'!$B$6,IF($B5="Bridge",'Rate Assumptions'!$B$11,IF($B5="New Construction",'Rate Assumptions'!$B$10,'Rate Assumptions'!$B$9))+IF($C5="Tier 1",'Rate Assumptions'!$B$12,IF($C5="Tier 2",'Rate Assumptions'!$B$13,'Rate Assumptions'!$B$14))+'Rate Assumptions'!$B$29)),"N/A")</f>
        <v>9.5000000000000001E-2</v>
      </c>
      <c r="N5" s="4">
        <f>IF(N$4&lt;=$H5,MAX('Rate Assumptions'!$B$5,MIN('Rate Assumptions'!$B$6,IF($B5="Bridge",'Rate Assumptions'!$B$11,IF($B5="New Construction",'Rate Assumptions'!$B$10,'Rate Assumptions'!$B$9))+IF($C5="Tier 1",'Rate Assumptions'!$B$12,IF($C5="Tier 2",'Rate Assumptions'!$B$13,'Rate Assumptions'!$B$14))+'Rate Assumptions'!$B$30)),"N/A")</f>
        <v>9.6000000000000002E-2</v>
      </c>
      <c r="O5" s="4">
        <f>IF(O$4&lt;=$H5,MAX('Rate Assumptions'!$B$5,MIN('Rate Assumptions'!$B$6,IF($B5="Bridge",'Rate Assumptions'!$B$11,IF($B5="New Construction",'Rate Assumptions'!$B$10,'Rate Assumptions'!$B$9))+IF($C5="Tier 1",'Rate Assumptions'!$B$12,IF($C5="Tier 2",'Rate Assumptions'!$B$13,'Rate Assumptions'!$B$14))+'Rate Assumptions'!$B$31)),"N/A")</f>
        <v>9.7000000000000003E-2</v>
      </c>
      <c r="P5" s="4">
        <f>IF(P$4&lt;=$H5,MAX('Rate Assumptions'!$B$5,MIN('Rate Assumptions'!$B$6,IF($B5="Bridge",'Rate Assumptions'!$B$11,IF($B5="New Construction",'Rate Assumptions'!$B$10,'Rate Assumptions'!$B$9))+IF($C5="Tier 1",'Rate Assumptions'!$B$12,IF($C5="Tier 2",'Rate Assumptions'!$B$13,'Rate Assumptions'!$B$14))+'Rate Assumptions'!$B$32)),"N/A")</f>
        <v>9.8000000000000004E-2</v>
      </c>
    </row>
    <row r="6" spans="1:16" ht="30" customHeight="1" x14ac:dyDescent="0.25">
      <c r="A6" s="25" t="s">
        <v>2</v>
      </c>
      <c r="B6" s="25" t="s">
        <v>4</v>
      </c>
      <c r="C6" s="25" t="s">
        <v>47</v>
      </c>
      <c r="D6" s="26">
        <v>2500000</v>
      </c>
      <c r="E6" s="25">
        <v>660</v>
      </c>
      <c r="F6" s="27">
        <v>0.9</v>
      </c>
      <c r="G6" s="27">
        <v>0.7</v>
      </c>
      <c r="H6" s="27">
        <v>0.92500000000000004</v>
      </c>
      <c r="I6" s="25" t="s">
        <v>46</v>
      </c>
      <c r="J6" s="4">
        <f>IF(J$4&lt;=$H6,MAX('Rate Assumptions'!$B$5,MIN('Rate Assumptions'!$B$6,IF($B6="Bridge",'Rate Assumptions'!$B$11,IF($B6="New Construction",'Rate Assumptions'!$B$10,'Rate Assumptions'!$B$9))+IF($C6="Tier 1",'Rate Assumptions'!$B$12,IF($C6="Tier 2",'Rate Assumptions'!$B$13,'Rate Assumptions'!$B$14))+'Rate Assumptions'!$B$26)),"N/A")</f>
        <v>9.2999999999999999E-2</v>
      </c>
      <c r="K6" s="4">
        <f>IF(K$4&lt;=$H6,MAX('Rate Assumptions'!$B$5,MIN('Rate Assumptions'!$B$6,IF($B6="Bridge",'Rate Assumptions'!$B$11,IF($B6="New Construction",'Rate Assumptions'!$B$10,'Rate Assumptions'!$B$9))+IF($C6="Tier 1",'Rate Assumptions'!$B$12,IF($C6="Tier 2",'Rate Assumptions'!$B$13,'Rate Assumptions'!$B$14))+'Rate Assumptions'!$B$27)),"N/A")</f>
        <v>9.4E-2</v>
      </c>
      <c r="L6" s="4">
        <f>IF(L$4&lt;=$H6,MAX('Rate Assumptions'!$B$5,MIN('Rate Assumptions'!$B$6,IF($B6="Bridge",'Rate Assumptions'!$B$11,IF($B6="New Construction",'Rate Assumptions'!$B$10,'Rate Assumptions'!$B$9))+IF($C6="Tier 1",'Rate Assumptions'!$B$12,IF($C6="Tier 2",'Rate Assumptions'!$B$13,'Rate Assumptions'!$B$14))+'Rate Assumptions'!$B$28)),"N/A")</f>
        <v>9.5000000000000001E-2</v>
      </c>
      <c r="M6" s="4">
        <f>IF(M$4&lt;=$H6,MAX('Rate Assumptions'!$B$5,MIN('Rate Assumptions'!$B$6,IF($B6="Bridge",'Rate Assumptions'!$B$11,IF($B6="New Construction",'Rate Assumptions'!$B$10,'Rate Assumptions'!$B$9))+IF($C6="Tier 1",'Rate Assumptions'!$B$12,IF($C6="Tier 2",'Rate Assumptions'!$B$13,'Rate Assumptions'!$B$14))+'Rate Assumptions'!$B$29)),"N/A")</f>
        <v>9.6000000000000002E-2</v>
      </c>
      <c r="N6" s="4">
        <f>IF(N$4&lt;=$H6,MAX('Rate Assumptions'!$B$5,MIN('Rate Assumptions'!$B$6,IF($B6="Bridge",'Rate Assumptions'!$B$11,IF($B6="New Construction",'Rate Assumptions'!$B$10,'Rate Assumptions'!$B$9))+IF($C6="Tier 1",'Rate Assumptions'!$B$12,IF($C6="Tier 2",'Rate Assumptions'!$B$13,'Rate Assumptions'!$B$14))+'Rate Assumptions'!$B$30)),"N/A")</f>
        <v>9.7000000000000003E-2</v>
      </c>
      <c r="O6" s="4">
        <f>IF(O$4&lt;=$H6,MAX('Rate Assumptions'!$B$5,MIN('Rate Assumptions'!$B$6,IF($B6="Bridge",'Rate Assumptions'!$B$11,IF($B6="New Construction",'Rate Assumptions'!$B$10,'Rate Assumptions'!$B$9))+IF($C6="Tier 1",'Rate Assumptions'!$B$12,IF($C6="Tier 2",'Rate Assumptions'!$B$13,'Rate Assumptions'!$B$14))+'Rate Assumptions'!$B$31)),"N/A")</f>
        <v>9.8000000000000004E-2</v>
      </c>
      <c r="P6" s="4">
        <f>IF(P$4&lt;=$H6,MAX('Rate Assumptions'!$B$5,MIN('Rate Assumptions'!$B$6,IF($B6="Bridge",'Rate Assumptions'!$B$11,IF($B6="New Construction",'Rate Assumptions'!$B$10,'Rate Assumptions'!$B$9))+IF($C6="Tier 1",'Rate Assumptions'!$B$12,IF($C6="Tier 2",'Rate Assumptions'!$B$13,'Rate Assumptions'!$B$14))+'Rate Assumptions'!$B$32)),"N/A")</f>
        <v>9.9000000000000005E-2</v>
      </c>
    </row>
    <row r="7" spans="1:16" x14ac:dyDescent="0.25">
      <c r="A7" s="28" t="s">
        <v>2</v>
      </c>
      <c r="B7" s="28" t="s">
        <v>4</v>
      </c>
      <c r="C7" s="28" t="s">
        <v>48</v>
      </c>
      <c r="D7" s="29">
        <v>950000</v>
      </c>
      <c r="E7" s="28">
        <v>680</v>
      </c>
      <c r="F7" s="30">
        <v>0.8</v>
      </c>
      <c r="G7" s="30">
        <v>0.65</v>
      </c>
      <c r="H7" s="30">
        <v>0.85</v>
      </c>
      <c r="I7" s="28"/>
      <c r="J7" s="5">
        <f>IF(J$4&lt;=$H7,MAX('Rate Assumptions'!$B$5,MIN('Rate Assumptions'!$B$6,IF($B7="Bridge",'Rate Assumptions'!$B$11,IF($B7="New Construction",'Rate Assumptions'!$B$10,'Rate Assumptions'!$B$9))+IF($C7="Tier 1",'Rate Assumptions'!$B$12,IF($C7="Tier 2",'Rate Assumptions'!$B$13,'Rate Assumptions'!$B$14))+'Rate Assumptions'!$B$26)),"N/A")</f>
        <v>9.5000000000000001E-2</v>
      </c>
      <c r="K7" s="5">
        <f>IF(K$4&lt;=$H7,MAX('Rate Assumptions'!$B$5,MIN('Rate Assumptions'!$B$6,IF($B7="Bridge",'Rate Assumptions'!$B$11,IF($B7="New Construction",'Rate Assumptions'!$B$10,'Rate Assumptions'!$B$9))+IF($C7="Tier 1",'Rate Assumptions'!$B$12,IF($C7="Tier 2",'Rate Assumptions'!$B$13,'Rate Assumptions'!$B$14))+'Rate Assumptions'!$B$27)),"N/A")</f>
        <v>9.6000000000000002E-2</v>
      </c>
      <c r="L7" s="5">
        <f>IF(L$4&lt;=$H7,MAX('Rate Assumptions'!$B$5,MIN('Rate Assumptions'!$B$6,IF($B7="Bridge",'Rate Assumptions'!$B$11,IF($B7="New Construction",'Rate Assumptions'!$B$10,'Rate Assumptions'!$B$9))+IF($C7="Tier 1",'Rate Assumptions'!$B$12,IF($C7="Tier 2",'Rate Assumptions'!$B$13,'Rate Assumptions'!$B$14))+'Rate Assumptions'!$B$28)),"N/A")</f>
        <v>9.7000000000000003E-2</v>
      </c>
      <c r="M7" s="5">
        <f>IF(M$4&lt;=$H7,MAX('Rate Assumptions'!$B$5,MIN('Rate Assumptions'!$B$6,IF($B7="Bridge",'Rate Assumptions'!$B$11,IF($B7="New Construction",'Rate Assumptions'!$B$10,'Rate Assumptions'!$B$9))+IF($C7="Tier 1",'Rate Assumptions'!$B$12,IF($C7="Tier 2",'Rate Assumptions'!$B$13,'Rate Assumptions'!$B$14))+'Rate Assumptions'!$B$29)),"N/A")</f>
        <v>9.8000000000000004E-2</v>
      </c>
      <c r="N7" s="5">
        <f>IF(N$4&lt;=$H7,MAX('Rate Assumptions'!$B$5,MIN('Rate Assumptions'!$B$6,IF($B7="Bridge",'Rate Assumptions'!$B$11,IF($B7="New Construction",'Rate Assumptions'!$B$10,'Rate Assumptions'!$B$9))+IF($C7="Tier 1",'Rate Assumptions'!$B$12,IF($C7="Tier 2",'Rate Assumptions'!$B$13,'Rate Assumptions'!$B$14))+'Rate Assumptions'!$B$30)),"N/A")</f>
        <v>9.9000000000000005E-2</v>
      </c>
      <c r="O7" s="5" t="str">
        <f>IF(O$4&lt;=$H7,MAX('Rate Assumptions'!$B$5,MIN('Rate Assumptions'!$B$6,IF($B7="Bridge",'Rate Assumptions'!$B$11,IF($B7="New Construction",'Rate Assumptions'!$B$10,'Rate Assumptions'!$B$9))+IF($C7="Tier 1",'Rate Assumptions'!$B$12,IF($C7="Tier 2",'Rate Assumptions'!$B$13,'Rate Assumptions'!$B$14))+'Rate Assumptions'!$B$31)),"N/A")</f>
        <v>N/A</v>
      </c>
      <c r="P7" s="5" t="str">
        <f>IF(P$4&lt;=$H7,MAX('Rate Assumptions'!$B$5,MIN('Rate Assumptions'!$B$6,IF($B7="Bridge",'Rate Assumptions'!$B$11,IF($B7="New Construction",'Rate Assumptions'!$B$10,'Rate Assumptions'!$B$9))+IF($C7="Tier 1",'Rate Assumptions'!$B$12,IF($C7="Tier 2",'Rate Assumptions'!$B$13,'Rate Assumptions'!$B$14))+'Rate Assumptions'!$B$32)),"N/A")</f>
        <v>N/A</v>
      </c>
    </row>
    <row r="8" spans="1:16" ht="30" customHeight="1" x14ac:dyDescent="0.25">
      <c r="A8" s="25" t="s">
        <v>2</v>
      </c>
      <c r="B8" s="25" t="s">
        <v>49</v>
      </c>
      <c r="C8" s="25" t="s">
        <v>6</v>
      </c>
      <c r="D8" s="26">
        <v>2500000</v>
      </c>
      <c r="E8" s="25">
        <v>680</v>
      </c>
      <c r="F8" s="27">
        <v>0.7</v>
      </c>
      <c r="G8" s="27">
        <v>0.7</v>
      </c>
      <c r="H8" s="27">
        <v>0.85</v>
      </c>
      <c r="I8" s="25" t="s">
        <v>50</v>
      </c>
      <c r="J8" s="4">
        <f>IF(J$4&lt;=$H8,MAX('Rate Assumptions'!$B$5,MIN('Rate Assumptions'!$B$6,IF($B8="Bridge",'Rate Assumptions'!$B$11,IF($B8="New Construction",'Rate Assumptions'!$B$10,'Rate Assumptions'!$B$9))+IF($C8="Tier 1",'Rate Assumptions'!$B$12,IF($C8="Tier 2",'Rate Assumptions'!$B$13,'Rate Assumptions'!$B$14))+'Rate Assumptions'!$B$26)),"N/A")</f>
        <v>9.4500000000000001E-2</v>
      </c>
      <c r="K8" s="4">
        <f>IF(K$4&lt;=$H8,MAX('Rate Assumptions'!$B$5,MIN('Rate Assumptions'!$B$6,IF($B8="Bridge",'Rate Assumptions'!$B$11,IF($B8="New Construction",'Rate Assumptions'!$B$10,'Rate Assumptions'!$B$9))+IF($C8="Tier 1",'Rate Assumptions'!$B$12,IF($C8="Tier 2",'Rate Assumptions'!$B$13,'Rate Assumptions'!$B$14))+'Rate Assumptions'!$B$27)),"N/A")</f>
        <v>9.5500000000000002E-2</v>
      </c>
      <c r="L8" s="4">
        <f>IF(L$4&lt;=$H8,MAX('Rate Assumptions'!$B$5,MIN('Rate Assumptions'!$B$6,IF($B8="Bridge",'Rate Assumptions'!$B$11,IF($B8="New Construction",'Rate Assumptions'!$B$10,'Rate Assumptions'!$B$9))+IF($C8="Tier 1",'Rate Assumptions'!$B$12,IF($C8="Tier 2",'Rate Assumptions'!$B$13,'Rate Assumptions'!$B$14))+'Rate Assumptions'!$B$28)),"N/A")</f>
        <v>9.6500000000000002E-2</v>
      </c>
      <c r="M8" s="4">
        <f>IF(M$4&lt;=$H8,MAX('Rate Assumptions'!$B$5,MIN('Rate Assumptions'!$B$6,IF($B8="Bridge",'Rate Assumptions'!$B$11,IF($B8="New Construction",'Rate Assumptions'!$B$10,'Rate Assumptions'!$B$9))+IF($C8="Tier 1",'Rate Assumptions'!$B$12,IF($C8="Tier 2",'Rate Assumptions'!$B$13,'Rate Assumptions'!$B$14))+'Rate Assumptions'!$B$29)),"N/A")</f>
        <v>9.7500000000000003E-2</v>
      </c>
      <c r="N8" s="4">
        <f>IF(N$4&lt;=$H8,MAX('Rate Assumptions'!$B$5,MIN('Rate Assumptions'!$B$6,IF($B8="Bridge",'Rate Assumptions'!$B$11,IF($B8="New Construction",'Rate Assumptions'!$B$10,'Rate Assumptions'!$B$9))+IF($C8="Tier 1",'Rate Assumptions'!$B$12,IF($C8="Tier 2",'Rate Assumptions'!$B$13,'Rate Assumptions'!$B$14))+'Rate Assumptions'!$B$30)),"N/A")</f>
        <v>9.8500000000000004E-2</v>
      </c>
      <c r="O8" s="4" t="str">
        <f>IF(O$4&lt;=$H8,MAX('Rate Assumptions'!$B$5,MIN('Rate Assumptions'!$B$6,IF($B8="Bridge",'Rate Assumptions'!$B$11,IF($B8="New Construction",'Rate Assumptions'!$B$10,'Rate Assumptions'!$B$9))+IF($C8="Tier 1",'Rate Assumptions'!$B$12,IF($C8="Tier 2",'Rate Assumptions'!$B$13,'Rate Assumptions'!$B$14))+'Rate Assumptions'!$B$31)),"N/A")</f>
        <v>N/A</v>
      </c>
      <c r="P8" s="4" t="str">
        <f>IF(P$4&lt;=$H8,MAX('Rate Assumptions'!$B$5,MIN('Rate Assumptions'!$B$6,IF($B8="Bridge",'Rate Assumptions'!$B$11,IF($B8="New Construction",'Rate Assumptions'!$B$10,'Rate Assumptions'!$B$9))+IF($C8="Tier 1",'Rate Assumptions'!$B$12,IF($C8="Tier 2",'Rate Assumptions'!$B$13,'Rate Assumptions'!$B$14))+'Rate Assumptions'!$B$32)),"N/A")</f>
        <v>N/A</v>
      </c>
    </row>
    <row r="9" spans="1:16" ht="30" customHeight="1" x14ac:dyDescent="0.25">
      <c r="A9" s="25" t="s">
        <v>2</v>
      </c>
      <c r="B9" s="25" t="s">
        <v>49</v>
      </c>
      <c r="C9" s="25" t="s">
        <v>47</v>
      </c>
      <c r="D9" s="26">
        <v>2500000</v>
      </c>
      <c r="E9" s="25">
        <v>700</v>
      </c>
      <c r="F9" s="27">
        <v>0.7</v>
      </c>
      <c r="G9" s="27">
        <v>0.65</v>
      </c>
      <c r="H9" s="27">
        <v>0.85</v>
      </c>
      <c r="I9" s="25" t="s">
        <v>50</v>
      </c>
      <c r="J9" s="4">
        <f>IF(J$4&lt;=$H9,MAX('Rate Assumptions'!$B$5,MIN('Rate Assumptions'!$B$6,IF($B9="Bridge",'Rate Assumptions'!$B$11,IF($B9="New Construction",'Rate Assumptions'!$B$10,'Rate Assumptions'!$B$9))+IF($C9="Tier 1",'Rate Assumptions'!$B$12,IF($C9="Tier 2",'Rate Assumptions'!$B$13,'Rate Assumptions'!$B$14))+'Rate Assumptions'!$B$26)),"N/A")</f>
        <v>9.5500000000000002E-2</v>
      </c>
      <c r="K9" s="4">
        <f>IF(K$4&lt;=$H9,MAX('Rate Assumptions'!$B$5,MIN('Rate Assumptions'!$B$6,IF($B9="Bridge",'Rate Assumptions'!$B$11,IF($B9="New Construction",'Rate Assumptions'!$B$10,'Rate Assumptions'!$B$9))+IF($C9="Tier 1",'Rate Assumptions'!$B$12,IF($C9="Tier 2",'Rate Assumptions'!$B$13,'Rate Assumptions'!$B$14))+'Rate Assumptions'!$B$27)),"N/A")</f>
        <v>9.6500000000000002E-2</v>
      </c>
      <c r="L9" s="4">
        <f>IF(L$4&lt;=$H9,MAX('Rate Assumptions'!$B$5,MIN('Rate Assumptions'!$B$6,IF($B9="Bridge",'Rate Assumptions'!$B$11,IF($B9="New Construction",'Rate Assumptions'!$B$10,'Rate Assumptions'!$B$9))+IF($C9="Tier 1",'Rate Assumptions'!$B$12,IF($C9="Tier 2",'Rate Assumptions'!$B$13,'Rate Assumptions'!$B$14))+'Rate Assumptions'!$B$28)),"N/A")</f>
        <v>9.7500000000000003E-2</v>
      </c>
      <c r="M9" s="4">
        <f>IF(M$4&lt;=$H9,MAX('Rate Assumptions'!$B$5,MIN('Rate Assumptions'!$B$6,IF($B9="Bridge",'Rate Assumptions'!$B$11,IF($B9="New Construction",'Rate Assumptions'!$B$10,'Rate Assumptions'!$B$9))+IF($C9="Tier 1",'Rate Assumptions'!$B$12,IF($C9="Tier 2",'Rate Assumptions'!$B$13,'Rate Assumptions'!$B$14))+'Rate Assumptions'!$B$29)),"N/A")</f>
        <v>9.8500000000000004E-2</v>
      </c>
      <c r="N9" s="4">
        <f>IF(N$4&lt;=$H9,MAX('Rate Assumptions'!$B$5,MIN('Rate Assumptions'!$B$6,IF($B9="Bridge",'Rate Assumptions'!$B$11,IF($B9="New Construction",'Rate Assumptions'!$B$10,'Rate Assumptions'!$B$9))+IF($C9="Tier 1",'Rate Assumptions'!$B$12,IF($C9="Tier 2",'Rate Assumptions'!$B$13,'Rate Assumptions'!$B$14))+'Rate Assumptions'!$B$30)),"N/A")</f>
        <v>9.9500000000000005E-2</v>
      </c>
      <c r="O9" s="4" t="str">
        <f>IF(O$4&lt;=$H9,MAX('Rate Assumptions'!$B$5,MIN('Rate Assumptions'!$B$6,IF($B9="Bridge",'Rate Assumptions'!$B$11,IF($B9="New Construction",'Rate Assumptions'!$B$10,'Rate Assumptions'!$B$9))+IF($C9="Tier 1",'Rate Assumptions'!$B$12,IF($C9="Tier 2",'Rate Assumptions'!$B$13,'Rate Assumptions'!$B$14))+'Rate Assumptions'!$B$31)),"N/A")</f>
        <v>N/A</v>
      </c>
      <c r="P9" s="4" t="str">
        <f>IF(P$4&lt;=$H9,MAX('Rate Assumptions'!$B$5,MIN('Rate Assumptions'!$B$6,IF($B9="Bridge",'Rate Assumptions'!$B$11,IF($B9="New Construction",'Rate Assumptions'!$B$10,'Rate Assumptions'!$B$9))+IF($C9="Tier 1",'Rate Assumptions'!$B$12,IF($C9="Tier 2",'Rate Assumptions'!$B$13,'Rate Assumptions'!$B$14))+'Rate Assumptions'!$B$32)),"N/A")</f>
        <v>N/A</v>
      </c>
    </row>
    <row r="10" spans="1:16" ht="30" customHeight="1" x14ac:dyDescent="0.25">
      <c r="A10" s="28" t="s">
        <v>2</v>
      </c>
      <c r="B10" s="28" t="s">
        <v>49</v>
      </c>
      <c r="C10" s="28" t="s">
        <v>48</v>
      </c>
      <c r="D10" s="29">
        <v>950000</v>
      </c>
      <c r="E10" s="28">
        <v>740</v>
      </c>
      <c r="F10" s="30">
        <v>0.6</v>
      </c>
      <c r="G10" s="30">
        <v>0.6</v>
      </c>
      <c r="H10" s="30">
        <v>0.8</v>
      </c>
      <c r="I10" s="28" t="s">
        <v>50</v>
      </c>
      <c r="J10" s="5">
        <f>IF(J$4&lt;=$H10,MAX('Rate Assumptions'!$B$5,MIN('Rate Assumptions'!$B$6,IF($B10="Bridge",'Rate Assumptions'!$B$11,IF($B10="New Construction",'Rate Assumptions'!$B$10,'Rate Assumptions'!$B$9))+IF($C10="Tier 1",'Rate Assumptions'!$B$12,IF($C10="Tier 2",'Rate Assumptions'!$B$13,'Rate Assumptions'!$B$14))+'Rate Assumptions'!$B$26)),"N/A")</f>
        <v>9.7500000000000003E-2</v>
      </c>
      <c r="K10" s="5">
        <f>IF(K$4&lt;=$H10,MAX('Rate Assumptions'!$B$5,MIN('Rate Assumptions'!$B$6,IF($B10="Bridge",'Rate Assumptions'!$B$11,IF($B10="New Construction",'Rate Assumptions'!$B$10,'Rate Assumptions'!$B$9))+IF($C10="Tier 1",'Rate Assumptions'!$B$12,IF($C10="Tier 2",'Rate Assumptions'!$B$13,'Rate Assumptions'!$B$14))+'Rate Assumptions'!$B$27)),"N/A")</f>
        <v>9.8500000000000004E-2</v>
      </c>
      <c r="L10" s="5">
        <f>IF(L$4&lt;=$H10,MAX('Rate Assumptions'!$B$5,MIN('Rate Assumptions'!$B$6,IF($B10="Bridge",'Rate Assumptions'!$B$11,IF($B10="New Construction",'Rate Assumptions'!$B$10,'Rate Assumptions'!$B$9))+IF($C10="Tier 1",'Rate Assumptions'!$B$12,IF($C10="Tier 2",'Rate Assumptions'!$B$13,'Rate Assumptions'!$B$14))+'Rate Assumptions'!$B$28)),"N/A")</f>
        <v>9.9500000000000005E-2</v>
      </c>
      <c r="M10" s="5">
        <f>IF(M$4&lt;=$H10,MAX('Rate Assumptions'!$B$5,MIN('Rate Assumptions'!$B$6,IF($B10="Bridge",'Rate Assumptions'!$B$11,IF($B10="New Construction",'Rate Assumptions'!$B$10,'Rate Assumptions'!$B$9))+IF($C10="Tier 1",'Rate Assumptions'!$B$12,IF($C10="Tier 2",'Rate Assumptions'!$B$13,'Rate Assumptions'!$B$14))+'Rate Assumptions'!$B$29)),"N/A")</f>
        <v>0.10050000000000001</v>
      </c>
      <c r="N10" s="5" t="str">
        <f>IF(N$4&lt;=$H10,MAX('Rate Assumptions'!$B$5,MIN('Rate Assumptions'!$B$6,IF($B10="Bridge",'Rate Assumptions'!$B$11,IF($B10="New Construction",'Rate Assumptions'!$B$10,'Rate Assumptions'!$B$9))+IF($C10="Tier 1",'Rate Assumptions'!$B$12,IF($C10="Tier 2",'Rate Assumptions'!$B$13,'Rate Assumptions'!$B$14))+'Rate Assumptions'!$B$30)),"N/A")</f>
        <v>N/A</v>
      </c>
      <c r="O10" s="5" t="str">
        <f>IF(O$4&lt;=$H10,MAX('Rate Assumptions'!$B$5,MIN('Rate Assumptions'!$B$6,IF($B10="Bridge",'Rate Assumptions'!$B$11,IF($B10="New Construction",'Rate Assumptions'!$B$10,'Rate Assumptions'!$B$9))+IF($C10="Tier 1",'Rate Assumptions'!$B$12,IF($C10="Tier 2",'Rate Assumptions'!$B$13,'Rate Assumptions'!$B$14))+'Rate Assumptions'!$B$31)),"N/A")</f>
        <v>N/A</v>
      </c>
      <c r="P10" s="5" t="str">
        <f>IF(P$4&lt;=$H10,MAX('Rate Assumptions'!$B$5,MIN('Rate Assumptions'!$B$6,IF($B10="Bridge",'Rate Assumptions'!$B$11,IF($B10="New Construction",'Rate Assumptions'!$B$10,'Rate Assumptions'!$B$9))+IF($C10="Tier 1",'Rate Assumptions'!$B$12,IF($C10="Tier 2",'Rate Assumptions'!$B$13,'Rate Assumptions'!$B$14))+'Rate Assumptions'!$B$32)),"N/A")</f>
        <v>N/A</v>
      </c>
    </row>
    <row r="11" spans="1:16" x14ac:dyDescent="0.25">
      <c r="A11" s="25" t="s">
        <v>2</v>
      </c>
      <c r="B11" s="25" t="s">
        <v>51</v>
      </c>
      <c r="C11" s="25" t="s">
        <v>6</v>
      </c>
      <c r="D11" s="26">
        <v>2500000</v>
      </c>
      <c r="E11" s="25">
        <v>600</v>
      </c>
      <c r="F11" s="27">
        <v>0.75</v>
      </c>
      <c r="G11" s="27">
        <v>0.75</v>
      </c>
      <c r="H11" s="27">
        <v>0.75</v>
      </c>
      <c r="I11" s="25"/>
      <c r="J11" s="4">
        <f>IF(J$4&lt;=$H11,MAX('Rate Assumptions'!$B$5,MIN('Rate Assumptions'!$B$6,IF($B11="Bridge",'Rate Assumptions'!$B$11,IF($B11="New Construction",'Rate Assumptions'!$B$10,'Rate Assumptions'!$B$9))+IF($C11="Tier 1",'Rate Assumptions'!$B$12,IF($C11="Tier 2",'Rate Assumptions'!$B$13,'Rate Assumptions'!$B$14))+'Rate Assumptions'!$B$26)),"N/A")</f>
        <v>9.2499999999999999E-2</v>
      </c>
      <c r="K11" s="4">
        <f>IF(K$4&lt;=$H11,MAX('Rate Assumptions'!$B$5,MIN('Rate Assumptions'!$B$6,IF($B11="Bridge",'Rate Assumptions'!$B$11,IF($B11="New Construction",'Rate Assumptions'!$B$10,'Rate Assumptions'!$B$9))+IF($C11="Tier 1",'Rate Assumptions'!$B$12,IF($C11="Tier 2",'Rate Assumptions'!$B$13,'Rate Assumptions'!$B$14))+'Rate Assumptions'!$B$27)),"N/A")</f>
        <v>9.2999999999999999E-2</v>
      </c>
      <c r="L11" s="4">
        <f>IF(L$4&lt;=$H11,MAX('Rate Assumptions'!$B$5,MIN('Rate Assumptions'!$B$6,IF($B11="Bridge",'Rate Assumptions'!$B$11,IF($B11="New Construction",'Rate Assumptions'!$B$10,'Rate Assumptions'!$B$9))+IF($C11="Tier 1",'Rate Assumptions'!$B$12,IF($C11="Tier 2",'Rate Assumptions'!$B$13,'Rate Assumptions'!$B$14))+'Rate Assumptions'!$B$28)),"N/A")</f>
        <v>9.4E-2</v>
      </c>
      <c r="M11" s="4" t="str">
        <f>IF(M$4&lt;=$H11,MAX('Rate Assumptions'!$B$5,MIN('Rate Assumptions'!$B$6,IF($B11="Bridge",'Rate Assumptions'!$B$11,IF($B11="New Construction",'Rate Assumptions'!$B$10,'Rate Assumptions'!$B$9))+IF($C11="Tier 1",'Rate Assumptions'!$B$12,IF($C11="Tier 2",'Rate Assumptions'!$B$13,'Rate Assumptions'!$B$14))+'Rate Assumptions'!$B$29)),"N/A")</f>
        <v>N/A</v>
      </c>
      <c r="N11" s="4" t="str">
        <f>IF(N$4&lt;=$H11,MAX('Rate Assumptions'!$B$5,MIN('Rate Assumptions'!$B$6,IF($B11="Bridge",'Rate Assumptions'!$B$11,IF($B11="New Construction",'Rate Assumptions'!$B$10,'Rate Assumptions'!$B$9))+IF($C11="Tier 1",'Rate Assumptions'!$B$12,IF($C11="Tier 2",'Rate Assumptions'!$B$13,'Rate Assumptions'!$B$14))+'Rate Assumptions'!$B$30)),"N/A")</f>
        <v>N/A</v>
      </c>
      <c r="O11" s="4" t="str">
        <f>IF(O$4&lt;=$H11,MAX('Rate Assumptions'!$B$5,MIN('Rate Assumptions'!$B$6,IF($B11="Bridge",'Rate Assumptions'!$B$11,IF($B11="New Construction",'Rate Assumptions'!$B$10,'Rate Assumptions'!$B$9))+IF($C11="Tier 1",'Rate Assumptions'!$B$12,IF($C11="Tier 2",'Rate Assumptions'!$B$13,'Rate Assumptions'!$B$14))+'Rate Assumptions'!$B$31)),"N/A")</f>
        <v>N/A</v>
      </c>
      <c r="P11" s="4" t="str">
        <f>IF(P$4&lt;=$H11,MAX('Rate Assumptions'!$B$5,MIN('Rate Assumptions'!$B$6,IF($B11="Bridge",'Rate Assumptions'!$B$11,IF($B11="New Construction",'Rate Assumptions'!$B$10,'Rate Assumptions'!$B$9))+IF($C11="Tier 1",'Rate Assumptions'!$B$12,IF($C11="Tier 2",'Rate Assumptions'!$B$13,'Rate Assumptions'!$B$14))+'Rate Assumptions'!$B$32)),"N/A")</f>
        <v>N/A</v>
      </c>
    </row>
    <row r="12" spans="1:16" x14ac:dyDescent="0.25">
      <c r="A12" s="25" t="s">
        <v>2</v>
      </c>
      <c r="B12" s="25" t="s">
        <v>51</v>
      </c>
      <c r="C12" s="25" t="s">
        <v>47</v>
      </c>
      <c r="D12" s="26">
        <v>2500000</v>
      </c>
      <c r="E12" s="25">
        <v>660</v>
      </c>
      <c r="F12" s="27">
        <v>0.7</v>
      </c>
      <c r="G12" s="27">
        <v>0.7</v>
      </c>
      <c r="H12" s="27">
        <v>0.7</v>
      </c>
      <c r="I12" s="25"/>
      <c r="J12" s="4">
        <f>IF(J$4&lt;=$H12,MAX('Rate Assumptions'!$B$5,MIN('Rate Assumptions'!$B$6,IF($B12="Bridge",'Rate Assumptions'!$B$11,IF($B12="New Construction",'Rate Assumptions'!$B$10,'Rate Assumptions'!$B$9))+IF($C12="Tier 1",'Rate Assumptions'!$B$12,IF($C12="Tier 2",'Rate Assumptions'!$B$13,'Rate Assumptions'!$B$14))+'Rate Assumptions'!$B$26)),"N/A")</f>
        <v>9.2999999999999999E-2</v>
      </c>
      <c r="K12" s="4">
        <f>IF(K$4&lt;=$H12,MAX('Rate Assumptions'!$B$5,MIN('Rate Assumptions'!$B$6,IF($B12="Bridge",'Rate Assumptions'!$B$11,IF($B12="New Construction",'Rate Assumptions'!$B$10,'Rate Assumptions'!$B$9))+IF($C12="Tier 1",'Rate Assumptions'!$B$12,IF($C12="Tier 2",'Rate Assumptions'!$B$13,'Rate Assumptions'!$B$14))+'Rate Assumptions'!$B$27)),"N/A")</f>
        <v>9.4E-2</v>
      </c>
      <c r="L12" s="4" t="str">
        <f>IF(L$4&lt;=$H12,MAX('Rate Assumptions'!$B$5,MIN('Rate Assumptions'!$B$6,IF($B12="Bridge",'Rate Assumptions'!$B$11,IF($B12="New Construction",'Rate Assumptions'!$B$10,'Rate Assumptions'!$B$9))+IF($C12="Tier 1",'Rate Assumptions'!$B$12,IF($C12="Tier 2",'Rate Assumptions'!$B$13,'Rate Assumptions'!$B$14))+'Rate Assumptions'!$B$28)),"N/A")</f>
        <v>N/A</v>
      </c>
      <c r="M12" s="4" t="str">
        <f>IF(M$4&lt;=$H12,MAX('Rate Assumptions'!$B$5,MIN('Rate Assumptions'!$B$6,IF($B12="Bridge",'Rate Assumptions'!$B$11,IF($B12="New Construction",'Rate Assumptions'!$B$10,'Rate Assumptions'!$B$9))+IF($C12="Tier 1",'Rate Assumptions'!$B$12,IF($C12="Tier 2",'Rate Assumptions'!$B$13,'Rate Assumptions'!$B$14))+'Rate Assumptions'!$B$29)),"N/A")</f>
        <v>N/A</v>
      </c>
      <c r="N12" s="4" t="str">
        <f>IF(N$4&lt;=$H12,MAX('Rate Assumptions'!$B$5,MIN('Rate Assumptions'!$B$6,IF($B12="Bridge",'Rate Assumptions'!$B$11,IF($B12="New Construction",'Rate Assumptions'!$B$10,'Rate Assumptions'!$B$9))+IF($C12="Tier 1",'Rate Assumptions'!$B$12,IF($C12="Tier 2",'Rate Assumptions'!$B$13,'Rate Assumptions'!$B$14))+'Rate Assumptions'!$B$30)),"N/A")</f>
        <v>N/A</v>
      </c>
      <c r="O12" s="4" t="str">
        <f>IF(O$4&lt;=$H12,MAX('Rate Assumptions'!$B$5,MIN('Rate Assumptions'!$B$6,IF($B12="Bridge",'Rate Assumptions'!$B$11,IF($B12="New Construction",'Rate Assumptions'!$B$10,'Rate Assumptions'!$B$9))+IF($C12="Tier 1",'Rate Assumptions'!$B$12,IF($C12="Tier 2",'Rate Assumptions'!$B$13,'Rate Assumptions'!$B$14))+'Rate Assumptions'!$B$31)),"N/A")</f>
        <v>N/A</v>
      </c>
      <c r="P12" s="4" t="str">
        <f>IF(P$4&lt;=$H12,MAX('Rate Assumptions'!$B$5,MIN('Rate Assumptions'!$B$6,IF($B12="Bridge",'Rate Assumptions'!$B$11,IF($B12="New Construction",'Rate Assumptions'!$B$10,'Rate Assumptions'!$B$9))+IF($C12="Tier 1",'Rate Assumptions'!$B$12,IF($C12="Tier 2",'Rate Assumptions'!$B$13,'Rate Assumptions'!$B$14))+'Rate Assumptions'!$B$32)),"N/A")</f>
        <v>N/A</v>
      </c>
    </row>
    <row r="13" spans="1:16" x14ac:dyDescent="0.25">
      <c r="A13" s="28" t="s">
        <v>2</v>
      </c>
      <c r="B13" s="28" t="s">
        <v>51</v>
      </c>
      <c r="C13" s="28" t="s">
        <v>48</v>
      </c>
      <c r="D13" s="29">
        <v>950000</v>
      </c>
      <c r="E13" s="28">
        <v>680</v>
      </c>
      <c r="F13" s="30">
        <v>0.7</v>
      </c>
      <c r="G13" s="30">
        <v>0.7</v>
      </c>
      <c r="H13" s="30">
        <v>0.7</v>
      </c>
      <c r="I13" s="28"/>
      <c r="J13" s="5">
        <f>IF(J$4&lt;=$H13,MAX('Rate Assumptions'!$B$5,MIN('Rate Assumptions'!$B$6,IF($B13="Bridge",'Rate Assumptions'!$B$11,IF($B13="New Construction",'Rate Assumptions'!$B$10,'Rate Assumptions'!$B$9))+IF($C13="Tier 1",'Rate Assumptions'!$B$12,IF($C13="Tier 2",'Rate Assumptions'!$B$13,'Rate Assumptions'!$B$14))+'Rate Assumptions'!$B$26)),"N/A")</f>
        <v>9.5000000000000001E-2</v>
      </c>
      <c r="K13" s="5">
        <f>IF(K$4&lt;=$H13,MAX('Rate Assumptions'!$B$5,MIN('Rate Assumptions'!$B$6,IF($B13="Bridge",'Rate Assumptions'!$B$11,IF($B13="New Construction",'Rate Assumptions'!$B$10,'Rate Assumptions'!$B$9))+IF($C13="Tier 1",'Rate Assumptions'!$B$12,IF($C13="Tier 2",'Rate Assumptions'!$B$13,'Rate Assumptions'!$B$14))+'Rate Assumptions'!$B$27)),"N/A")</f>
        <v>9.6000000000000002E-2</v>
      </c>
      <c r="L13" s="5" t="str">
        <f>IF(L$4&lt;=$H13,MAX('Rate Assumptions'!$B$5,MIN('Rate Assumptions'!$B$6,IF($B13="Bridge",'Rate Assumptions'!$B$11,IF($B13="New Construction",'Rate Assumptions'!$B$10,'Rate Assumptions'!$B$9))+IF($C13="Tier 1",'Rate Assumptions'!$B$12,IF($C13="Tier 2",'Rate Assumptions'!$B$13,'Rate Assumptions'!$B$14))+'Rate Assumptions'!$B$28)),"N/A")</f>
        <v>N/A</v>
      </c>
      <c r="M13" s="5" t="str">
        <f>IF(M$4&lt;=$H13,MAX('Rate Assumptions'!$B$5,MIN('Rate Assumptions'!$B$6,IF($B13="Bridge",'Rate Assumptions'!$B$11,IF($B13="New Construction",'Rate Assumptions'!$B$10,'Rate Assumptions'!$B$9))+IF($C13="Tier 1",'Rate Assumptions'!$B$12,IF($C13="Tier 2",'Rate Assumptions'!$B$13,'Rate Assumptions'!$B$14))+'Rate Assumptions'!$B$29)),"N/A")</f>
        <v>N/A</v>
      </c>
      <c r="N13" s="5" t="str">
        <f>IF(N$4&lt;=$H13,MAX('Rate Assumptions'!$B$5,MIN('Rate Assumptions'!$B$6,IF($B13="Bridge",'Rate Assumptions'!$B$11,IF($B13="New Construction",'Rate Assumptions'!$B$10,'Rate Assumptions'!$B$9))+IF($C13="Tier 1",'Rate Assumptions'!$B$12,IF($C13="Tier 2",'Rate Assumptions'!$B$13,'Rate Assumptions'!$B$14))+'Rate Assumptions'!$B$30)),"N/A")</f>
        <v>N/A</v>
      </c>
      <c r="O13" s="5" t="str">
        <f>IF(O$4&lt;=$H13,MAX('Rate Assumptions'!$B$5,MIN('Rate Assumptions'!$B$6,IF($B13="Bridge",'Rate Assumptions'!$B$11,IF($B13="New Construction",'Rate Assumptions'!$B$10,'Rate Assumptions'!$B$9))+IF($C13="Tier 1",'Rate Assumptions'!$B$12,IF($C13="Tier 2",'Rate Assumptions'!$B$13,'Rate Assumptions'!$B$14))+'Rate Assumptions'!$B$31)),"N/A")</f>
        <v>N/A</v>
      </c>
      <c r="P13" s="5" t="str">
        <f>IF(P$4&lt;=$H13,MAX('Rate Assumptions'!$B$5,MIN('Rate Assumptions'!$B$6,IF($B13="Bridge",'Rate Assumptions'!$B$11,IF($B13="New Construction",'Rate Assumptions'!$B$10,'Rate Assumptions'!$B$9))+IF($C13="Tier 1",'Rate Assumptions'!$B$12,IF($C13="Tier 2",'Rate Assumptions'!$B$13,'Rate Assumptions'!$B$14))+'Rate Assumptions'!$B$32)),"N/A")</f>
        <v>N/A</v>
      </c>
    </row>
    <row r="14" spans="1:16" x14ac:dyDescent="0.25">
      <c r="A14" s="25" t="s">
        <v>52</v>
      </c>
      <c r="B14" s="25" t="s">
        <v>4</v>
      </c>
      <c r="C14" s="25" t="s">
        <v>6</v>
      </c>
      <c r="D14" s="26">
        <v>2500000</v>
      </c>
      <c r="E14" s="25">
        <v>640</v>
      </c>
      <c r="F14" s="27">
        <v>0.8</v>
      </c>
      <c r="G14" s="27">
        <v>0.7</v>
      </c>
      <c r="H14" s="27">
        <v>0.85</v>
      </c>
      <c r="I14" s="25" t="s">
        <v>53</v>
      </c>
      <c r="J14" s="4">
        <f>IF(J$4&lt;=$H14,MAX('Rate Assumptions'!$B$5,MIN('Rate Assumptions'!$B$6,IF($B14="Bridge",'Rate Assumptions'!$B$11,IF($B14="New Construction",'Rate Assumptions'!$B$10,'Rate Assumptions'!$B$9))+IF($C14="Tier 1",'Rate Assumptions'!$B$12,IF($C14="Tier 2",'Rate Assumptions'!$B$13,'Rate Assumptions'!$B$14))+'Rate Assumptions'!$B$26)),"N/A")</f>
        <v>9.2499999999999999E-2</v>
      </c>
      <c r="K14" s="4">
        <f>IF(K$4&lt;=$H14,MAX('Rate Assumptions'!$B$5,MIN('Rate Assumptions'!$B$6,IF($B14="Bridge",'Rate Assumptions'!$B$11,IF($B14="New Construction",'Rate Assumptions'!$B$10,'Rate Assumptions'!$B$9))+IF($C14="Tier 1",'Rate Assumptions'!$B$12,IF($C14="Tier 2",'Rate Assumptions'!$B$13,'Rate Assumptions'!$B$14))+'Rate Assumptions'!$B$27)),"N/A")</f>
        <v>9.2999999999999999E-2</v>
      </c>
      <c r="L14" s="4">
        <f>IF(L$4&lt;=$H14,MAX('Rate Assumptions'!$B$5,MIN('Rate Assumptions'!$B$6,IF($B14="Bridge",'Rate Assumptions'!$B$11,IF($B14="New Construction",'Rate Assumptions'!$B$10,'Rate Assumptions'!$B$9))+IF($C14="Tier 1",'Rate Assumptions'!$B$12,IF($C14="Tier 2",'Rate Assumptions'!$B$13,'Rate Assumptions'!$B$14))+'Rate Assumptions'!$B$28)),"N/A")</f>
        <v>9.4E-2</v>
      </c>
      <c r="M14" s="4">
        <f>IF(M$4&lt;=$H14,MAX('Rate Assumptions'!$B$5,MIN('Rate Assumptions'!$B$6,IF($B14="Bridge",'Rate Assumptions'!$B$11,IF($B14="New Construction",'Rate Assumptions'!$B$10,'Rate Assumptions'!$B$9))+IF($C14="Tier 1",'Rate Assumptions'!$B$12,IF($C14="Tier 2",'Rate Assumptions'!$B$13,'Rate Assumptions'!$B$14))+'Rate Assumptions'!$B$29)),"N/A")</f>
        <v>9.5000000000000001E-2</v>
      </c>
      <c r="N14" s="4">
        <f>IF(N$4&lt;=$H14,MAX('Rate Assumptions'!$B$5,MIN('Rate Assumptions'!$B$6,IF($B14="Bridge",'Rate Assumptions'!$B$11,IF($B14="New Construction",'Rate Assumptions'!$B$10,'Rate Assumptions'!$B$9))+IF($C14="Tier 1",'Rate Assumptions'!$B$12,IF($C14="Tier 2",'Rate Assumptions'!$B$13,'Rate Assumptions'!$B$14))+'Rate Assumptions'!$B$30)),"N/A")</f>
        <v>9.6000000000000002E-2</v>
      </c>
      <c r="O14" s="4" t="str">
        <f>IF(O$4&lt;=$H14,MAX('Rate Assumptions'!$B$5,MIN('Rate Assumptions'!$B$6,IF($B14="Bridge",'Rate Assumptions'!$B$11,IF($B14="New Construction",'Rate Assumptions'!$B$10,'Rate Assumptions'!$B$9))+IF($C14="Tier 1",'Rate Assumptions'!$B$12,IF($C14="Tier 2",'Rate Assumptions'!$B$13,'Rate Assumptions'!$B$14))+'Rate Assumptions'!$B$31)),"N/A")</f>
        <v>N/A</v>
      </c>
      <c r="P14" s="4" t="str">
        <f>IF(P$4&lt;=$H14,MAX('Rate Assumptions'!$B$5,MIN('Rate Assumptions'!$B$6,IF($B14="Bridge",'Rate Assumptions'!$B$11,IF($B14="New Construction",'Rate Assumptions'!$B$10,'Rate Assumptions'!$B$9))+IF($C14="Tier 1",'Rate Assumptions'!$B$12,IF($C14="Tier 2",'Rate Assumptions'!$B$13,'Rate Assumptions'!$B$14))+'Rate Assumptions'!$B$32)),"N/A")</f>
        <v>N/A</v>
      </c>
    </row>
    <row r="15" spans="1:16" x14ac:dyDescent="0.25">
      <c r="A15" s="25" t="s">
        <v>52</v>
      </c>
      <c r="B15" s="25" t="s">
        <v>4</v>
      </c>
      <c r="C15" s="25" t="s">
        <v>47</v>
      </c>
      <c r="D15" s="26">
        <v>2500000</v>
      </c>
      <c r="E15" s="25">
        <v>660</v>
      </c>
      <c r="F15" s="27">
        <v>0.75</v>
      </c>
      <c r="G15" s="27">
        <v>0.65</v>
      </c>
      <c r="H15" s="27">
        <v>0.8</v>
      </c>
      <c r="I15" s="25" t="s">
        <v>53</v>
      </c>
      <c r="J15" s="4">
        <f>IF(J$4&lt;=$H15,MAX('Rate Assumptions'!$B$5,MIN('Rate Assumptions'!$B$6,IF($B15="Bridge",'Rate Assumptions'!$B$11,IF($B15="New Construction",'Rate Assumptions'!$B$10,'Rate Assumptions'!$B$9))+IF($C15="Tier 1",'Rate Assumptions'!$B$12,IF($C15="Tier 2",'Rate Assumptions'!$B$13,'Rate Assumptions'!$B$14))+'Rate Assumptions'!$B$26)),"N/A")</f>
        <v>9.2999999999999999E-2</v>
      </c>
      <c r="K15" s="4">
        <f>IF(K$4&lt;=$H15,MAX('Rate Assumptions'!$B$5,MIN('Rate Assumptions'!$B$6,IF($B15="Bridge",'Rate Assumptions'!$B$11,IF($B15="New Construction",'Rate Assumptions'!$B$10,'Rate Assumptions'!$B$9))+IF($C15="Tier 1",'Rate Assumptions'!$B$12,IF($C15="Tier 2",'Rate Assumptions'!$B$13,'Rate Assumptions'!$B$14))+'Rate Assumptions'!$B$27)),"N/A")</f>
        <v>9.4E-2</v>
      </c>
      <c r="L15" s="4">
        <f>IF(L$4&lt;=$H15,MAX('Rate Assumptions'!$B$5,MIN('Rate Assumptions'!$B$6,IF($B15="Bridge",'Rate Assumptions'!$B$11,IF($B15="New Construction",'Rate Assumptions'!$B$10,'Rate Assumptions'!$B$9))+IF($C15="Tier 1",'Rate Assumptions'!$B$12,IF($C15="Tier 2",'Rate Assumptions'!$B$13,'Rate Assumptions'!$B$14))+'Rate Assumptions'!$B$28)),"N/A")</f>
        <v>9.5000000000000001E-2</v>
      </c>
      <c r="M15" s="4">
        <f>IF(M$4&lt;=$H15,MAX('Rate Assumptions'!$B$5,MIN('Rate Assumptions'!$B$6,IF($B15="Bridge",'Rate Assumptions'!$B$11,IF($B15="New Construction",'Rate Assumptions'!$B$10,'Rate Assumptions'!$B$9))+IF($C15="Tier 1",'Rate Assumptions'!$B$12,IF($C15="Tier 2",'Rate Assumptions'!$B$13,'Rate Assumptions'!$B$14))+'Rate Assumptions'!$B$29)),"N/A")</f>
        <v>9.6000000000000002E-2</v>
      </c>
      <c r="N15" s="4" t="str">
        <f>IF(N$4&lt;=$H15,MAX('Rate Assumptions'!$B$5,MIN('Rate Assumptions'!$B$6,IF($B15="Bridge",'Rate Assumptions'!$B$11,IF($B15="New Construction",'Rate Assumptions'!$B$10,'Rate Assumptions'!$B$9))+IF($C15="Tier 1",'Rate Assumptions'!$B$12,IF($C15="Tier 2",'Rate Assumptions'!$B$13,'Rate Assumptions'!$B$14))+'Rate Assumptions'!$B$30)),"N/A")</f>
        <v>N/A</v>
      </c>
      <c r="O15" s="4" t="str">
        <f>IF(O$4&lt;=$H15,MAX('Rate Assumptions'!$B$5,MIN('Rate Assumptions'!$B$6,IF($B15="Bridge",'Rate Assumptions'!$B$11,IF($B15="New Construction",'Rate Assumptions'!$B$10,'Rate Assumptions'!$B$9))+IF($C15="Tier 1",'Rate Assumptions'!$B$12,IF($C15="Tier 2",'Rate Assumptions'!$B$13,'Rate Assumptions'!$B$14))+'Rate Assumptions'!$B$31)),"N/A")</f>
        <v>N/A</v>
      </c>
      <c r="P15" s="4" t="str">
        <f>IF(P$4&lt;=$H15,MAX('Rate Assumptions'!$B$5,MIN('Rate Assumptions'!$B$6,IF($B15="Bridge",'Rate Assumptions'!$B$11,IF($B15="New Construction",'Rate Assumptions'!$B$10,'Rate Assumptions'!$B$9))+IF($C15="Tier 1",'Rate Assumptions'!$B$12,IF($C15="Tier 2",'Rate Assumptions'!$B$13,'Rate Assumptions'!$B$14))+'Rate Assumptions'!$B$32)),"N/A")</f>
        <v>N/A</v>
      </c>
    </row>
    <row r="16" spans="1:16" x14ac:dyDescent="0.25">
      <c r="A16" s="28" t="s">
        <v>52</v>
      </c>
      <c r="B16" s="28" t="s">
        <v>4</v>
      </c>
      <c r="C16" s="28" t="s">
        <v>48</v>
      </c>
      <c r="D16" s="29" t="s">
        <v>54</v>
      </c>
      <c r="E16" s="28" t="s">
        <v>54</v>
      </c>
      <c r="F16" s="28" t="s">
        <v>54</v>
      </c>
      <c r="G16" s="28" t="s">
        <v>54</v>
      </c>
      <c r="H16" s="28" t="s">
        <v>54</v>
      </c>
      <c r="I16" s="28" t="s">
        <v>55</v>
      </c>
      <c r="J16" s="5" t="s">
        <v>56</v>
      </c>
      <c r="K16" s="5" t="s">
        <v>56</v>
      </c>
      <c r="L16" s="5" t="s">
        <v>56</v>
      </c>
      <c r="M16" s="5" t="s">
        <v>56</v>
      </c>
      <c r="N16" s="5" t="s">
        <v>56</v>
      </c>
      <c r="O16" s="5" t="s">
        <v>56</v>
      </c>
      <c r="P16" s="5" t="s">
        <v>56</v>
      </c>
    </row>
    <row r="17" spans="1:16" ht="30" customHeight="1" x14ac:dyDescent="0.25">
      <c r="A17" s="25" t="s">
        <v>52</v>
      </c>
      <c r="B17" s="25" t="s">
        <v>49</v>
      </c>
      <c r="C17" s="25" t="s">
        <v>6</v>
      </c>
      <c r="D17" s="26">
        <v>2500000</v>
      </c>
      <c r="E17" s="25">
        <v>680</v>
      </c>
      <c r="F17" s="27">
        <v>0.7</v>
      </c>
      <c r="G17" s="27">
        <v>0.7</v>
      </c>
      <c r="H17" s="27">
        <v>0.85</v>
      </c>
      <c r="I17" s="25" t="s">
        <v>50</v>
      </c>
      <c r="J17" s="4">
        <f>IF(J$4&lt;=$H17,MAX('Rate Assumptions'!$B$5,MIN('Rate Assumptions'!$B$6,IF($B17="Bridge",'Rate Assumptions'!$B$11,IF($B17="New Construction",'Rate Assumptions'!$B$10,'Rate Assumptions'!$B$9))+IF($C17="Tier 1",'Rate Assumptions'!$B$12,IF($C17="Tier 2",'Rate Assumptions'!$B$13,'Rate Assumptions'!$B$14))+'Rate Assumptions'!$B$26)),"N/A")</f>
        <v>9.4500000000000001E-2</v>
      </c>
      <c r="K17" s="4">
        <f>IF(K$4&lt;=$H17,MAX('Rate Assumptions'!$B$5,MIN('Rate Assumptions'!$B$6,IF($B17="Bridge",'Rate Assumptions'!$B$11,IF($B17="New Construction",'Rate Assumptions'!$B$10,'Rate Assumptions'!$B$9))+IF($C17="Tier 1",'Rate Assumptions'!$B$12,IF($C17="Tier 2",'Rate Assumptions'!$B$13,'Rate Assumptions'!$B$14))+'Rate Assumptions'!$B$27)),"N/A")</f>
        <v>9.5500000000000002E-2</v>
      </c>
      <c r="L17" s="4">
        <f>IF(L$4&lt;=$H17,MAX('Rate Assumptions'!$B$5,MIN('Rate Assumptions'!$B$6,IF($B17="Bridge",'Rate Assumptions'!$B$11,IF($B17="New Construction",'Rate Assumptions'!$B$10,'Rate Assumptions'!$B$9))+IF($C17="Tier 1",'Rate Assumptions'!$B$12,IF($C17="Tier 2",'Rate Assumptions'!$B$13,'Rate Assumptions'!$B$14))+'Rate Assumptions'!$B$28)),"N/A")</f>
        <v>9.6500000000000002E-2</v>
      </c>
      <c r="M17" s="4">
        <f>IF(M$4&lt;=$H17,MAX('Rate Assumptions'!$B$5,MIN('Rate Assumptions'!$B$6,IF($B17="Bridge",'Rate Assumptions'!$B$11,IF($B17="New Construction",'Rate Assumptions'!$B$10,'Rate Assumptions'!$B$9))+IF($C17="Tier 1",'Rate Assumptions'!$B$12,IF($C17="Tier 2",'Rate Assumptions'!$B$13,'Rate Assumptions'!$B$14))+'Rate Assumptions'!$B$29)),"N/A")</f>
        <v>9.7500000000000003E-2</v>
      </c>
      <c r="N17" s="4">
        <f>IF(N$4&lt;=$H17,MAX('Rate Assumptions'!$B$5,MIN('Rate Assumptions'!$B$6,IF($B17="Bridge",'Rate Assumptions'!$B$11,IF($B17="New Construction",'Rate Assumptions'!$B$10,'Rate Assumptions'!$B$9))+IF($C17="Tier 1",'Rate Assumptions'!$B$12,IF($C17="Tier 2",'Rate Assumptions'!$B$13,'Rate Assumptions'!$B$14))+'Rate Assumptions'!$B$30)),"N/A")</f>
        <v>9.8500000000000004E-2</v>
      </c>
      <c r="O17" s="4" t="str">
        <f>IF(O$4&lt;=$H17,MAX('Rate Assumptions'!$B$5,MIN('Rate Assumptions'!$B$6,IF($B17="Bridge",'Rate Assumptions'!$B$11,IF($B17="New Construction",'Rate Assumptions'!$B$10,'Rate Assumptions'!$B$9))+IF($C17="Tier 1",'Rate Assumptions'!$B$12,IF($C17="Tier 2",'Rate Assumptions'!$B$13,'Rate Assumptions'!$B$14))+'Rate Assumptions'!$B$31)),"N/A")</f>
        <v>N/A</v>
      </c>
      <c r="P17" s="4" t="str">
        <f>IF(P$4&lt;=$H17,MAX('Rate Assumptions'!$B$5,MIN('Rate Assumptions'!$B$6,IF($B17="Bridge",'Rate Assumptions'!$B$11,IF($B17="New Construction",'Rate Assumptions'!$B$10,'Rate Assumptions'!$B$9))+IF($C17="Tier 1",'Rate Assumptions'!$B$12,IF($C17="Tier 2",'Rate Assumptions'!$B$13,'Rate Assumptions'!$B$14))+'Rate Assumptions'!$B$32)),"N/A")</f>
        <v>N/A</v>
      </c>
    </row>
    <row r="18" spans="1:16" ht="30" customHeight="1" x14ac:dyDescent="0.25">
      <c r="A18" s="25" t="s">
        <v>52</v>
      </c>
      <c r="B18" s="25" t="s">
        <v>49</v>
      </c>
      <c r="C18" s="25" t="s">
        <v>47</v>
      </c>
      <c r="D18" s="26">
        <v>2500000</v>
      </c>
      <c r="E18" s="25">
        <v>700</v>
      </c>
      <c r="F18" s="27">
        <v>0.7</v>
      </c>
      <c r="G18" s="27">
        <v>0.65</v>
      </c>
      <c r="H18" s="27">
        <v>0.85</v>
      </c>
      <c r="I18" s="25" t="s">
        <v>50</v>
      </c>
      <c r="J18" s="4">
        <f>IF(J$4&lt;=$H18,MAX('Rate Assumptions'!$B$5,MIN('Rate Assumptions'!$B$6,IF($B18="Bridge",'Rate Assumptions'!$B$11,IF($B18="New Construction",'Rate Assumptions'!$B$10,'Rate Assumptions'!$B$9))+IF($C18="Tier 1",'Rate Assumptions'!$B$12,IF($C18="Tier 2",'Rate Assumptions'!$B$13,'Rate Assumptions'!$B$14))+'Rate Assumptions'!$B$26)),"N/A")</f>
        <v>9.5500000000000002E-2</v>
      </c>
      <c r="K18" s="4">
        <f>IF(K$4&lt;=$H18,MAX('Rate Assumptions'!$B$5,MIN('Rate Assumptions'!$B$6,IF($B18="Bridge",'Rate Assumptions'!$B$11,IF($B18="New Construction",'Rate Assumptions'!$B$10,'Rate Assumptions'!$B$9))+IF($C18="Tier 1",'Rate Assumptions'!$B$12,IF($C18="Tier 2",'Rate Assumptions'!$B$13,'Rate Assumptions'!$B$14))+'Rate Assumptions'!$B$27)),"N/A")</f>
        <v>9.6500000000000002E-2</v>
      </c>
      <c r="L18" s="4">
        <f>IF(L$4&lt;=$H18,MAX('Rate Assumptions'!$B$5,MIN('Rate Assumptions'!$B$6,IF($B18="Bridge",'Rate Assumptions'!$B$11,IF($B18="New Construction",'Rate Assumptions'!$B$10,'Rate Assumptions'!$B$9))+IF($C18="Tier 1",'Rate Assumptions'!$B$12,IF($C18="Tier 2",'Rate Assumptions'!$B$13,'Rate Assumptions'!$B$14))+'Rate Assumptions'!$B$28)),"N/A")</f>
        <v>9.7500000000000003E-2</v>
      </c>
      <c r="M18" s="4">
        <f>IF(M$4&lt;=$H18,MAX('Rate Assumptions'!$B$5,MIN('Rate Assumptions'!$B$6,IF($B18="Bridge",'Rate Assumptions'!$B$11,IF($B18="New Construction",'Rate Assumptions'!$B$10,'Rate Assumptions'!$B$9))+IF($C18="Tier 1",'Rate Assumptions'!$B$12,IF($C18="Tier 2",'Rate Assumptions'!$B$13,'Rate Assumptions'!$B$14))+'Rate Assumptions'!$B$29)),"N/A")</f>
        <v>9.8500000000000004E-2</v>
      </c>
      <c r="N18" s="4">
        <f>IF(N$4&lt;=$H18,MAX('Rate Assumptions'!$B$5,MIN('Rate Assumptions'!$B$6,IF($B18="Bridge",'Rate Assumptions'!$B$11,IF($B18="New Construction",'Rate Assumptions'!$B$10,'Rate Assumptions'!$B$9))+IF($C18="Tier 1",'Rate Assumptions'!$B$12,IF($C18="Tier 2",'Rate Assumptions'!$B$13,'Rate Assumptions'!$B$14))+'Rate Assumptions'!$B$30)),"N/A")</f>
        <v>9.9500000000000005E-2</v>
      </c>
      <c r="O18" s="4" t="str">
        <f>IF(O$4&lt;=$H18,MAX('Rate Assumptions'!$B$5,MIN('Rate Assumptions'!$B$6,IF($B18="Bridge",'Rate Assumptions'!$B$11,IF($B18="New Construction",'Rate Assumptions'!$B$10,'Rate Assumptions'!$B$9))+IF($C18="Tier 1",'Rate Assumptions'!$B$12,IF($C18="Tier 2",'Rate Assumptions'!$B$13,'Rate Assumptions'!$B$14))+'Rate Assumptions'!$B$31)),"N/A")</f>
        <v>N/A</v>
      </c>
      <c r="P18" s="4" t="str">
        <f>IF(P$4&lt;=$H18,MAX('Rate Assumptions'!$B$5,MIN('Rate Assumptions'!$B$6,IF($B18="Bridge",'Rate Assumptions'!$B$11,IF($B18="New Construction",'Rate Assumptions'!$B$10,'Rate Assumptions'!$B$9))+IF($C18="Tier 1",'Rate Assumptions'!$B$12,IF($C18="Tier 2",'Rate Assumptions'!$B$13,'Rate Assumptions'!$B$14))+'Rate Assumptions'!$B$32)),"N/A")</f>
        <v>N/A</v>
      </c>
    </row>
    <row r="19" spans="1:16" ht="30" customHeight="1" x14ac:dyDescent="0.25">
      <c r="A19" s="28" t="s">
        <v>52</v>
      </c>
      <c r="B19" s="28" t="s">
        <v>49</v>
      </c>
      <c r="C19" s="28" t="s">
        <v>48</v>
      </c>
      <c r="D19" s="29">
        <v>950000</v>
      </c>
      <c r="E19" s="28">
        <v>740</v>
      </c>
      <c r="F19" s="30">
        <v>0.6</v>
      </c>
      <c r="G19" s="30">
        <v>0.6</v>
      </c>
      <c r="H19" s="30">
        <v>0.8</v>
      </c>
      <c r="I19" s="28" t="s">
        <v>50</v>
      </c>
      <c r="J19" s="5">
        <f>IF(J$4&lt;=$H19,MAX('Rate Assumptions'!$B$5,MIN('Rate Assumptions'!$B$6,IF($B19="Bridge",'Rate Assumptions'!$B$11,IF($B19="New Construction",'Rate Assumptions'!$B$10,'Rate Assumptions'!$B$9))+IF($C19="Tier 1",'Rate Assumptions'!$B$12,IF($C19="Tier 2",'Rate Assumptions'!$B$13,'Rate Assumptions'!$B$14))+'Rate Assumptions'!$B$26)),"N/A")</f>
        <v>9.7500000000000003E-2</v>
      </c>
      <c r="K19" s="5">
        <f>IF(K$4&lt;=$H19,MAX('Rate Assumptions'!$B$5,MIN('Rate Assumptions'!$B$6,IF($B19="Bridge",'Rate Assumptions'!$B$11,IF($B19="New Construction",'Rate Assumptions'!$B$10,'Rate Assumptions'!$B$9))+IF($C19="Tier 1",'Rate Assumptions'!$B$12,IF($C19="Tier 2",'Rate Assumptions'!$B$13,'Rate Assumptions'!$B$14))+'Rate Assumptions'!$B$27)),"N/A")</f>
        <v>9.8500000000000004E-2</v>
      </c>
      <c r="L19" s="5">
        <f>IF(L$4&lt;=$H19,MAX('Rate Assumptions'!$B$5,MIN('Rate Assumptions'!$B$6,IF($B19="Bridge",'Rate Assumptions'!$B$11,IF($B19="New Construction",'Rate Assumptions'!$B$10,'Rate Assumptions'!$B$9))+IF($C19="Tier 1",'Rate Assumptions'!$B$12,IF($C19="Tier 2",'Rate Assumptions'!$B$13,'Rate Assumptions'!$B$14))+'Rate Assumptions'!$B$28)),"N/A")</f>
        <v>9.9500000000000005E-2</v>
      </c>
      <c r="M19" s="5">
        <f>IF(M$4&lt;=$H19,MAX('Rate Assumptions'!$B$5,MIN('Rate Assumptions'!$B$6,IF($B19="Bridge",'Rate Assumptions'!$B$11,IF($B19="New Construction",'Rate Assumptions'!$B$10,'Rate Assumptions'!$B$9))+IF($C19="Tier 1",'Rate Assumptions'!$B$12,IF($C19="Tier 2",'Rate Assumptions'!$B$13,'Rate Assumptions'!$B$14))+'Rate Assumptions'!$B$29)),"N/A")</f>
        <v>0.10050000000000001</v>
      </c>
      <c r="N19" s="5" t="str">
        <f>IF(N$4&lt;=$H19,MAX('Rate Assumptions'!$B$5,MIN('Rate Assumptions'!$B$6,IF($B19="Bridge",'Rate Assumptions'!$B$11,IF($B19="New Construction",'Rate Assumptions'!$B$10,'Rate Assumptions'!$B$9))+IF($C19="Tier 1",'Rate Assumptions'!$B$12,IF($C19="Tier 2",'Rate Assumptions'!$B$13,'Rate Assumptions'!$B$14))+'Rate Assumptions'!$B$30)),"N/A")</f>
        <v>N/A</v>
      </c>
      <c r="O19" s="5" t="str">
        <f>IF(O$4&lt;=$H19,MAX('Rate Assumptions'!$B$5,MIN('Rate Assumptions'!$B$6,IF($B19="Bridge",'Rate Assumptions'!$B$11,IF($B19="New Construction",'Rate Assumptions'!$B$10,'Rate Assumptions'!$B$9))+IF($C19="Tier 1",'Rate Assumptions'!$B$12,IF($C19="Tier 2",'Rate Assumptions'!$B$13,'Rate Assumptions'!$B$14))+'Rate Assumptions'!$B$31)),"N/A")</f>
        <v>N/A</v>
      </c>
      <c r="P19" s="5" t="str">
        <f>IF(P$4&lt;=$H19,MAX('Rate Assumptions'!$B$5,MIN('Rate Assumptions'!$B$6,IF($B19="Bridge",'Rate Assumptions'!$B$11,IF($B19="New Construction",'Rate Assumptions'!$B$10,'Rate Assumptions'!$B$9))+IF($C19="Tier 1",'Rate Assumptions'!$B$12,IF($C19="Tier 2",'Rate Assumptions'!$B$13,'Rate Assumptions'!$B$14))+'Rate Assumptions'!$B$32)),"N/A")</f>
        <v>N/A</v>
      </c>
    </row>
    <row r="20" spans="1:16" x14ac:dyDescent="0.25">
      <c r="A20" s="25" t="s">
        <v>52</v>
      </c>
      <c r="B20" s="25" t="s">
        <v>51</v>
      </c>
      <c r="C20" s="25" t="s">
        <v>6</v>
      </c>
      <c r="D20" s="26">
        <v>1500000</v>
      </c>
      <c r="E20" s="25">
        <v>680</v>
      </c>
      <c r="F20" s="27">
        <v>0.7</v>
      </c>
      <c r="G20" s="27">
        <v>0.7</v>
      </c>
      <c r="H20" s="27">
        <v>0.7</v>
      </c>
      <c r="I20" s="25"/>
      <c r="J20" s="4">
        <f>IF(J$4&lt;=$H20,MAX('Rate Assumptions'!$B$5,MIN('Rate Assumptions'!$B$6,IF($B20="Bridge",'Rate Assumptions'!$B$11,IF($B20="New Construction",'Rate Assumptions'!$B$10,'Rate Assumptions'!$B$9))+IF($C20="Tier 1",'Rate Assumptions'!$B$12,IF($C20="Tier 2",'Rate Assumptions'!$B$13,'Rate Assumptions'!$B$14))+'Rate Assumptions'!$B$26)),"N/A")</f>
        <v>9.2499999999999999E-2</v>
      </c>
      <c r="K20" s="4">
        <f>IF(K$4&lt;=$H20,MAX('Rate Assumptions'!$B$5,MIN('Rate Assumptions'!$B$6,IF($B20="Bridge",'Rate Assumptions'!$B$11,IF($B20="New Construction",'Rate Assumptions'!$B$10,'Rate Assumptions'!$B$9))+IF($C20="Tier 1",'Rate Assumptions'!$B$12,IF($C20="Tier 2",'Rate Assumptions'!$B$13,'Rate Assumptions'!$B$14))+'Rate Assumptions'!$B$27)),"N/A")</f>
        <v>9.2999999999999999E-2</v>
      </c>
      <c r="L20" s="4" t="str">
        <f>IF(L$4&lt;=$H20,MAX('Rate Assumptions'!$B$5,MIN('Rate Assumptions'!$B$6,IF($B20="Bridge",'Rate Assumptions'!$B$11,IF($B20="New Construction",'Rate Assumptions'!$B$10,'Rate Assumptions'!$B$9))+IF($C20="Tier 1",'Rate Assumptions'!$B$12,IF($C20="Tier 2",'Rate Assumptions'!$B$13,'Rate Assumptions'!$B$14))+'Rate Assumptions'!$B$28)),"N/A")</f>
        <v>N/A</v>
      </c>
      <c r="M20" s="4" t="str">
        <f>IF(M$4&lt;=$H20,MAX('Rate Assumptions'!$B$5,MIN('Rate Assumptions'!$B$6,IF($B20="Bridge",'Rate Assumptions'!$B$11,IF($B20="New Construction",'Rate Assumptions'!$B$10,'Rate Assumptions'!$B$9))+IF($C20="Tier 1",'Rate Assumptions'!$B$12,IF($C20="Tier 2",'Rate Assumptions'!$B$13,'Rate Assumptions'!$B$14))+'Rate Assumptions'!$B$29)),"N/A")</f>
        <v>N/A</v>
      </c>
      <c r="N20" s="4" t="str">
        <f>IF(N$4&lt;=$H20,MAX('Rate Assumptions'!$B$5,MIN('Rate Assumptions'!$B$6,IF($B20="Bridge",'Rate Assumptions'!$B$11,IF($B20="New Construction",'Rate Assumptions'!$B$10,'Rate Assumptions'!$B$9))+IF($C20="Tier 1",'Rate Assumptions'!$B$12,IF($C20="Tier 2",'Rate Assumptions'!$B$13,'Rate Assumptions'!$B$14))+'Rate Assumptions'!$B$30)),"N/A")</f>
        <v>N/A</v>
      </c>
      <c r="O20" s="4" t="str">
        <f>IF(O$4&lt;=$H20,MAX('Rate Assumptions'!$B$5,MIN('Rate Assumptions'!$B$6,IF($B20="Bridge",'Rate Assumptions'!$B$11,IF($B20="New Construction",'Rate Assumptions'!$B$10,'Rate Assumptions'!$B$9))+IF($C20="Tier 1",'Rate Assumptions'!$B$12,IF($C20="Tier 2",'Rate Assumptions'!$B$13,'Rate Assumptions'!$B$14))+'Rate Assumptions'!$B$31)),"N/A")</f>
        <v>N/A</v>
      </c>
      <c r="P20" s="4" t="str">
        <f>IF(P$4&lt;=$H20,MAX('Rate Assumptions'!$B$5,MIN('Rate Assumptions'!$B$6,IF($B20="Bridge",'Rate Assumptions'!$B$11,IF($B20="New Construction",'Rate Assumptions'!$B$10,'Rate Assumptions'!$B$9))+IF($C20="Tier 1",'Rate Assumptions'!$B$12,IF($C20="Tier 2",'Rate Assumptions'!$B$13,'Rate Assumptions'!$B$14))+'Rate Assumptions'!$B$32)),"N/A")</f>
        <v>N/A</v>
      </c>
    </row>
    <row r="21" spans="1:16" x14ac:dyDescent="0.25">
      <c r="A21" s="25" t="s">
        <v>52</v>
      </c>
      <c r="B21" s="25" t="s">
        <v>51</v>
      </c>
      <c r="C21" s="25" t="s">
        <v>47</v>
      </c>
      <c r="D21" s="26">
        <v>1500000</v>
      </c>
      <c r="E21" s="25">
        <v>700</v>
      </c>
      <c r="F21" s="27">
        <v>0.7</v>
      </c>
      <c r="G21" s="27">
        <v>0.7</v>
      </c>
      <c r="H21" s="27">
        <v>0.7</v>
      </c>
      <c r="I21" s="25"/>
      <c r="J21" s="4">
        <f>IF(J$4&lt;=$H21,MAX('Rate Assumptions'!$B$5,MIN('Rate Assumptions'!$B$6,IF($B21="Bridge",'Rate Assumptions'!$B$11,IF($B21="New Construction",'Rate Assumptions'!$B$10,'Rate Assumptions'!$B$9))+IF($C21="Tier 1",'Rate Assumptions'!$B$12,IF($C21="Tier 2",'Rate Assumptions'!$B$13,'Rate Assumptions'!$B$14))+'Rate Assumptions'!$B$26)),"N/A")</f>
        <v>9.2999999999999999E-2</v>
      </c>
      <c r="K21" s="4">
        <f>IF(K$4&lt;=$H21,MAX('Rate Assumptions'!$B$5,MIN('Rate Assumptions'!$B$6,IF($B21="Bridge",'Rate Assumptions'!$B$11,IF($B21="New Construction",'Rate Assumptions'!$B$10,'Rate Assumptions'!$B$9))+IF($C21="Tier 1",'Rate Assumptions'!$B$12,IF($C21="Tier 2",'Rate Assumptions'!$B$13,'Rate Assumptions'!$B$14))+'Rate Assumptions'!$B$27)),"N/A")</f>
        <v>9.4E-2</v>
      </c>
      <c r="L21" s="4" t="str">
        <f>IF(L$4&lt;=$H21,MAX('Rate Assumptions'!$B$5,MIN('Rate Assumptions'!$B$6,IF($B21="Bridge",'Rate Assumptions'!$B$11,IF($B21="New Construction",'Rate Assumptions'!$B$10,'Rate Assumptions'!$B$9))+IF($C21="Tier 1",'Rate Assumptions'!$B$12,IF($C21="Tier 2",'Rate Assumptions'!$B$13,'Rate Assumptions'!$B$14))+'Rate Assumptions'!$B$28)),"N/A")</f>
        <v>N/A</v>
      </c>
      <c r="M21" s="4" t="str">
        <f>IF(M$4&lt;=$H21,MAX('Rate Assumptions'!$B$5,MIN('Rate Assumptions'!$B$6,IF($B21="Bridge",'Rate Assumptions'!$B$11,IF($B21="New Construction",'Rate Assumptions'!$B$10,'Rate Assumptions'!$B$9))+IF($C21="Tier 1",'Rate Assumptions'!$B$12,IF($C21="Tier 2",'Rate Assumptions'!$B$13,'Rate Assumptions'!$B$14))+'Rate Assumptions'!$B$29)),"N/A")</f>
        <v>N/A</v>
      </c>
      <c r="N21" s="4" t="str">
        <f>IF(N$4&lt;=$H21,MAX('Rate Assumptions'!$B$5,MIN('Rate Assumptions'!$B$6,IF($B21="Bridge",'Rate Assumptions'!$B$11,IF($B21="New Construction",'Rate Assumptions'!$B$10,'Rate Assumptions'!$B$9))+IF($C21="Tier 1",'Rate Assumptions'!$B$12,IF($C21="Tier 2",'Rate Assumptions'!$B$13,'Rate Assumptions'!$B$14))+'Rate Assumptions'!$B$30)),"N/A")</f>
        <v>N/A</v>
      </c>
      <c r="O21" s="4" t="str">
        <f>IF(O$4&lt;=$H21,MAX('Rate Assumptions'!$B$5,MIN('Rate Assumptions'!$B$6,IF($B21="Bridge",'Rate Assumptions'!$B$11,IF($B21="New Construction",'Rate Assumptions'!$B$10,'Rate Assumptions'!$B$9))+IF($C21="Tier 1",'Rate Assumptions'!$B$12,IF($C21="Tier 2",'Rate Assumptions'!$B$13,'Rate Assumptions'!$B$14))+'Rate Assumptions'!$B$31)),"N/A")</f>
        <v>N/A</v>
      </c>
      <c r="P21" s="4" t="str">
        <f>IF(P$4&lt;=$H21,MAX('Rate Assumptions'!$B$5,MIN('Rate Assumptions'!$B$6,IF($B21="Bridge",'Rate Assumptions'!$B$11,IF($B21="New Construction",'Rate Assumptions'!$B$10,'Rate Assumptions'!$B$9))+IF($C21="Tier 1",'Rate Assumptions'!$B$12,IF($C21="Tier 2",'Rate Assumptions'!$B$13,'Rate Assumptions'!$B$14))+'Rate Assumptions'!$B$32)),"N/A")</f>
        <v>N/A</v>
      </c>
    </row>
    <row r="22" spans="1:16" x14ac:dyDescent="0.25">
      <c r="A22" s="28" t="s">
        <v>52</v>
      </c>
      <c r="B22" s="28" t="s">
        <v>51</v>
      </c>
      <c r="C22" s="28" t="s">
        <v>48</v>
      </c>
      <c r="D22" s="29">
        <v>950000</v>
      </c>
      <c r="E22" s="28">
        <v>740</v>
      </c>
      <c r="F22" s="30">
        <v>0.65</v>
      </c>
      <c r="G22" s="30">
        <v>0.65</v>
      </c>
      <c r="H22" s="30">
        <v>0.65</v>
      </c>
      <c r="I22" s="28"/>
      <c r="J22" s="5">
        <f>IF(J$4&lt;=$H22,MAX('Rate Assumptions'!$B$5,MIN('Rate Assumptions'!$B$6,IF($B22="Bridge",'Rate Assumptions'!$B$11,IF($B22="New Construction",'Rate Assumptions'!$B$10,'Rate Assumptions'!$B$9))+IF($C22="Tier 1",'Rate Assumptions'!$B$12,IF($C22="Tier 2",'Rate Assumptions'!$B$13,'Rate Assumptions'!$B$14))+'Rate Assumptions'!$B$26)),"N/A")</f>
        <v>9.5000000000000001E-2</v>
      </c>
      <c r="K22" s="5" t="str">
        <f>IF(K$4&lt;=$H22,MAX('Rate Assumptions'!$B$5,MIN('Rate Assumptions'!$B$6,IF($B22="Bridge",'Rate Assumptions'!$B$11,IF($B22="New Construction",'Rate Assumptions'!$B$10,'Rate Assumptions'!$B$9))+IF($C22="Tier 1",'Rate Assumptions'!$B$12,IF($C22="Tier 2",'Rate Assumptions'!$B$13,'Rate Assumptions'!$B$14))+'Rate Assumptions'!$B$27)),"N/A")</f>
        <v>N/A</v>
      </c>
      <c r="L22" s="5" t="str">
        <f>IF(L$4&lt;=$H22,MAX('Rate Assumptions'!$B$5,MIN('Rate Assumptions'!$B$6,IF($B22="Bridge",'Rate Assumptions'!$B$11,IF($B22="New Construction",'Rate Assumptions'!$B$10,'Rate Assumptions'!$B$9))+IF($C22="Tier 1",'Rate Assumptions'!$B$12,IF($C22="Tier 2",'Rate Assumptions'!$B$13,'Rate Assumptions'!$B$14))+'Rate Assumptions'!$B$28)),"N/A")</f>
        <v>N/A</v>
      </c>
      <c r="M22" s="5" t="str">
        <f>IF(M$4&lt;=$H22,MAX('Rate Assumptions'!$B$5,MIN('Rate Assumptions'!$B$6,IF($B22="Bridge",'Rate Assumptions'!$B$11,IF($B22="New Construction",'Rate Assumptions'!$B$10,'Rate Assumptions'!$B$9))+IF($C22="Tier 1",'Rate Assumptions'!$B$12,IF($C22="Tier 2",'Rate Assumptions'!$B$13,'Rate Assumptions'!$B$14))+'Rate Assumptions'!$B$29)),"N/A")</f>
        <v>N/A</v>
      </c>
      <c r="N22" s="5" t="str">
        <f>IF(N$4&lt;=$H22,MAX('Rate Assumptions'!$B$5,MIN('Rate Assumptions'!$B$6,IF($B22="Bridge",'Rate Assumptions'!$B$11,IF($B22="New Construction",'Rate Assumptions'!$B$10,'Rate Assumptions'!$B$9))+IF($C22="Tier 1",'Rate Assumptions'!$B$12,IF($C22="Tier 2",'Rate Assumptions'!$B$13,'Rate Assumptions'!$B$14))+'Rate Assumptions'!$B$30)),"N/A")</f>
        <v>N/A</v>
      </c>
      <c r="O22" s="5" t="str">
        <f>IF(O$4&lt;=$H22,MAX('Rate Assumptions'!$B$5,MIN('Rate Assumptions'!$B$6,IF($B22="Bridge",'Rate Assumptions'!$B$11,IF($B22="New Construction",'Rate Assumptions'!$B$10,'Rate Assumptions'!$B$9))+IF($C22="Tier 1",'Rate Assumptions'!$B$12,IF($C22="Tier 2",'Rate Assumptions'!$B$13,'Rate Assumptions'!$B$14))+'Rate Assumptions'!$B$31)),"N/A")</f>
        <v>N/A</v>
      </c>
      <c r="P22" s="5" t="str">
        <f>IF(P$4&lt;=$H22,MAX('Rate Assumptions'!$B$5,MIN('Rate Assumptions'!$B$6,IF($B22="Bridge",'Rate Assumptions'!$B$11,IF($B22="New Construction",'Rate Assumptions'!$B$10,'Rate Assumptions'!$B$9))+IF($C22="Tier 1",'Rate Assumptions'!$B$12,IF($C22="Tier 2",'Rate Assumptions'!$B$13,'Rate Assumptions'!$B$14))+'Rate Assumptions'!$B$32)),"N/A")</f>
        <v>N/A</v>
      </c>
    </row>
    <row r="23" spans="1:16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x14ac:dyDescent="0.25">
      <c r="A25" s="89" t="s">
        <v>57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</row>
  </sheetData>
  <mergeCells count="3">
    <mergeCell ref="A1:P1"/>
    <mergeCell ref="A25:P25"/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2"/>
  <sheetViews>
    <sheetView showGridLines="0" workbookViewId="0">
      <selection activeCell="B5" sqref="B5"/>
    </sheetView>
  </sheetViews>
  <sheetFormatPr defaultRowHeight="15" x14ac:dyDescent="0.25"/>
  <cols>
    <col min="1" max="1" width="38" customWidth="1"/>
    <col min="2" max="2" width="14" customWidth="1"/>
    <col min="3" max="3" width="24" customWidth="1"/>
    <col min="4" max="4" width="12" customWidth="1"/>
    <col min="5" max="5" width="18" customWidth="1"/>
    <col min="6" max="6" width="10" customWidth="1"/>
    <col min="7" max="9" width="12" customWidth="1"/>
    <col min="10" max="10" width="16" customWidth="1"/>
    <col min="11" max="11" width="38" customWidth="1"/>
  </cols>
  <sheetData>
    <row r="1" spans="1:11" x14ac:dyDescent="0.25">
      <c r="A1" s="87" t="s">
        <v>58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x14ac:dyDescent="0.25">
      <c r="A2" s="90" t="s">
        <v>59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0" customHeight="1" x14ac:dyDescent="0.25">
      <c r="A4" s="2" t="s">
        <v>60</v>
      </c>
      <c r="B4" s="2" t="s">
        <v>1</v>
      </c>
      <c r="C4" s="2" t="s">
        <v>3</v>
      </c>
      <c r="D4" s="2" t="s">
        <v>43</v>
      </c>
      <c r="E4" s="2" t="s">
        <v>61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62</v>
      </c>
      <c r="K4" s="2" t="s">
        <v>45</v>
      </c>
    </row>
    <row r="5" spans="1:11" ht="30" customHeight="1" x14ac:dyDescent="0.25">
      <c r="A5" s="6" t="s">
        <v>63</v>
      </c>
      <c r="B5" s="7" t="s">
        <v>2</v>
      </c>
      <c r="C5" s="7" t="s">
        <v>4</v>
      </c>
      <c r="D5" s="7" t="s">
        <v>6</v>
      </c>
      <c r="E5" s="8">
        <v>2500000</v>
      </c>
      <c r="F5" s="9">
        <v>600</v>
      </c>
      <c r="G5" s="10">
        <v>0.9</v>
      </c>
      <c r="H5" s="10">
        <v>0.75</v>
      </c>
      <c r="I5" s="10">
        <v>0.92500000000000004</v>
      </c>
      <c r="J5" s="7" t="s">
        <v>64</v>
      </c>
      <c r="K5" s="7" t="s">
        <v>46</v>
      </c>
    </row>
    <row r="6" spans="1:11" ht="30" customHeight="1" x14ac:dyDescent="0.25">
      <c r="A6" s="6" t="s">
        <v>65</v>
      </c>
      <c r="B6" s="7" t="s">
        <v>2</v>
      </c>
      <c r="C6" s="7" t="s">
        <v>4</v>
      </c>
      <c r="D6" s="7" t="s">
        <v>47</v>
      </c>
      <c r="E6" s="8">
        <v>2000000</v>
      </c>
      <c r="F6" s="9">
        <v>660</v>
      </c>
      <c r="G6" s="10">
        <v>0.9</v>
      </c>
      <c r="H6" s="10">
        <v>0.7</v>
      </c>
      <c r="I6" s="10">
        <v>0.92500000000000004</v>
      </c>
      <c r="J6" s="7" t="s">
        <v>64</v>
      </c>
      <c r="K6" s="7" t="s">
        <v>46</v>
      </c>
    </row>
    <row r="7" spans="1:11" x14ac:dyDescent="0.25">
      <c r="A7" s="6" t="s">
        <v>66</v>
      </c>
      <c r="B7" s="7" t="s">
        <v>2</v>
      </c>
      <c r="C7" s="7" t="s">
        <v>4</v>
      </c>
      <c r="D7" s="7" t="s">
        <v>48</v>
      </c>
      <c r="E7" s="8">
        <v>950000</v>
      </c>
      <c r="F7" s="9">
        <v>680</v>
      </c>
      <c r="G7" s="10">
        <v>0.8</v>
      </c>
      <c r="H7" s="10">
        <v>0.65</v>
      </c>
      <c r="I7" s="10">
        <v>0.85</v>
      </c>
      <c r="J7" s="7" t="s">
        <v>64</v>
      </c>
      <c r="K7" s="7"/>
    </row>
    <row r="8" spans="1:11" ht="30" customHeight="1" x14ac:dyDescent="0.25">
      <c r="A8" s="6" t="s">
        <v>67</v>
      </c>
      <c r="B8" s="7" t="s">
        <v>2</v>
      </c>
      <c r="C8" s="7" t="s">
        <v>49</v>
      </c>
      <c r="D8" s="7" t="s">
        <v>6</v>
      </c>
      <c r="E8" s="8">
        <v>2500000</v>
      </c>
      <c r="F8" s="9">
        <v>680</v>
      </c>
      <c r="G8" s="10">
        <v>0.7</v>
      </c>
      <c r="H8" s="10">
        <v>0.7</v>
      </c>
      <c r="I8" s="10">
        <v>0.85</v>
      </c>
      <c r="J8" s="7" t="s">
        <v>68</v>
      </c>
      <c r="K8" s="7" t="s">
        <v>50</v>
      </c>
    </row>
    <row r="9" spans="1:11" ht="30" customHeight="1" x14ac:dyDescent="0.25">
      <c r="A9" s="6" t="s">
        <v>69</v>
      </c>
      <c r="B9" s="7" t="s">
        <v>2</v>
      </c>
      <c r="C9" s="7" t="s">
        <v>49</v>
      </c>
      <c r="D9" s="7" t="s">
        <v>47</v>
      </c>
      <c r="E9" s="8">
        <v>2500000</v>
      </c>
      <c r="F9" s="9">
        <v>700</v>
      </c>
      <c r="G9" s="10">
        <v>0.7</v>
      </c>
      <c r="H9" s="10">
        <v>0.65</v>
      </c>
      <c r="I9" s="10">
        <v>0.85</v>
      </c>
      <c r="J9" s="7" t="s">
        <v>68</v>
      </c>
      <c r="K9" s="7" t="s">
        <v>50</v>
      </c>
    </row>
    <row r="10" spans="1:11" ht="30" customHeight="1" x14ac:dyDescent="0.25">
      <c r="A10" s="6" t="s">
        <v>70</v>
      </c>
      <c r="B10" s="7" t="s">
        <v>2</v>
      </c>
      <c r="C10" s="7" t="s">
        <v>49</v>
      </c>
      <c r="D10" s="7" t="s">
        <v>48</v>
      </c>
      <c r="E10" s="8">
        <v>950000</v>
      </c>
      <c r="F10" s="9">
        <v>740</v>
      </c>
      <c r="G10" s="10">
        <v>0.6</v>
      </c>
      <c r="H10" s="10">
        <v>0.6</v>
      </c>
      <c r="I10" s="10">
        <v>0.8</v>
      </c>
      <c r="J10" s="7" t="s">
        <v>68</v>
      </c>
      <c r="K10" s="7" t="s">
        <v>50</v>
      </c>
    </row>
    <row r="11" spans="1:11" x14ac:dyDescent="0.25">
      <c r="A11" s="6" t="s">
        <v>71</v>
      </c>
      <c r="B11" s="7" t="s">
        <v>2</v>
      </c>
      <c r="C11" s="7" t="s">
        <v>51</v>
      </c>
      <c r="D11" s="7" t="s">
        <v>6</v>
      </c>
      <c r="E11" s="8">
        <v>2500000</v>
      </c>
      <c r="F11" s="9">
        <v>600</v>
      </c>
      <c r="G11" s="10">
        <v>0.75</v>
      </c>
      <c r="H11" s="10">
        <v>0.75</v>
      </c>
      <c r="I11" s="10">
        <v>0.75</v>
      </c>
      <c r="J11" s="7" t="s">
        <v>51</v>
      </c>
      <c r="K11" s="7"/>
    </row>
    <row r="12" spans="1:11" x14ac:dyDescent="0.25">
      <c r="A12" s="6" t="s">
        <v>72</v>
      </c>
      <c r="B12" s="7" t="s">
        <v>2</v>
      </c>
      <c r="C12" s="7" t="s">
        <v>51</v>
      </c>
      <c r="D12" s="7" t="s">
        <v>47</v>
      </c>
      <c r="E12" s="8">
        <v>2500000</v>
      </c>
      <c r="F12" s="9">
        <v>660</v>
      </c>
      <c r="G12" s="10">
        <v>0.7</v>
      </c>
      <c r="H12" s="10">
        <v>0.7</v>
      </c>
      <c r="I12" s="10">
        <v>0.7</v>
      </c>
      <c r="J12" s="7" t="s">
        <v>51</v>
      </c>
      <c r="K12" s="7"/>
    </row>
    <row r="13" spans="1:11" x14ac:dyDescent="0.25">
      <c r="A13" s="6" t="s">
        <v>73</v>
      </c>
      <c r="B13" s="7" t="s">
        <v>2</v>
      </c>
      <c r="C13" s="7" t="s">
        <v>51</v>
      </c>
      <c r="D13" s="7" t="s">
        <v>48</v>
      </c>
      <c r="E13" s="8">
        <v>950000</v>
      </c>
      <c r="F13" s="9">
        <v>680</v>
      </c>
      <c r="G13" s="10">
        <v>0.7</v>
      </c>
      <c r="H13" s="10">
        <v>0.7</v>
      </c>
      <c r="I13" s="10">
        <v>0.7</v>
      </c>
      <c r="J13" s="7" t="s">
        <v>51</v>
      </c>
      <c r="K13" s="7"/>
    </row>
    <row r="14" spans="1:11" x14ac:dyDescent="0.25">
      <c r="A14" s="6" t="s">
        <v>74</v>
      </c>
      <c r="B14" s="7" t="s">
        <v>52</v>
      </c>
      <c r="C14" s="7" t="s">
        <v>4</v>
      </c>
      <c r="D14" s="7" t="s">
        <v>6</v>
      </c>
      <c r="E14" s="8">
        <v>2500000</v>
      </c>
      <c r="F14" s="9">
        <v>640</v>
      </c>
      <c r="G14" s="10">
        <v>0.8</v>
      </c>
      <c r="H14" s="10">
        <v>0.7</v>
      </c>
      <c r="I14" s="10">
        <v>0.85</v>
      </c>
      <c r="J14" s="7" t="s">
        <v>64</v>
      </c>
      <c r="K14" s="7" t="s">
        <v>53</v>
      </c>
    </row>
    <row r="15" spans="1:11" x14ac:dyDescent="0.25">
      <c r="A15" s="6" t="s">
        <v>75</v>
      </c>
      <c r="B15" s="7" t="s">
        <v>52</v>
      </c>
      <c r="C15" s="7" t="s">
        <v>4</v>
      </c>
      <c r="D15" s="7" t="s">
        <v>47</v>
      </c>
      <c r="E15" s="8">
        <v>2500000</v>
      </c>
      <c r="F15" s="9">
        <v>660</v>
      </c>
      <c r="G15" s="10">
        <v>0.75</v>
      </c>
      <c r="H15" s="10">
        <v>0.65</v>
      </c>
      <c r="I15" s="10">
        <v>0.8</v>
      </c>
      <c r="J15" s="7" t="s">
        <v>64</v>
      </c>
      <c r="K15" s="7" t="s">
        <v>53</v>
      </c>
    </row>
    <row r="16" spans="1:11" x14ac:dyDescent="0.25">
      <c r="A16" s="6" t="s">
        <v>76</v>
      </c>
      <c r="B16" s="7" t="s">
        <v>52</v>
      </c>
      <c r="C16" s="7" t="s">
        <v>4</v>
      </c>
      <c r="D16" s="7" t="s">
        <v>48</v>
      </c>
      <c r="E16" s="8" t="s">
        <v>54</v>
      </c>
      <c r="F16" s="9" t="s">
        <v>54</v>
      </c>
      <c r="G16" s="9" t="s">
        <v>54</v>
      </c>
      <c r="H16" s="9" t="s">
        <v>54</v>
      </c>
      <c r="I16" s="9" t="s">
        <v>54</v>
      </c>
      <c r="J16" s="7" t="s">
        <v>64</v>
      </c>
      <c r="K16" s="7" t="s">
        <v>55</v>
      </c>
    </row>
    <row r="17" spans="1:11" ht="30" customHeight="1" x14ac:dyDescent="0.25">
      <c r="A17" s="6" t="s">
        <v>77</v>
      </c>
      <c r="B17" s="7" t="s">
        <v>52</v>
      </c>
      <c r="C17" s="7" t="s">
        <v>49</v>
      </c>
      <c r="D17" s="7" t="s">
        <v>6</v>
      </c>
      <c r="E17" s="8">
        <v>2500000</v>
      </c>
      <c r="F17" s="9">
        <v>680</v>
      </c>
      <c r="G17" s="10">
        <v>0.7</v>
      </c>
      <c r="H17" s="10">
        <v>0.7</v>
      </c>
      <c r="I17" s="10">
        <v>0.85</v>
      </c>
      <c r="J17" s="7" t="s">
        <v>68</v>
      </c>
      <c r="K17" s="7" t="s">
        <v>50</v>
      </c>
    </row>
    <row r="18" spans="1:11" ht="30" customHeight="1" x14ac:dyDescent="0.25">
      <c r="A18" s="6" t="s">
        <v>78</v>
      </c>
      <c r="B18" s="7" t="s">
        <v>52</v>
      </c>
      <c r="C18" s="7" t="s">
        <v>49</v>
      </c>
      <c r="D18" s="7" t="s">
        <v>47</v>
      </c>
      <c r="E18" s="8">
        <v>2500000</v>
      </c>
      <c r="F18" s="9">
        <v>700</v>
      </c>
      <c r="G18" s="10">
        <v>0.7</v>
      </c>
      <c r="H18" s="10">
        <v>0.65</v>
      </c>
      <c r="I18" s="10">
        <v>0.85</v>
      </c>
      <c r="J18" s="7" t="s">
        <v>68</v>
      </c>
      <c r="K18" s="7" t="s">
        <v>50</v>
      </c>
    </row>
    <row r="19" spans="1:11" ht="30" customHeight="1" x14ac:dyDescent="0.25">
      <c r="A19" s="6" t="s">
        <v>79</v>
      </c>
      <c r="B19" s="7" t="s">
        <v>52</v>
      </c>
      <c r="C19" s="7" t="s">
        <v>49</v>
      </c>
      <c r="D19" s="7" t="s">
        <v>48</v>
      </c>
      <c r="E19" s="8">
        <v>950000</v>
      </c>
      <c r="F19" s="9">
        <v>740</v>
      </c>
      <c r="G19" s="10">
        <v>0.6</v>
      </c>
      <c r="H19" s="10">
        <v>0.6</v>
      </c>
      <c r="I19" s="10">
        <v>0.8</v>
      </c>
      <c r="J19" s="7" t="s">
        <v>68</v>
      </c>
      <c r="K19" s="7" t="s">
        <v>50</v>
      </c>
    </row>
    <row r="20" spans="1:11" x14ac:dyDescent="0.25">
      <c r="A20" s="6" t="s">
        <v>80</v>
      </c>
      <c r="B20" s="7" t="s">
        <v>52</v>
      </c>
      <c r="C20" s="7" t="s">
        <v>51</v>
      </c>
      <c r="D20" s="7" t="s">
        <v>6</v>
      </c>
      <c r="E20" s="8">
        <v>1500000</v>
      </c>
      <c r="F20" s="9">
        <v>680</v>
      </c>
      <c r="G20" s="10">
        <v>0.7</v>
      </c>
      <c r="H20" s="10">
        <v>0.7</v>
      </c>
      <c r="I20" s="10">
        <v>0.7</v>
      </c>
      <c r="J20" s="7" t="s">
        <v>51</v>
      </c>
      <c r="K20" s="7"/>
    </row>
    <row r="21" spans="1:11" x14ac:dyDescent="0.25">
      <c r="A21" s="6" t="s">
        <v>81</v>
      </c>
      <c r="B21" s="7" t="s">
        <v>52</v>
      </c>
      <c r="C21" s="7" t="s">
        <v>51</v>
      </c>
      <c r="D21" s="7" t="s">
        <v>47</v>
      </c>
      <c r="E21" s="8">
        <v>1500000</v>
      </c>
      <c r="F21" s="9">
        <v>700</v>
      </c>
      <c r="G21" s="10">
        <v>0.7</v>
      </c>
      <c r="H21" s="10">
        <v>0.7</v>
      </c>
      <c r="I21" s="10">
        <v>0.7</v>
      </c>
      <c r="J21" s="7" t="s">
        <v>51</v>
      </c>
      <c r="K21" s="7"/>
    </row>
    <row r="22" spans="1:11" x14ac:dyDescent="0.25">
      <c r="A22" s="6" t="s">
        <v>82</v>
      </c>
      <c r="B22" s="7" t="s">
        <v>52</v>
      </c>
      <c r="C22" s="7" t="s">
        <v>51</v>
      </c>
      <c r="D22" s="7" t="s">
        <v>48</v>
      </c>
      <c r="E22" s="8">
        <v>950000</v>
      </c>
      <c r="F22" s="9">
        <v>740</v>
      </c>
      <c r="G22" s="10">
        <v>0.65</v>
      </c>
      <c r="H22" s="10">
        <v>0.65</v>
      </c>
      <c r="I22" s="10">
        <v>0.65</v>
      </c>
      <c r="J22" s="7" t="s">
        <v>51</v>
      </c>
      <c r="K22" s="7"/>
    </row>
  </sheetData>
  <mergeCells count="2">
    <mergeCell ref="A2:K2"/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4"/>
  <sheetViews>
    <sheetView showGridLines="0" workbookViewId="0">
      <selection activeCell="F15" sqref="F15"/>
    </sheetView>
  </sheetViews>
  <sheetFormatPr defaultRowHeight="15" x14ac:dyDescent="0.25"/>
  <cols>
    <col min="1" max="1" width="34" customWidth="1"/>
    <col min="2" max="2" width="14" customWidth="1"/>
    <col min="3" max="3" width="58" customWidth="1"/>
  </cols>
  <sheetData>
    <row r="1" spans="1:6" x14ac:dyDescent="0.25">
      <c r="A1" s="87" t="s">
        <v>83</v>
      </c>
      <c r="B1" s="91"/>
      <c r="C1" s="91"/>
      <c r="D1" s="91"/>
      <c r="E1" s="91"/>
      <c r="F1" s="91"/>
    </row>
    <row r="2" spans="1:6" x14ac:dyDescent="0.25">
      <c r="A2" s="90" t="s">
        <v>84</v>
      </c>
      <c r="B2" s="91"/>
      <c r="C2" s="91"/>
      <c r="D2" s="91"/>
      <c r="E2" s="91"/>
      <c r="F2" s="9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1" t="s">
        <v>85</v>
      </c>
      <c r="B4" s="11" t="s">
        <v>86</v>
      </c>
      <c r="C4" s="11" t="s">
        <v>87</v>
      </c>
      <c r="D4" s="1"/>
      <c r="E4" s="1"/>
      <c r="F4" s="1"/>
    </row>
    <row r="5" spans="1:6" x14ac:dyDescent="0.25">
      <c r="A5" s="6" t="s">
        <v>88</v>
      </c>
      <c r="B5" s="34">
        <v>9.2499999999999999E-2</v>
      </c>
      <c r="C5" s="6" t="s">
        <v>89</v>
      </c>
      <c r="D5" s="1"/>
      <c r="E5" s="1"/>
      <c r="F5" s="1"/>
    </row>
    <row r="6" spans="1:6" x14ac:dyDescent="0.25">
      <c r="A6" s="6" t="s">
        <v>90</v>
      </c>
      <c r="B6" s="34">
        <v>0.105</v>
      </c>
      <c r="C6" s="6" t="s">
        <v>91</v>
      </c>
      <c r="D6" s="1"/>
      <c r="E6" s="1"/>
      <c r="F6" s="1"/>
    </row>
    <row r="7" spans="1:6" x14ac:dyDescent="0.25">
      <c r="A7" s="6" t="s">
        <v>92</v>
      </c>
      <c r="B7" s="34">
        <v>9.7500000000000003E-2</v>
      </c>
      <c r="C7" s="6" t="s">
        <v>93</v>
      </c>
      <c r="D7" s="1"/>
      <c r="E7" s="1"/>
      <c r="F7" s="1"/>
    </row>
    <row r="8" spans="1:6" x14ac:dyDescent="0.25">
      <c r="A8" s="6" t="s">
        <v>94</v>
      </c>
      <c r="B8" s="34">
        <v>0.1</v>
      </c>
      <c r="C8" s="6" t="s">
        <v>95</v>
      </c>
      <c r="D8" s="1"/>
      <c r="E8" s="1"/>
      <c r="F8" s="1"/>
    </row>
    <row r="9" spans="1:6" x14ac:dyDescent="0.25">
      <c r="A9" s="6" t="s">
        <v>96</v>
      </c>
      <c r="B9" s="34">
        <v>9.5000000000000001E-2</v>
      </c>
      <c r="C9" s="6" t="s">
        <v>97</v>
      </c>
      <c r="D9" s="1"/>
      <c r="E9" s="1"/>
      <c r="F9" s="1"/>
    </row>
    <row r="10" spans="1:6" x14ac:dyDescent="0.25">
      <c r="A10" s="6" t="s">
        <v>98</v>
      </c>
      <c r="B10" s="34">
        <v>9.7500000000000003E-2</v>
      </c>
      <c r="C10" s="6" t="s">
        <v>97</v>
      </c>
      <c r="D10" s="1"/>
      <c r="E10" s="1"/>
      <c r="F10" s="1"/>
    </row>
    <row r="11" spans="1:6" x14ac:dyDescent="0.25">
      <c r="A11" s="6" t="s">
        <v>99</v>
      </c>
      <c r="B11" s="34">
        <v>9.5000000000000001E-2</v>
      </c>
      <c r="C11" s="6" t="s">
        <v>97</v>
      </c>
      <c r="D11" s="1"/>
      <c r="E11" s="1"/>
      <c r="F11" s="1"/>
    </row>
    <row r="12" spans="1:6" x14ac:dyDescent="0.25">
      <c r="A12" s="6" t="s">
        <v>100</v>
      </c>
      <c r="B12" s="34">
        <v>-1E-3</v>
      </c>
      <c r="C12" s="6" t="s">
        <v>101</v>
      </c>
      <c r="D12" s="1"/>
      <c r="E12" s="1"/>
      <c r="F12" s="1"/>
    </row>
    <row r="13" spans="1:6" x14ac:dyDescent="0.25">
      <c r="A13" s="6" t="s">
        <v>102</v>
      </c>
      <c r="B13" s="34">
        <v>0</v>
      </c>
      <c r="C13" s="6" t="s">
        <v>103</v>
      </c>
      <c r="D13" s="1"/>
      <c r="E13" s="1"/>
      <c r="F13" s="1"/>
    </row>
    <row r="14" spans="1:6" x14ac:dyDescent="0.25">
      <c r="A14" s="6" t="s">
        <v>104</v>
      </c>
      <c r="B14" s="34">
        <v>2E-3</v>
      </c>
      <c r="C14" s="6" t="s">
        <v>105</v>
      </c>
      <c r="D14" s="1"/>
      <c r="E14" s="1"/>
      <c r="F14" s="1"/>
    </row>
    <row r="15" spans="1:6" x14ac:dyDescent="0.25">
      <c r="A15" s="6" t="s">
        <v>106</v>
      </c>
      <c r="B15" s="34">
        <v>-1E-3</v>
      </c>
      <c r="C15" s="6"/>
      <c r="D15" s="1"/>
      <c r="E15" s="1"/>
      <c r="F15" s="1"/>
    </row>
    <row r="16" spans="1:6" x14ac:dyDescent="0.25">
      <c r="A16" s="6" t="s">
        <v>107</v>
      </c>
      <c r="B16" s="34">
        <v>0</v>
      </c>
      <c r="C16" s="6"/>
      <c r="D16" s="1"/>
      <c r="E16" s="1"/>
      <c r="F16" s="1"/>
    </row>
    <row r="17" spans="1:6" x14ac:dyDescent="0.25">
      <c r="A17" s="6" t="s">
        <v>108</v>
      </c>
      <c r="B17" s="34">
        <v>2E-3</v>
      </c>
      <c r="C17" s="6" t="s">
        <v>109</v>
      </c>
      <c r="D17" s="1"/>
      <c r="E17" s="1"/>
      <c r="F17" s="1"/>
    </row>
    <row r="18" spans="1:6" x14ac:dyDescent="0.25">
      <c r="A18" s="6" t="s">
        <v>110</v>
      </c>
      <c r="B18" s="34">
        <v>2E-3</v>
      </c>
      <c r="C18" s="6"/>
      <c r="D18" s="1"/>
      <c r="E18" s="1"/>
      <c r="F18" s="1"/>
    </row>
    <row r="19" spans="1:6" x14ac:dyDescent="0.25">
      <c r="A19" s="6" t="s">
        <v>111</v>
      </c>
      <c r="B19" s="34">
        <v>5.0000000000000001E-3</v>
      </c>
      <c r="C19" s="6"/>
      <c r="D19" s="1"/>
      <c r="E19" s="1"/>
      <c r="F19" s="1"/>
    </row>
    <row r="20" spans="1:6" x14ac:dyDescent="0.25">
      <c r="A20" s="6" t="s">
        <v>112</v>
      </c>
      <c r="B20" s="34">
        <v>1E-3</v>
      </c>
      <c r="C20" s="6"/>
      <c r="D20" s="1"/>
      <c r="E20" s="1"/>
      <c r="F20" s="1"/>
    </row>
    <row r="21" spans="1:6" x14ac:dyDescent="0.25">
      <c r="A21" s="6" t="s">
        <v>113</v>
      </c>
      <c r="B21" s="34">
        <v>-1E-3</v>
      </c>
      <c r="C21" s="6"/>
      <c r="D21" s="1"/>
      <c r="E21" s="1"/>
      <c r="F21" s="1"/>
    </row>
    <row r="22" spans="1:6" x14ac:dyDescent="0.25">
      <c r="A22" s="6" t="s">
        <v>114</v>
      </c>
      <c r="B22" s="34">
        <v>0.875</v>
      </c>
      <c r="C22" s="6" t="s">
        <v>115</v>
      </c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1" t="s">
        <v>116</v>
      </c>
      <c r="B25" s="11" t="s">
        <v>117</v>
      </c>
      <c r="C25" s="1"/>
      <c r="D25" s="1"/>
      <c r="E25" s="1"/>
      <c r="F25" s="1"/>
    </row>
    <row r="26" spans="1:6" x14ac:dyDescent="0.25">
      <c r="A26" s="13">
        <v>0.65</v>
      </c>
      <c r="B26" s="12">
        <v>-2E-3</v>
      </c>
      <c r="C26" s="1"/>
      <c r="D26" s="1"/>
      <c r="E26" s="1"/>
      <c r="F26" s="1"/>
    </row>
    <row r="27" spans="1:6" x14ac:dyDescent="0.25">
      <c r="A27" s="13">
        <v>0.7</v>
      </c>
      <c r="B27" s="12">
        <v>-1E-3</v>
      </c>
      <c r="C27" s="1"/>
      <c r="D27" s="1"/>
      <c r="E27" s="1"/>
      <c r="F27" s="1"/>
    </row>
    <row r="28" spans="1:6" x14ac:dyDescent="0.25">
      <c r="A28" s="13">
        <v>0.75</v>
      </c>
      <c r="B28" s="12">
        <v>0</v>
      </c>
      <c r="C28" s="1"/>
      <c r="D28" s="1"/>
      <c r="E28" s="1"/>
      <c r="F28" s="1"/>
    </row>
    <row r="29" spans="1:6" x14ac:dyDescent="0.25">
      <c r="A29" s="13">
        <v>0.8</v>
      </c>
      <c r="B29" s="12">
        <v>1E-3</v>
      </c>
      <c r="C29" s="1"/>
      <c r="D29" s="1"/>
      <c r="E29" s="1"/>
      <c r="F29" s="1"/>
    </row>
    <row r="30" spans="1:6" x14ac:dyDescent="0.25">
      <c r="A30" s="13">
        <v>0.85</v>
      </c>
      <c r="B30" s="12">
        <v>2E-3</v>
      </c>
      <c r="C30" s="1"/>
      <c r="D30" s="1"/>
      <c r="E30" s="1"/>
      <c r="F30" s="1"/>
    </row>
    <row r="31" spans="1:6" x14ac:dyDescent="0.25">
      <c r="A31" s="13">
        <v>0.9</v>
      </c>
      <c r="B31" s="12">
        <v>3.0000000000000001E-3</v>
      </c>
      <c r="C31" s="1"/>
      <c r="D31" s="1"/>
      <c r="E31" s="1"/>
      <c r="F31" s="1"/>
    </row>
    <row r="32" spans="1:6" x14ac:dyDescent="0.25">
      <c r="A32" s="13">
        <v>0.92500000000000004</v>
      </c>
      <c r="B32" s="12">
        <v>4.0000000000000001E-3</v>
      </c>
      <c r="C32" s="1"/>
      <c r="D32" s="1"/>
      <c r="E32" s="1"/>
      <c r="F32" s="1"/>
    </row>
    <row r="34" spans="1:3" x14ac:dyDescent="0.25">
      <c r="A34" s="35" t="s">
        <v>118</v>
      </c>
      <c r="B34" s="36">
        <v>2E-3</v>
      </c>
      <c r="C34" t="s">
        <v>119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H44"/>
  <sheetViews>
    <sheetView showGridLines="0" topLeftCell="A15" workbookViewId="0">
      <selection activeCell="B23" sqref="B23"/>
    </sheetView>
  </sheetViews>
  <sheetFormatPr defaultRowHeight="15.75" x14ac:dyDescent="0.25"/>
  <cols>
    <col min="1" max="2" width="45.7109375" style="31" customWidth="1"/>
    <col min="3" max="8" width="14" style="31" customWidth="1"/>
    <col min="9" max="9" width="9.140625" style="31" customWidth="1"/>
    <col min="10" max="16384" width="9.140625" style="31"/>
  </cols>
  <sheetData>
    <row r="1" spans="1:8" x14ac:dyDescent="0.25">
      <c r="A1" s="85" t="s">
        <v>0</v>
      </c>
      <c r="B1" s="85"/>
    </row>
    <row r="2" spans="1:8" x14ac:dyDescent="0.25">
      <c r="A2" s="32"/>
      <c r="B2" s="32"/>
      <c r="C2" s="32"/>
      <c r="D2" s="32"/>
      <c r="E2" s="32"/>
      <c r="F2" s="32"/>
      <c r="G2" s="32"/>
      <c r="H2" s="32"/>
    </row>
    <row r="3" spans="1:8" ht="16.5" thickBot="1" x14ac:dyDescent="0.3">
      <c r="A3" s="84" t="s">
        <v>153</v>
      </c>
      <c r="B3" s="84"/>
      <c r="C3" s="32"/>
      <c r="D3" s="32"/>
      <c r="E3" s="32"/>
      <c r="F3" s="32"/>
      <c r="G3" s="32"/>
      <c r="H3" s="32"/>
    </row>
    <row r="4" spans="1:8" ht="16.5" thickTop="1" x14ac:dyDescent="0.25">
      <c r="A4" s="41" t="s">
        <v>1</v>
      </c>
      <c r="B4" s="42">
        <f>'Data Tape'!AC2</f>
        <v>0</v>
      </c>
      <c r="C4" s="32"/>
      <c r="D4" s="32"/>
      <c r="E4" s="32"/>
      <c r="F4" s="32"/>
      <c r="G4" s="32"/>
      <c r="H4" s="32"/>
    </row>
    <row r="5" spans="1:8" x14ac:dyDescent="0.25">
      <c r="A5" s="41" t="s">
        <v>3</v>
      </c>
      <c r="B5" s="42">
        <f>IF('Data Tape'!AM2="Fix and Flip","Fix &amp; Flip / Fix &amp; Hold",'Data Tape'!AM2)</f>
        <v>0</v>
      </c>
      <c r="C5" s="32"/>
      <c r="D5" s="32"/>
      <c r="E5" s="32"/>
      <c r="F5" s="32"/>
      <c r="G5" s="32"/>
      <c r="H5" s="32"/>
    </row>
    <row r="6" spans="1:8" x14ac:dyDescent="0.25">
      <c r="A6" s="41" t="s">
        <v>5</v>
      </c>
      <c r="B6" s="42" t="str">
        <f>IF('Data Tape'!P2&gt;=3,"Tier 1",IF('Data Tape'!P2&gt;=1,"Tier 2","Tier 3"))</f>
        <v>Tier 3</v>
      </c>
      <c r="C6" s="32"/>
      <c r="D6" s="32"/>
      <c r="E6" s="32"/>
      <c r="F6" s="32"/>
      <c r="G6" s="32"/>
      <c r="H6" s="32"/>
    </row>
    <row r="7" spans="1:8" x14ac:dyDescent="0.25">
      <c r="A7" s="41" t="s">
        <v>7</v>
      </c>
      <c r="B7" s="43">
        <f>'Data Tape'!Q2</f>
        <v>0</v>
      </c>
      <c r="C7" s="32"/>
      <c r="D7" s="32"/>
      <c r="E7" s="32"/>
      <c r="F7" s="32"/>
      <c r="G7" s="32"/>
      <c r="H7" s="32"/>
    </row>
    <row r="8" spans="1:8" x14ac:dyDescent="0.25">
      <c r="A8" s="41" t="s">
        <v>8</v>
      </c>
      <c r="B8" s="44">
        <f>'Data Tape'!H2</f>
        <v>0</v>
      </c>
      <c r="C8" s="32"/>
      <c r="D8" s="32"/>
      <c r="E8" s="32"/>
      <c r="F8" s="32"/>
      <c r="G8" s="32"/>
      <c r="H8" s="32"/>
    </row>
    <row r="9" spans="1:8" x14ac:dyDescent="0.25">
      <c r="A9" s="41" t="s">
        <v>9</v>
      </c>
      <c r="B9" s="45" t="e">
        <f>IF('Data Tape'!AC2="Refinance",('Data Tape'!H2-'Data Tape'!I2-'Data Tape'!L2)/'Data Tape'!T2,('Data Tape'!H2-'Data Tape'!I2-'Data Tape'!L2)/'Data Tape'!R2)</f>
        <v>#DIV/0!</v>
      </c>
      <c r="C9" s="32"/>
      <c r="D9" s="32"/>
      <c r="E9" s="32"/>
      <c r="F9" s="32"/>
      <c r="G9" s="32"/>
      <c r="H9" s="32"/>
    </row>
    <row r="10" spans="1:8" x14ac:dyDescent="0.25">
      <c r="A10" s="41" t="s">
        <v>10</v>
      </c>
      <c r="B10" s="45" t="e">
        <f>'Data Tape'!H2/'Data Tape'!U2</f>
        <v>#DIV/0!</v>
      </c>
      <c r="C10" s="32"/>
      <c r="D10" s="32"/>
      <c r="E10" s="32"/>
      <c r="F10" s="32"/>
      <c r="G10" s="32"/>
      <c r="H10" s="32"/>
    </row>
    <row r="11" spans="1:8" x14ac:dyDescent="0.25">
      <c r="A11" s="41" t="s">
        <v>11</v>
      </c>
      <c r="B11" s="45" t="e">
        <f>IF('Data Tape'!AC2="Refinance",'Data Tape'!H2/('Data Tape'!O2+'Data Tape'!T2),'Data Tape'!H2/('Data Tape'!O2+'Data Tape'!R2))</f>
        <v>#DIV/0!</v>
      </c>
      <c r="C11" s="32"/>
      <c r="D11" s="32"/>
      <c r="E11" s="32"/>
      <c r="F11" s="32"/>
      <c r="G11" s="32"/>
      <c r="H11" s="32"/>
    </row>
    <row r="12" spans="1:8" x14ac:dyDescent="0.25">
      <c r="A12" s="41" t="s">
        <v>12</v>
      </c>
      <c r="B12" s="42">
        <f>'Data Tape'!AB2</f>
        <v>0</v>
      </c>
      <c r="C12" s="32"/>
      <c r="D12" s="32"/>
      <c r="E12" s="32"/>
      <c r="F12" s="32"/>
      <c r="G12" s="32"/>
      <c r="H12" s="32"/>
    </row>
    <row r="13" spans="1:8" x14ac:dyDescent="0.25">
      <c r="A13" s="55" t="s">
        <v>13</v>
      </c>
      <c r="B13" s="56" t="s">
        <v>14</v>
      </c>
      <c r="C13" s="32"/>
      <c r="D13" s="32"/>
      <c r="E13" s="32"/>
      <c r="F13" s="32"/>
      <c r="G13" s="32"/>
      <c r="H13" s="32"/>
    </row>
    <row r="14" spans="1:8" x14ac:dyDescent="0.25">
      <c r="A14" s="41" t="s">
        <v>15</v>
      </c>
      <c r="B14" s="42" t="str">
        <f>IF(OR('Data Tape'!F2="CT",'Data Tape'!F2="DE",'Data Tape'!F2="FL",'Data Tape'!F2="IL",'Data Tape'!F2="IN",'Data Tape'!F2="IA",'Data Tape'!F2="KS",'Data Tape'!F2="KY",'Data Tape'!F2="LA",'Data Tape'!F2="ME",'Data Tape'!F2="MD",'Data Tape'!F2="MA",'Data Tape'!F2="NE",'Data Tape'!F2="NJ",'Data Tape'!F2="NM",'Data Tape'!F2="NY",'Data Tape'!F2="ND",'Data Tape'!F2="OH",'Data Tape'!F2="PA",'Data Tape'!F2="SC",'Data Tape'!F2="VT",'Data Tape'!F2="WI"),"Judicial","Non-Judicial")</f>
        <v>Non-Judicial</v>
      </c>
      <c r="C14" s="32"/>
      <c r="D14" s="32"/>
      <c r="E14" s="32"/>
      <c r="F14" s="32"/>
      <c r="G14" s="32"/>
      <c r="H14" s="32"/>
    </row>
    <row r="15" spans="1:8" x14ac:dyDescent="0.25">
      <c r="A15" s="41" t="s">
        <v>16</v>
      </c>
      <c r="B15" s="42" t="str">
        <f>IF('Data Tape'!AJ2-'Data Tape'!AI2&gt;0,"Yes","No")</f>
        <v>No</v>
      </c>
      <c r="C15" s="32"/>
      <c r="D15" s="32"/>
      <c r="E15" s="32"/>
      <c r="F15" s="32"/>
      <c r="G15" s="32"/>
      <c r="H15" s="32"/>
    </row>
    <row r="16" spans="1:8" x14ac:dyDescent="0.25">
      <c r="A16" s="46" t="s">
        <v>17</v>
      </c>
      <c r="B16" s="54" t="e">
        <f>IF('Data Tape'!AM2="New Construction","No",IF('Data Tape'!O2/('Data Tape'!R2+'Data Tape'!O2)&gt;25%,"Yes","No"))</f>
        <v>#DIV/0!</v>
      </c>
      <c r="C16" s="32"/>
      <c r="D16" s="32"/>
      <c r="E16" s="32"/>
      <c r="F16" s="32"/>
      <c r="G16" s="32"/>
      <c r="H16" s="32"/>
    </row>
    <row r="17" spans="1:8" x14ac:dyDescent="0.25">
      <c r="A17" s="40"/>
      <c r="B17" s="39"/>
      <c r="C17" s="32"/>
      <c r="D17" s="32"/>
      <c r="E17" s="32"/>
      <c r="F17" s="32"/>
      <c r="G17" s="32"/>
      <c r="H17" s="32"/>
    </row>
    <row r="18" spans="1:8" x14ac:dyDescent="0.25">
      <c r="A18" s="40"/>
      <c r="B18" s="39"/>
      <c r="C18" s="32"/>
      <c r="D18" s="32"/>
      <c r="E18" s="32"/>
      <c r="F18" s="32"/>
      <c r="G18" s="32"/>
      <c r="H18" s="32"/>
    </row>
    <row r="19" spans="1:8" ht="16.5" thickBot="1" x14ac:dyDescent="0.3">
      <c r="A19" s="86" t="s">
        <v>154</v>
      </c>
      <c r="B19" s="86"/>
      <c r="C19" s="32"/>
      <c r="D19" s="32"/>
      <c r="E19" s="32"/>
      <c r="F19" s="32"/>
      <c r="G19" s="32"/>
      <c r="H19" s="32"/>
    </row>
    <row r="20" spans="1:8" ht="30" customHeight="1" thickTop="1" x14ac:dyDescent="0.25">
      <c r="A20" s="41" t="s">
        <v>18</v>
      </c>
      <c r="B20" s="42" t="str">
        <f>B4&amp;"|"&amp;B5&amp;"|"&amp;B6</f>
        <v>0|0|Tier 3</v>
      </c>
      <c r="C20" s="32"/>
      <c r="D20" s="32"/>
      <c r="E20" s="32"/>
      <c r="F20" s="32"/>
      <c r="G20" s="32"/>
      <c r="H20" s="32"/>
    </row>
    <row r="21" spans="1:8" x14ac:dyDescent="0.25">
      <c r="A21" s="41" t="s">
        <v>19</v>
      </c>
      <c r="B21" s="44" t="e">
        <f>VLOOKUP(B20,'Guideline Limits'!$A$5:$K$22,5,FALSE)</f>
        <v>#N/A</v>
      </c>
      <c r="C21" s="32"/>
      <c r="D21" s="32"/>
      <c r="E21" s="32"/>
      <c r="F21" s="32"/>
      <c r="G21" s="32"/>
      <c r="H21" s="32"/>
    </row>
    <row r="22" spans="1:8" x14ac:dyDescent="0.25">
      <c r="A22" s="41" t="s">
        <v>20</v>
      </c>
      <c r="B22" s="42" t="e">
        <f>VLOOKUP(B20,'Guideline Limits'!$A$5:$K$22,6,FALSE)</f>
        <v>#N/A</v>
      </c>
      <c r="C22" s="32"/>
      <c r="D22" s="32"/>
      <c r="E22" s="32"/>
      <c r="F22" s="32"/>
      <c r="G22" s="32"/>
      <c r="H22" s="32"/>
    </row>
    <row r="23" spans="1:8" x14ac:dyDescent="0.25">
      <c r="A23" s="41" t="s">
        <v>21</v>
      </c>
      <c r="B23" s="47" t="e">
        <f>VLOOKUP(B20,'Guideline Limits'!$A$5:$K$22,7,FALSE)</f>
        <v>#N/A</v>
      </c>
      <c r="C23" s="32"/>
      <c r="D23" s="32"/>
      <c r="E23" s="32"/>
      <c r="F23" s="32"/>
      <c r="G23" s="32"/>
      <c r="H23" s="32"/>
    </row>
    <row r="24" spans="1:8" x14ac:dyDescent="0.25">
      <c r="A24" s="41" t="s">
        <v>22</v>
      </c>
      <c r="B24" s="47" t="e">
        <f>VLOOKUP(B20,'Guideline Limits'!$A$5:$K$22,8,FALSE)</f>
        <v>#N/A</v>
      </c>
      <c r="C24" s="32"/>
      <c r="D24" s="32"/>
      <c r="E24" s="32"/>
      <c r="F24" s="32"/>
      <c r="G24" s="32"/>
      <c r="H24" s="32"/>
    </row>
    <row r="25" spans="1:8" x14ac:dyDescent="0.25">
      <c r="A25" s="41" t="s">
        <v>23</v>
      </c>
      <c r="B25" s="47" t="e">
        <f>IF(AND(B4="Purchase",B5="Fix &amp; Flip / Fix &amp; Hold",B15="Yes"),MIN(VLOOKUP(B20,'Guideline Limits'!$A$5:$K$22,9,FALSE),'Rate Assumptions'!$B$22),VLOOKUP(B20,'Guideline Limits'!$A$5:$K$22,9,FALSE))</f>
        <v>#N/A</v>
      </c>
      <c r="C25" s="32"/>
      <c r="D25" s="32"/>
      <c r="E25" s="32"/>
      <c r="F25" s="32"/>
      <c r="G25" s="32"/>
      <c r="H25" s="32"/>
    </row>
    <row r="26" spans="1:8" x14ac:dyDescent="0.25">
      <c r="A26" s="41" t="s">
        <v>24</v>
      </c>
      <c r="B26" s="47" t="e">
        <f>IF(OR(B21="N/A",B22="N/A"),"Ineligible Product/Tier",IF(AND(B8&lt;=B21,B7&gt;=B22,B9&lt;=B23,B10&lt;=B24,B11&lt;=B25),"Eligible","Not Eligible"))</f>
        <v>#N/A</v>
      </c>
      <c r="C26" s="32"/>
      <c r="D26" s="32"/>
      <c r="E26" s="32"/>
      <c r="F26" s="32"/>
      <c r="G26" s="32"/>
      <c r="H26" s="32"/>
    </row>
    <row r="27" spans="1:8" x14ac:dyDescent="0.25">
      <c r="A27" s="41" t="s">
        <v>25</v>
      </c>
      <c r="B27" s="47" t="e">
        <f>IF(B11&lt;=65%,65%,IF(B11&lt;=70%,70%,IF(B11&lt;=75%,75%,IF(B11&lt;=80%,80%,IF(B11&lt;=85%,85%,IF(B11&lt;=90%,90%,IF(B11&lt;=92.5%,92.5%,999%)))))))</f>
        <v>#DIV/0!</v>
      </c>
      <c r="C27" s="32"/>
      <c r="D27" s="32"/>
      <c r="E27" s="32"/>
      <c r="F27" s="32"/>
      <c r="G27" s="32"/>
      <c r="H27" s="32"/>
    </row>
    <row r="28" spans="1:8" x14ac:dyDescent="0.25">
      <c r="A28" s="41" t="s">
        <v>26</v>
      </c>
      <c r="B28" s="47">
        <f>IF(B5="Bridge",'Rate Assumptions'!$B$11,IF(B5="New Construction",'Rate Assumptions'!$B$10,'Rate Assumptions'!$B$9))</f>
        <v>9.5000000000000001E-2</v>
      </c>
      <c r="C28" s="32"/>
      <c r="D28" s="32"/>
      <c r="E28" s="32"/>
      <c r="F28" s="32"/>
      <c r="G28" s="32"/>
      <c r="H28" s="32"/>
    </row>
    <row r="29" spans="1:8" x14ac:dyDescent="0.25">
      <c r="A29" s="41" t="s">
        <v>27</v>
      </c>
      <c r="B29" s="47">
        <f>IF(B6="Tier 1",'Rate Assumptions'!$B$12,IF(B6="Tier 2",'Rate Assumptions'!$B$13,'Rate Assumptions'!$B$14))</f>
        <v>2E-3</v>
      </c>
      <c r="C29" s="32"/>
      <c r="D29" s="32"/>
      <c r="E29" s="32"/>
      <c r="F29" s="32"/>
      <c r="G29" s="32"/>
      <c r="H29" s="32"/>
    </row>
    <row r="30" spans="1:8" x14ac:dyDescent="0.25">
      <c r="A30" s="41" t="s">
        <v>28</v>
      </c>
      <c r="B30" s="47">
        <f>IF(B7&gt;=740,'Rate Assumptions'!$B$15,IF(B7&gt;=700,'Rate Assumptions'!$B$16,'Rate Assumptions'!$B$17))</f>
        <v>2E-3</v>
      </c>
      <c r="C30" s="32"/>
      <c r="D30" s="32"/>
      <c r="E30" s="32"/>
      <c r="F30" s="32"/>
      <c r="G30" s="32"/>
      <c r="H30" s="32"/>
    </row>
    <row r="31" spans="1:8" x14ac:dyDescent="0.25">
      <c r="A31" s="41" t="s">
        <v>29</v>
      </c>
      <c r="B31" s="47" t="e">
        <f>IF(B27=65%,'Rate Assumptions'!$B$26,IF(B27=70%,'Rate Assumptions'!$B$27,IF(B27=75%,'Rate Assumptions'!$B$28,IF(B27=80%,'Rate Assumptions'!$B$29,IF(B27=85%,'Rate Assumptions'!$B$30,IF(B27=90%,'Rate Assumptions'!$B$31,IF(B27=92.5%,'Rate Assumptions'!$B$32,999%)))))))</f>
        <v>#DIV/0!</v>
      </c>
      <c r="C31" s="32"/>
      <c r="D31" s="32"/>
      <c r="E31" s="32"/>
      <c r="F31" s="32"/>
      <c r="G31" s="32"/>
      <c r="H31" s="32"/>
    </row>
    <row r="32" spans="1:8" x14ac:dyDescent="0.25">
      <c r="A32" s="41" t="s">
        <v>30</v>
      </c>
      <c r="B32" s="47">
        <f>IF(B12&gt;=13,'Rate Assumptions'!$B$18,0)</f>
        <v>0</v>
      </c>
      <c r="C32" s="32"/>
      <c r="D32" s="32"/>
      <c r="E32" s="32"/>
      <c r="F32" s="32"/>
      <c r="G32" s="32"/>
      <c r="H32" s="32"/>
    </row>
    <row r="33" spans="1:8" x14ac:dyDescent="0.25">
      <c r="A33" s="41" t="s">
        <v>31</v>
      </c>
      <c r="B33" s="47">
        <f>IF(AND(B4="Refinance",B13="Yes"),'Rate Assumptions'!$B$19,0)</f>
        <v>0</v>
      </c>
      <c r="C33" s="32"/>
      <c r="D33" s="32"/>
      <c r="E33" s="32"/>
      <c r="F33" s="32"/>
      <c r="G33" s="32"/>
      <c r="H33" s="32"/>
    </row>
    <row r="34" spans="1:8" x14ac:dyDescent="0.25">
      <c r="A34" s="41" t="s">
        <v>32</v>
      </c>
      <c r="B34" s="47">
        <f>IF(B14="Judicial",'Rate Assumptions'!$B$20,'Rate Assumptions'!$B$21)</f>
        <v>-1E-3</v>
      </c>
      <c r="C34" s="32"/>
      <c r="D34" s="32"/>
      <c r="E34" s="32"/>
      <c r="F34" s="32"/>
      <c r="G34" s="32"/>
      <c r="H34" s="32"/>
    </row>
    <row r="35" spans="1:8" x14ac:dyDescent="0.25">
      <c r="A35" s="41" t="s">
        <v>33</v>
      </c>
      <c r="B35" s="47" t="e">
        <f>IF(B16="Yes",'Rate Assumptions'!$B$34,0)</f>
        <v>#DIV/0!</v>
      </c>
      <c r="C35" s="32"/>
      <c r="D35" s="32"/>
      <c r="E35" s="32"/>
      <c r="F35" s="32"/>
      <c r="G35" s="32"/>
      <c r="H35" s="32"/>
    </row>
    <row r="36" spans="1:8" x14ac:dyDescent="0.25">
      <c r="A36" s="49" t="s">
        <v>34</v>
      </c>
      <c r="B36" s="50" t="e">
        <f>IF(B26="Eligible",MAX('Rate Assumptions'!$B$5,MIN('Rate Assumptions'!$B$6,SUM(B28:B35))),"N/A - Not Guideline Eligible")</f>
        <v>#N/A</v>
      </c>
      <c r="C36" s="32"/>
      <c r="D36" s="32"/>
      <c r="E36" s="32"/>
      <c r="F36" s="32"/>
      <c r="G36" s="32"/>
      <c r="H36" s="32"/>
    </row>
    <row r="37" spans="1:8" x14ac:dyDescent="0.25">
      <c r="A37" s="33"/>
      <c r="B37" s="33"/>
    </row>
    <row r="38" spans="1:8" ht="16.5" thickBot="1" x14ac:dyDescent="0.3">
      <c r="A38" s="83" t="s">
        <v>123</v>
      </c>
      <c r="B38" s="83"/>
    </row>
    <row r="39" spans="1:8" ht="16.5" thickTop="1" x14ac:dyDescent="0.25">
      <c r="A39" s="48" t="s">
        <v>35</v>
      </c>
      <c r="B39" s="48" t="e">
        <f>IF(B8&lt;=B21,"Pass","Fail: loan amount exceeds max loan amount")</f>
        <v>#N/A</v>
      </c>
    </row>
    <row r="40" spans="1:8" x14ac:dyDescent="0.25">
      <c r="A40" s="48" t="s">
        <v>36</v>
      </c>
      <c r="B40" s="48" t="e">
        <f>IF(B7&gt;=B22,"Pass","Fail: FICO below minimum")</f>
        <v>#N/A</v>
      </c>
    </row>
    <row r="41" spans="1:8" x14ac:dyDescent="0.25">
      <c r="A41" s="48" t="s">
        <v>37</v>
      </c>
      <c r="B41" s="48" t="e">
        <f>IF(B9&lt;=B23,"Pass","Fail: Acq LTV exceeds max")</f>
        <v>#DIV/0!</v>
      </c>
    </row>
    <row r="42" spans="1:8" x14ac:dyDescent="0.25">
      <c r="A42" s="48" t="s">
        <v>38</v>
      </c>
      <c r="B42" s="48" t="e">
        <f>IF(B10&lt;=B24,"Pass","Fail: ARLTV exceeds max")</f>
        <v>#DIV/0!</v>
      </c>
    </row>
    <row r="43" spans="1:8" x14ac:dyDescent="0.25">
      <c r="A43" s="48" t="s">
        <v>39</v>
      </c>
      <c r="B43" s="48" t="e">
        <f>IF(B11&lt;=B25,"Pass","Fail: LTC exceeds max")</f>
        <v>#DIV/0!</v>
      </c>
    </row>
    <row r="44" spans="1:8" x14ac:dyDescent="0.25">
      <c r="A44" s="48" t="s">
        <v>40</v>
      </c>
      <c r="B44" s="48" t="e">
        <f>IF(B26="Eligible","Eligible. Buy rate shown above.","Not eligible. See failed test(s) above.")</f>
        <v>#N/A</v>
      </c>
    </row>
  </sheetData>
  <mergeCells count="4">
    <mergeCell ref="A38:B38"/>
    <mergeCell ref="A3:B3"/>
    <mergeCell ref="A1:B1"/>
    <mergeCell ref="A19:B19"/>
  </mergeCells>
  <dataValidations count="1">
    <dataValidation type="list" sqref="B13 B18" xr:uid="{00000000-0002-0000-0300-000003000000}">
      <formula1>"Yes,No"</formula1>
    </dataValidation>
  </dataValidations>
  <pageMargins left="0.7" right="0.7" top="0.75" bottom="0.75" header="0.3" footer="0.3"/>
  <pageSetup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DF77-99D1-4497-85AA-04FDB3BB8A7A}">
  <sheetPr codeName="Sheet6"/>
  <dimension ref="A1:AV4"/>
  <sheetViews>
    <sheetView tabSelected="1" topLeftCell="Y1" workbookViewId="0">
      <selection activeCell="AE1" sqref="AE1"/>
    </sheetView>
  </sheetViews>
  <sheetFormatPr defaultColWidth="12" defaultRowHeight="15" x14ac:dyDescent="0.25"/>
  <cols>
    <col min="1" max="1" width="12.140625" bestFit="1" customWidth="1"/>
    <col min="2" max="2" width="15" bestFit="1" customWidth="1"/>
    <col min="3" max="3" width="15.85546875" bestFit="1" customWidth="1"/>
    <col min="4" max="4" width="14.7109375" bestFit="1" customWidth="1"/>
    <col min="5" max="5" width="8.5703125" bestFit="1" customWidth="1"/>
    <col min="6" max="6" width="4.85546875" bestFit="1" customWidth="1"/>
    <col min="7" max="7" width="5.28515625" bestFit="1" customWidth="1"/>
    <col min="8" max="8" width="16.7109375" bestFit="1" customWidth="1"/>
    <col min="9" max="9" width="20.28515625" bestFit="1" customWidth="1"/>
    <col min="10" max="10" width="19.7109375" bestFit="1" customWidth="1"/>
    <col min="11" max="11" width="14" bestFit="1" customWidth="1"/>
    <col min="12" max="12" width="21" bestFit="1" customWidth="1"/>
    <col min="13" max="13" width="20.42578125" bestFit="1" customWidth="1"/>
    <col min="14" max="14" width="10.42578125" bestFit="1" customWidth="1"/>
    <col min="15" max="15" width="17.85546875" bestFit="1" customWidth="1"/>
    <col min="16" max="16" width="30" bestFit="1" customWidth="1"/>
    <col min="17" max="17" width="5.5703125" bestFit="1" customWidth="1"/>
    <col min="18" max="18" width="12.7109375" bestFit="1" customWidth="1"/>
    <col min="19" max="19" width="59" bestFit="1" customWidth="1"/>
    <col min="20" max="21" width="6.5703125" bestFit="1" customWidth="1"/>
    <col min="22" max="22" width="13.140625" bestFit="1" customWidth="1"/>
    <col min="23" max="23" width="9" bestFit="1" customWidth="1"/>
    <col min="24" max="24" width="14.5703125" bestFit="1" customWidth="1"/>
    <col min="25" max="25" width="8.7109375" bestFit="1" customWidth="1"/>
    <col min="26" max="26" width="8.42578125" bestFit="1" customWidth="1"/>
    <col min="28" max="28" width="5.42578125" bestFit="1" customWidth="1"/>
    <col min="29" max="29" width="12.42578125" bestFit="1" customWidth="1"/>
    <col min="30" max="30" width="11.5703125" bestFit="1" customWidth="1"/>
    <col min="31" max="31" width="28.42578125" bestFit="1" customWidth="1"/>
    <col min="32" max="32" width="18.85546875" bestFit="1" customWidth="1"/>
    <col min="33" max="33" width="20.42578125" bestFit="1" customWidth="1"/>
    <col min="34" max="35" width="13.42578125" bestFit="1" customWidth="1"/>
    <col min="36" max="36" width="14.140625" bestFit="1" customWidth="1"/>
    <col min="37" max="37" width="9" bestFit="1" customWidth="1"/>
    <col min="38" max="38" width="12.28515625" bestFit="1" customWidth="1"/>
    <col min="39" max="39" width="14.5703125" bestFit="1" customWidth="1"/>
    <col min="40" max="40" width="11.28515625" bestFit="1" customWidth="1"/>
    <col min="41" max="41" width="24" bestFit="1" customWidth="1"/>
    <col min="42" max="42" width="16.85546875" bestFit="1" customWidth="1"/>
    <col min="43" max="43" width="21.42578125" bestFit="1" customWidth="1"/>
    <col min="44" max="44" width="13.85546875" bestFit="1" customWidth="1"/>
    <col min="45" max="45" width="15.7109375" bestFit="1" customWidth="1"/>
    <col min="46" max="46" width="10.5703125" bestFit="1" customWidth="1"/>
    <col min="47" max="47" width="16" bestFit="1" customWidth="1"/>
    <col min="48" max="48" width="15.5703125" bestFit="1" customWidth="1"/>
  </cols>
  <sheetData>
    <row r="1" spans="1:48" x14ac:dyDescent="0.25">
      <c r="A1" s="51" t="s">
        <v>155</v>
      </c>
      <c r="B1" s="51" t="s">
        <v>156</v>
      </c>
      <c r="C1" s="51" t="s">
        <v>157</v>
      </c>
      <c r="D1" s="51" t="s">
        <v>158</v>
      </c>
      <c r="E1" s="51" t="s">
        <v>159</v>
      </c>
      <c r="F1" s="51" t="s">
        <v>160</v>
      </c>
      <c r="G1" s="51" t="s">
        <v>161</v>
      </c>
      <c r="H1" s="51" t="s">
        <v>8</v>
      </c>
      <c r="I1" s="51" t="s">
        <v>162</v>
      </c>
      <c r="J1" s="51" t="s">
        <v>163</v>
      </c>
      <c r="K1" s="51" t="s">
        <v>164</v>
      </c>
      <c r="L1" s="51" t="s">
        <v>165</v>
      </c>
      <c r="M1" s="51" t="s">
        <v>166</v>
      </c>
      <c r="N1" s="51" t="s">
        <v>167</v>
      </c>
      <c r="O1" s="51" t="s">
        <v>168</v>
      </c>
      <c r="P1" s="51" t="s">
        <v>169</v>
      </c>
      <c r="Q1" s="51" t="s">
        <v>7</v>
      </c>
      <c r="R1" s="51" t="s">
        <v>170</v>
      </c>
      <c r="S1" s="51" t="s">
        <v>171</v>
      </c>
      <c r="T1" s="51" t="s">
        <v>172</v>
      </c>
      <c r="U1" s="51" t="s">
        <v>173</v>
      </c>
      <c r="V1" s="51" t="s">
        <v>174</v>
      </c>
      <c r="W1" s="51" t="s">
        <v>175</v>
      </c>
      <c r="X1" s="51" t="s">
        <v>176</v>
      </c>
      <c r="Y1" s="51" t="s">
        <v>177</v>
      </c>
      <c r="Z1" s="51" t="s">
        <v>178</v>
      </c>
      <c r="AA1" s="51" t="s">
        <v>179</v>
      </c>
      <c r="AB1" s="51" t="s">
        <v>136</v>
      </c>
      <c r="AC1" s="51" t="s">
        <v>180</v>
      </c>
      <c r="AD1" s="51" t="s">
        <v>181</v>
      </c>
      <c r="AE1" s="51" t="s">
        <v>182</v>
      </c>
      <c r="AF1" s="51" t="s">
        <v>183</v>
      </c>
      <c r="AG1" s="51" t="s">
        <v>184</v>
      </c>
      <c r="AH1" s="51" t="s">
        <v>185</v>
      </c>
      <c r="AI1" s="51" t="s">
        <v>186</v>
      </c>
      <c r="AJ1" s="51" t="s">
        <v>187</v>
      </c>
      <c r="AK1" s="51" t="s">
        <v>188</v>
      </c>
      <c r="AL1" s="51" t="s">
        <v>189</v>
      </c>
      <c r="AM1" s="51" t="s">
        <v>1</v>
      </c>
      <c r="AN1" s="51" t="s">
        <v>190</v>
      </c>
      <c r="AO1" s="51" t="s">
        <v>191</v>
      </c>
      <c r="AP1" s="51" t="s">
        <v>192</v>
      </c>
      <c r="AQ1" s="51" t="s">
        <v>193</v>
      </c>
      <c r="AR1" s="51" t="s">
        <v>194</v>
      </c>
      <c r="AS1" s="51" t="s">
        <v>195</v>
      </c>
      <c r="AT1" s="51" t="s">
        <v>196</v>
      </c>
      <c r="AU1" s="51" t="s">
        <v>197</v>
      </c>
      <c r="AV1" s="52" t="s">
        <v>198</v>
      </c>
    </row>
    <row r="2" spans="1:48" s="53" customFormat="1" ht="12.75" x14ac:dyDescent="0.2">
      <c r="H2" s="57"/>
      <c r="I2" s="57"/>
      <c r="J2" s="57"/>
      <c r="K2" s="57"/>
      <c r="L2" s="57"/>
      <c r="M2" s="57"/>
      <c r="N2" s="57"/>
      <c r="O2" s="57"/>
      <c r="R2" s="57"/>
      <c r="T2" s="77"/>
      <c r="U2" s="77"/>
      <c r="AH2" s="82"/>
      <c r="AV2" s="78"/>
    </row>
    <row r="3" spans="1:48" x14ac:dyDescent="0.25">
      <c r="H3" s="81"/>
    </row>
    <row r="4" spans="1:48" x14ac:dyDescent="0.25">
      <c r="H4" s="79"/>
      <c r="I4" s="80"/>
    </row>
  </sheetData>
  <dataConsolidate/>
  <dataValidations count="4">
    <dataValidation type="list" allowBlank="1" showInputMessage="1" showErrorMessage="1" sqref="AC2" xr:uid="{0001B581-7C6A-44B9-BD2C-7C6CD6E56696}">
      <formula1>"Purchase,Refinance"</formula1>
    </dataValidation>
    <dataValidation type="list" allowBlank="1" showInputMessage="1" showErrorMessage="1" sqref="AL2" xr:uid="{6CC6228A-F0B4-4E78-8233-5B2EF0DE25B0}">
      <formula1>"Single Family,2-4 Unit,Multifamily,Condo,Townhouse"</formula1>
    </dataValidation>
    <dataValidation type="list" allowBlank="1" showInputMessage="1" showErrorMessage="1" sqref="AM2" xr:uid="{5B00BB0A-BCC2-4E74-BCAF-8233247F5534}">
      <formula1>"Fix and Flip,Bridge,New Construction"</formula1>
    </dataValidation>
    <dataValidation type="list" allowBlank="1" showInputMessage="1" showErrorMessage="1" sqref="AO2" xr:uid="{E1AD6E1D-50BD-41C3-9451-20F64F9938ED}">
      <formula1>"US Citizen,Permanent Resident,Non-Permanent Resident,Foreign National"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350A-4F69-4A51-8C0B-C0AE2DD30202}">
  <sheetPr codeName="Sheet7"/>
  <dimension ref="B2:D49"/>
  <sheetViews>
    <sheetView topLeftCell="A38" workbookViewId="0">
      <selection activeCell="D41" sqref="D41"/>
    </sheetView>
  </sheetViews>
  <sheetFormatPr defaultRowHeight="15" x14ac:dyDescent="0.25"/>
  <cols>
    <col min="1" max="1" width="9.140625" style="61"/>
    <col min="2" max="2" width="36.7109375" style="61" bestFit="1" customWidth="1"/>
    <col min="3" max="3" width="11.5703125" style="61" bestFit="1" customWidth="1"/>
    <col min="4" max="4" width="91" style="61" bestFit="1" customWidth="1"/>
    <col min="5" max="16384" width="9.140625" style="61"/>
  </cols>
  <sheetData>
    <row r="2" spans="2:4" ht="15.75" x14ac:dyDescent="0.25">
      <c r="B2" s="58" t="s">
        <v>199</v>
      </c>
      <c r="C2" s="59" t="s">
        <v>200</v>
      </c>
      <c r="D2" s="60" t="s">
        <v>201</v>
      </c>
    </row>
    <row r="3" spans="2:4" ht="15.75" x14ac:dyDescent="0.25">
      <c r="B3" s="62" t="s">
        <v>155</v>
      </c>
      <c r="C3" s="63" t="s">
        <v>202</v>
      </c>
      <c r="D3" s="64"/>
    </row>
    <row r="4" spans="2:4" ht="15.75" x14ac:dyDescent="0.25">
      <c r="B4" s="65" t="s">
        <v>156</v>
      </c>
      <c r="C4" s="66" t="s">
        <v>202</v>
      </c>
      <c r="D4" s="67" t="s">
        <v>203</v>
      </c>
    </row>
    <row r="5" spans="2:4" ht="15.75" x14ac:dyDescent="0.25">
      <c r="B5" s="65" t="s">
        <v>157</v>
      </c>
      <c r="C5" s="66" t="s">
        <v>202</v>
      </c>
      <c r="D5" s="67" t="s">
        <v>204</v>
      </c>
    </row>
    <row r="6" spans="2:4" ht="15.75" x14ac:dyDescent="0.25">
      <c r="B6" s="65" t="s">
        <v>158</v>
      </c>
      <c r="C6" s="66" t="s">
        <v>202</v>
      </c>
      <c r="D6" s="67" t="s">
        <v>205</v>
      </c>
    </row>
    <row r="7" spans="2:4" ht="15.75" x14ac:dyDescent="0.25">
      <c r="B7" s="65" t="s">
        <v>159</v>
      </c>
      <c r="C7" s="66" t="s">
        <v>202</v>
      </c>
      <c r="D7" s="67"/>
    </row>
    <row r="8" spans="2:4" ht="15.75" x14ac:dyDescent="0.25">
      <c r="B8" s="65" t="s">
        <v>160</v>
      </c>
      <c r="C8" s="66" t="s">
        <v>202</v>
      </c>
      <c r="D8" s="67"/>
    </row>
    <row r="9" spans="2:4" ht="15.75" x14ac:dyDescent="0.25">
      <c r="B9" s="65" t="s">
        <v>161</v>
      </c>
      <c r="C9" s="66" t="s">
        <v>202</v>
      </c>
      <c r="D9" s="67" t="s">
        <v>206</v>
      </c>
    </row>
    <row r="10" spans="2:4" ht="15.75" x14ac:dyDescent="0.25">
      <c r="B10" s="65" t="s">
        <v>8</v>
      </c>
      <c r="C10" s="66" t="s">
        <v>207</v>
      </c>
      <c r="D10" s="67"/>
    </row>
    <row r="11" spans="2:4" ht="15.75" x14ac:dyDescent="0.25">
      <c r="B11" s="65" t="s">
        <v>162</v>
      </c>
      <c r="C11" s="66" t="s">
        <v>207</v>
      </c>
      <c r="D11" s="67" t="s">
        <v>208</v>
      </c>
    </row>
    <row r="12" spans="2:4" ht="15.75" x14ac:dyDescent="0.25">
      <c r="B12" s="65" t="s">
        <v>163</v>
      </c>
      <c r="C12" s="66" t="s">
        <v>207</v>
      </c>
      <c r="D12" s="67" t="s">
        <v>209</v>
      </c>
    </row>
    <row r="13" spans="2:4" ht="15.75" x14ac:dyDescent="0.25">
      <c r="B13" s="65" t="s">
        <v>164</v>
      </c>
      <c r="C13" s="66" t="s">
        <v>207</v>
      </c>
      <c r="D13" s="67" t="s">
        <v>210</v>
      </c>
    </row>
    <row r="14" spans="2:4" ht="15.75" x14ac:dyDescent="0.25">
      <c r="B14" s="65" t="s">
        <v>165</v>
      </c>
      <c r="C14" s="66" t="s">
        <v>207</v>
      </c>
      <c r="D14" s="67" t="s">
        <v>211</v>
      </c>
    </row>
    <row r="15" spans="2:4" ht="15.75" x14ac:dyDescent="0.25">
      <c r="B15" s="65" t="s">
        <v>166</v>
      </c>
      <c r="C15" s="66" t="s">
        <v>207</v>
      </c>
      <c r="D15" s="67" t="s">
        <v>212</v>
      </c>
    </row>
    <row r="16" spans="2:4" ht="15.75" x14ac:dyDescent="0.25">
      <c r="B16" s="65" t="s">
        <v>167</v>
      </c>
      <c r="C16" s="66" t="s">
        <v>207</v>
      </c>
      <c r="D16" s="67" t="s">
        <v>213</v>
      </c>
    </row>
    <row r="17" spans="2:4" ht="15.75" x14ac:dyDescent="0.25">
      <c r="B17" s="65" t="s">
        <v>168</v>
      </c>
      <c r="C17" s="66" t="s">
        <v>207</v>
      </c>
      <c r="D17" s="67" t="s">
        <v>214</v>
      </c>
    </row>
    <row r="18" spans="2:4" ht="63" x14ac:dyDescent="0.25">
      <c r="B18" s="65" t="s">
        <v>215</v>
      </c>
      <c r="C18" s="66" t="s">
        <v>207</v>
      </c>
      <c r="D18" s="68" t="s">
        <v>216</v>
      </c>
    </row>
    <row r="19" spans="2:4" ht="15.75" x14ac:dyDescent="0.25">
      <c r="B19" s="65" t="s">
        <v>169</v>
      </c>
      <c r="C19" s="66" t="s">
        <v>207</v>
      </c>
      <c r="D19" s="67" t="s">
        <v>217</v>
      </c>
    </row>
    <row r="20" spans="2:4" ht="31.5" x14ac:dyDescent="0.25">
      <c r="B20" s="65" t="s">
        <v>170</v>
      </c>
      <c r="C20" s="66" t="s">
        <v>207</v>
      </c>
      <c r="D20" s="68" t="s">
        <v>218</v>
      </c>
    </row>
    <row r="21" spans="2:4" ht="31.5" x14ac:dyDescent="0.25">
      <c r="B21" s="65" t="s">
        <v>219</v>
      </c>
      <c r="C21" s="66" t="s">
        <v>207</v>
      </c>
      <c r="D21" s="68" t="s">
        <v>220</v>
      </c>
    </row>
    <row r="22" spans="2:4" ht="31.5" x14ac:dyDescent="0.25">
      <c r="B22" s="69" t="s">
        <v>173</v>
      </c>
      <c r="C22" s="66" t="s">
        <v>207</v>
      </c>
      <c r="D22" s="68" t="s">
        <v>221</v>
      </c>
    </row>
    <row r="23" spans="2:4" ht="78.75" x14ac:dyDescent="0.25">
      <c r="B23" s="69" t="s">
        <v>174</v>
      </c>
      <c r="C23" s="66" t="s">
        <v>202</v>
      </c>
      <c r="D23" s="68" t="s">
        <v>222</v>
      </c>
    </row>
    <row r="24" spans="2:4" ht="15.75" x14ac:dyDescent="0.25">
      <c r="B24" s="70" t="s">
        <v>175</v>
      </c>
      <c r="C24" s="66" t="s">
        <v>223</v>
      </c>
      <c r="D24" s="67" t="s">
        <v>224</v>
      </c>
    </row>
    <row r="25" spans="2:4" ht="15.75" x14ac:dyDescent="0.25">
      <c r="B25" s="71" t="s">
        <v>225</v>
      </c>
      <c r="C25" s="66" t="s">
        <v>226</v>
      </c>
      <c r="D25" s="67" t="s">
        <v>227</v>
      </c>
    </row>
    <row r="26" spans="2:4" ht="15.75" x14ac:dyDescent="0.25">
      <c r="B26" s="71" t="s">
        <v>178</v>
      </c>
      <c r="C26" s="66" t="s">
        <v>226</v>
      </c>
      <c r="D26" s="67" t="s">
        <v>228</v>
      </c>
    </row>
    <row r="27" spans="2:4" ht="15.75" x14ac:dyDescent="0.25">
      <c r="B27" s="71" t="s">
        <v>179</v>
      </c>
      <c r="C27" s="66" t="s">
        <v>226</v>
      </c>
      <c r="D27" s="67" t="s">
        <v>229</v>
      </c>
    </row>
    <row r="28" spans="2:4" ht="15.75" x14ac:dyDescent="0.25">
      <c r="B28" s="65" t="s">
        <v>136</v>
      </c>
      <c r="C28" s="66" t="s">
        <v>207</v>
      </c>
      <c r="D28" s="67"/>
    </row>
    <row r="29" spans="2:4" ht="63" x14ac:dyDescent="0.25">
      <c r="B29" s="65" t="s">
        <v>230</v>
      </c>
      <c r="C29" s="66" t="s">
        <v>202</v>
      </c>
      <c r="D29" s="68" t="s">
        <v>231</v>
      </c>
    </row>
    <row r="30" spans="2:4" ht="47.25" x14ac:dyDescent="0.25">
      <c r="B30" s="65" t="s">
        <v>181</v>
      </c>
      <c r="C30" s="72" t="s">
        <v>202</v>
      </c>
      <c r="D30" s="68" t="s">
        <v>232</v>
      </c>
    </row>
    <row r="31" spans="2:4" ht="15.75" x14ac:dyDescent="0.25">
      <c r="B31" s="65" t="s">
        <v>182</v>
      </c>
      <c r="C31" s="66" t="s">
        <v>207</v>
      </c>
      <c r="D31" s="67" t="s">
        <v>233</v>
      </c>
    </row>
    <row r="32" spans="2:4" ht="15.75" x14ac:dyDescent="0.25">
      <c r="B32" s="65" t="s">
        <v>183</v>
      </c>
      <c r="C32" s="66" t="s">
        <v>207</v>
      </c>
      <c r="D32" s="67"/>
    </row>
    <row r="33" spans="2:4" ht="47.25" x14ac:dyDescent="0.25">
      <c r="B33" s="65" t="s">
        <v>234</v>
      </c>
      <c r="C33" s="72" t="s">
        <v>202</v>
      </c>
      <c r="D33" s="68" t="s">
        <v>235</v>
      </c>
    </row>
    <row r="34" spans="2:4" ht="15.75" x14ac:dyDescent="0.25">
      <c r="B34" s="65" t="s">
        <v>185</v>
      </c>
      <c r="C34" s="66" t="s">
        <v>202</v>
      </c>
      <c r="D34" s="67" t="s">
        <v>236</v>
      </c>
    </row>
    <row r="35" spans="2:4" ht="15.75" x14ac:dyDescent="0.25">
      <c r="B35" s="65" t="s">
        <v>237</v>
      </c>
      <c r="C35" s="66" t="s">
        <v>207</v>
      </c>
      <c r="D35" s="67"/>
    </row>
    <row r="36" spans="2:4" ht="15.75" x14ac:dyDescent="0.25">
      <c r="B36" s="65" t="s">
        <v>238</v>
      </c>
      <c r="C36" s="66" t="s">
        <v>207</v>
      </c>
      <c r="D36" s="67"/>
    </row>
    <row r="37" spans="2:4" ht="15.75" x14ac:dyDescent="0.25">
      <c r="B37" s="65" t="s">
        <v>188</v>
      </c>
      <c r="C37" s="66" t="s">
        <v>207</v>
      </c>
      <c r="D37" s="67"/>
    </row>
    <row r="38" spans="2:4" ht="126" x14ac:dyDescent="0.25">
      <c r="B38" s="65" t="s">
        <v>189</v>
      </c>
      <c r="C38" s="66" t="s">
        <v>202</v>
      </c>
      <c r="D38" s="68" t="s">
        <v>239</v>
      </c>
    </row>
    <row r="39" spans="2:4" ht="78.75" x14ac:dyDescent="0.25">
      <c r="B39" s="65" t="s">
        <v>1</v>
      </c>
      <c r="C39" s="66" t="s">
        <v>202</v>
      </c>
      <c r="D39" s="68" t="s">
        <v>240</v>
      </c>
    </row>
    <row r="40" spans="2:4" ht="63" x14ac:dyDescent="0.25">
      <c r="B40" s="65" t="s">
        <v>190</v>
      </c>
      <c r="C40" s="66" t="s">
        <v>202</v>
      </c>
      <c r="D40" s="68" t="s">
        <v>241</v>
      </c>
    </row>
    <row r="41" spans="2:4" ht="78.75" x14ac:dyDescent="0.25">
      <c r="B41" s="65" t="s">
        <v>191</v>
      </c>
      <c r="C41" s="72" t="s">
        <v>202</v>
      </c>
      <c r="D41" s="68" t="s">
        <v>242</v>
      </c>
    </row>
    <row r="42" spans="2:4" ht="63" x14ac:dyDescent="0.25">
      <c r="B42" s="65" t="s">
        <v>243</v>
      </c>
      <c r="C42" s="66" t="s">
        <v>202</v>
      </c>
      <c r="D42" s="68" t="s">
        <v>244</v>
      </c>
    </row>
    <row r="43" spans="2:4" ht="63" x14ac:dyDescent="0.25">
      <c r="B43" s="65" t="s">
        <v>193</v>
      </c>
      <c r="C43" s="66" t="s">
        <v>202</v>
      </c>
      <c r="D43" s="68" t="s">
        <v>244</v>
      </c>
    </row>
    <row r="44" spans="2:4" ht="31.5" x14ac:dyDescent="0.25">
      <c r="B44" s="65" t="s">
        <v>194</v>
      </c>
      <c r="C44" s="66" t="s">
        <v>202</v>
      </c>
      <c r="D44" s="68" t="s">
        <v>245</v>
      </c>
    </row>
    <row r="45" spans="2:4" ht="31.5" x14ac:dyDescent="0.25">
      <c r="B45" s="65" t="s">
        <v>195</v>
      </c>
      <c r="C45" s="72" t="s">
        <v>202</v>
      </c>
      <c r="D45" s="68" t="s">
        <v>246</v>
      </c>
    </row>
    <row r="46" spans="2:4" ht="15.75" x14ac:dyDescent="0.25">
      <c r="B46" s="65" t="s">
        <v>196</v>
      </c>
      <c r="C46" s="66" t="s">
        <v>202</v>
      </c>
      <c r="D46" s="73" t="s">
        <v>247</v>
      </c>
    </row>
    <row r="47" spans="2:4" ht="15.75" x14ac:dyDescent="0.25">
      <c r="B47" s="65" t="s">
        <v>196</v>
      </c>
      <c r="C47" s="66" t="s">
        <v>202</v>
      </c>
      <c r="D47" s="73" t="s">
        <v>247</v>
      </c>
    </row>
    <row r="48" spans="2:4" ht="15.75" x14ac:dyDescent="0.25">
      <c r="B48" s="65" t="s">
        <v>197</v>
      </c>
      <c r="C48" s="66" t="s">
        <v>207</v>
      </c>
      <c r="D48" s="73" t="s">
        <v>247</v>
      </c>
    </row>
    <row r="49" spans="2:4" ht="15.75" x14ac:dyDescent="0.25">
      <c r="B49" s="74" t="s">
        <v>198</v>
      </c>
      <c r="C49" s="75" t="s">
        <v>226</v>
      </c>
      <c r="D49" s="76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39"/>
  <sheetViews>
    <sheetView workbookViewId="0"/>
  </sheetViews>
  <sheetFormatPr defaultRowHeight="15" x14ac:dyDescent="0.25"/>
  <cols>
    <col min="1" max="1" width="24" customWidth="1"/>
    <col min="2" max="2" width="22" customWidth="1"/>
    <col min="3" max="3" width="48" customWidth="1"/>
    <col min="4" max="4" width="24" customWidth="1"/>
    <col min="5" max="5" width="16" customWidth="1"/>
    <col min="6" max="6" width="34" customWidth="1"/>
  </cols>
  <sheetData>
    <row r="1" spans="1:6" ht="42" customHeight="1" x14ac:dyDescent="0.35">
      <c r="A1" s="14" t="s">
        <v>120</v>
      </c>
      <c r="B1" s="14"/>
      <c r="C1" s="14"/>
      <c r="D1" s="14"/>
      <c r="E1" s="14"/>
      <c r="F1" s="14"/>
    </row>
    <row r="2" spans="1:6" ht="75" customHeight="1" x14ac:dyDescent="0.25">
      <c r="A2" s="15" t="s">
        <v>121</v>
      </c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7" t="s">
        <v>122</v>
      </c>
      <c r="B4" s="17" t="s">
        <v>86</v>
      </c>
      <c r="C4" s="16"/>
      <c r="D4" s="17" t="s">
        <v>123</v>
      </c>
      <c r="E4" s="17" t="s">
        <v>124</v>
      </c>
      <c r="F4" s="17" t="s">
        <v>125</v>
      </c>
    </row>
    <row r="5" spans="1:6" x14ac:dyDescent="0.25">
      <c r="A5" s="16" t="s">
        <v>1</v>
      </c>
      <c r="B5" s="16">
        <f>'Buy Rate'!B4</f>
        <v>0</v>
      </c>
      <c r="C5" s="16"/>
      <c r="D5" s="16" t="s">
        <v>19</v>
      </c>
      <c r="E5" s="18" t="e">
        <f>'Buy Rate'!B21</f>
        <v>#N/A</v>
      </c>
      <c r="F5" s="16" t="e">
        <f>'Buy Rate'!B39</f>
        <v>#N/A</v>
      </c>
    </row>
    <row r="6" spans="1:6" x14ac:dyDescent="0.25">
      <c r="A6" s="16" t="s">
        <v>3</v>
      </c>
      <c r="B6" s="16">
        <f>'Buy Rate'!B5</f>
        <v>0</v>
      </c>
      <c r="C6" s="16"/>
      <c r="D6" s="16" t="s">
        <v>20</v>
      </c>
      <c r="E6" s="16" t="e">
        <f>'Buy Rate'!B22</f>
        <v>#N/A</v>
      </c>
      <c r="F6" s="16" t="e">
        <f>'Buy Rate'!B40</f>
        <v>#N/A</v>
      </c>
    </row>
    <row r="7" spans="1:6" x14ac:dyDescent="0.25">
      <c r="A7" s="16" t="s">
        <v>5</v>
      </c>
      <c r="B7" s="16" t="str">
        <f>'Buy Rate'!B6</f>
        <v>Tier 3</v>
      </c>
      <c r="C7" s="16"/>
      <c r="D7" s="16" t="s">
        <v>21</v>
      </c>
      <c r="E7" s="19" t="e">
        <f>'Buy Rate'!B23</f>
        <v>#N/A</v>
      </c>
      <c r="F7" s="16" t="e">
        <f>'Buy Rate'!B41</f>
        <v>#DIV/0!</v>
      </c>
    </row>
    <row r="8" spans="1:6" x14ac:dyDescent="0.25">
      <c r="A8" s="16" t="s">
        <v>7</v>
      </c>
      <c r="B8" s="18">
        <f>'Buy Rate'!B7</f>
        <v>0</v>
      </c>
      <c r="C8" s="16"/>
      <c r="D8" s="16" t="s">
        <v>22</v>
      </c>
      <c r="E8" s="19" t="e">
        <f>'Buy Rate'!B24</f>
        <v>#N/A</v>
      </c>
      <c r="F8" s="16" t="e">
        <f>'Buy Rate'!B42</f>
        <v>#DIV/0!</v>
      </c>
    </row>
    <row r="9" spans="1:6" x14ac:dyDescent="0.25">
      <c r="A9" s="16" t="s">
        <v>8</v>
      </c>
      <c r="B9" s="21">
        <f>'Buy Rate'!B8</f>
        <v>0</v>
      </c>
      <c r="C9" s="16"/>
      <c r="D9" s="16" t="s">
        <v>23</v>
      </c>
      <c r="E9" s="19" t="e">
        <f>'Buy Rate'!B25</f>
        <v>#N/A</v>
      </c>
      <c r="F9" s="16" t="e">
        <f>'Buy Rate'!B43</f>
        <v>#DIV/0!</v>
      </c>
    </row>
    <row r="10" spans="1:6" x14ac:dyDescent="0.25">
      <c r="A10" s="16" t="s">
        <v>9</v>
      </c>
      <c r="B10" s="19" t="e">
        <f>'Buy Rate'!B9</f>
        <v>#DIV/0!</v>
      </c>
      <c r="C10" s="16"/>
      <c r="D10" s="16" t="s">
        <v>126</v>
      </c>
      <c r="E10" s="16"/>
      <c r="F10" s="16" t="e">
        <f>'Buy Rate'!B26</f>
        <v>#N/A</v>
      </c>
    </row>
    <row r="11" spans="1:6" x14ac:dyDescent="0.25">
      <c r="A11" s="16" t="s">
        <v>10</v>
      </c>
      <c r="B11" s="19" t="e">
        <f>'Buy Rate'!B10</f>
        <v>#DIV/0!</v>
      </c>
      <c r="C11" s="16"/>
      <c r="D11" s="16"/>
      <c r="E11" s="16"/>
      <c r="F11" s="16"/>
    </row>
    <row r="12" spans="1:6" x14ac:dyDescent="0.25">
      <c r="A12" s="16" t="s">
        <v>11</v>
      </c>
      <c r="B12" s="22" t="e">
        <f>'Buy Rate'!B11</f>
        <v>#DIV/0!</v>
      </c>
      <c r="C12" s="16"/>
      <c r="D12" s="16"/>
      <c r="E12" s="16"/>
      <c r="F12" s="16"/>
    </row>
    <row r="13" spans="1:6" x14ac:dyDescent="0.25">
      <c r="A13" s="16" t="s">
        <v>12</v>
      </c>
      <c r="B13" s="16">
        <f>'Buy Rate'!B12</f>
        <v>0</v>
      </c>
      <c r="C13" s="16"/>
      <c r="D13" s="16"/>
      <c r="E13" s="16"/>
      <c r="F13" s="16"/>
    </row>
    <row r="14" spans="1:6" x14ac:dyDescent="0.25">
      <c r="A14" s="16" t="s">
        <v>13</v>
      </c>
      <c r="B14" s="16" t="str">
        <f>'Buy Rate'!B13</f>
        <v>No</v>
      </c>
      <c r="C14" s="16"/>
      <c r="D14" s="16"/>
      <c r="E14" s="16"/>
      <c r="F14" s="16"/>
    </row>
    <row r="15" spans="1:6" x14ac:dyDescent="0.25">
      <c r="A15" s="16" t="s">
        <v>15</v>
      </c>
      <c r="B15" s="16" t="str">
        <f>'Buy Rate'!B14</f>
        <v>Non-Judicial</v>
      </c>
      <c r="C15" s="16"/>
      <c r="D15" s="16"/>
      <c r="E15" s="16"/>
      <c r="F15" s="16"/>
    </row>
    <row r="16" spans="1:6" x14ac:dyDescent="0.25">
      <c r="A16" s="16"/>
      <c r="B16" s="16"/>
      <c r="C16" s="16"/>
      <c r="D16" s="16"/>
      <c r="E16" s="16"/>
      <c r="F16" s="16"/>
    </row>
    <row r="17" spans="1:6" x14ac:dyDescent="0.25">
      <c r="A17" s="16"/>
      <c r="B17" s="16"/>
      <c r="C17" s="16"/>
      <c r="D17" s="16"/>
      <c r="E17" s="16"/>
      <c r="F17" s="16"/>
    </row>
    <row r="18" spans="1:6" x14ac:dyDescent="0.25">
      <c r="A18" s="17" t="s">
        <v>127</v>
      </c>
      <c r="B18" s="17" t="s">
        <v>128</v>
      </c>
      <c r="C18" s="17" t="s">
        <v>129</v>
      </c>
      <c r="D18" s="17" t="s">
        <v>130</v>
      </c>
      <c r="E18" s="16"/>
      <c r="F18" s="16"/>
    </row>
    <row r="19" spans="1:6" x14ac:dyDescent="0.25">
      <c r="A19" s="16" t="s">
        <v>26</v>
      </c>
      <c r="B19" s="20">
        <f>'Buy Rate'!B28</f>
        <v>9.5000000000000001E-2</v>
      </c>
      <c r="C19" s="16" t="s">
        <v>131</v>
      </c>
      <c r="D19" s="16" t="s">
        <v>83</v>
      </c>
      <c r="E19" s="16"/>
      <c r="F19" s="16"/>
    </row>
    <row r="20" spans="1:6" x14ac:dyDescent="0.25">
      <c r="A20" s="16" t="s">
        <v>5</v>
      </c>
      <c r="B20" s="20">
        <f>'Buy Rate'!B29</f>
        <v>2E-3</v>
      </c>
      <c r="C20" s="16" t="s">
        <v>132</v>
      </c>
      <c r="D20" s="16" t="s">
        <v>83</v>
      </c>
      <c r="E20" s="16"/>
      <c r="F20" s="16"/>
    </row>
    <row r="21" spans="1:6" x14ac:dyDescent="0.25">
      <c r="A21" s="16" t="s">
        <v>7</v>
      </c>
      <c r="B21" s="20">
        <f>'Buy Rate'!B30</f>
        <v>2E-3</v>
      </c>
      <c r="C21" s="16" t="s">
        <v>133</v>
      </c>
      <c r="D21" s="16" t="s">
        <v>83</v>
      </c>
      <c r="E21" s="16"/>
      <c r="F21" s="16"/>
    </row>
    <row r="22" spans="1:6" x14ac:dyDescent="0.25">
      <c r="A22" s="16" t="s">
        <v>134</v>
      </c>
      <c r="B22" s="20" t="e">
        <f>'Buy Rate'!B31</f>
        <v>#DIV/0!</v>
      </c>
      <c r="C22" s="16" t="s">
        <v>135</v>
      </c>
      <c r="D22" s="16" t="s">
        <v>83</v>
      </c>
      <c r="E22" s="16"/>
      <c r="F22" s="16"/>
    </row>
    <row r="23" spans="1:6" x14ac:dyDescent="0.25">
      <c r="A23" s="16" t="s">
        <v>136</v>
      </c>
      <c r="B23" s="20">
        <f>'Buy Rate'!B32</f>
        <v>0</v>
      </c>
      <c r="C23" s="16" t="s">
        <v>137</v>
      </c>
      <c r="D23" s="16" t="s">
        <v>83</v>
      </c>
      <c r="E23" s="16"/>
      <c r="F23" s="16"/>
    </row>
    <row r="24" spans="1:6" x14ac:dyDescent="0.25">
      <c r="A24" s="16" t="s">
        <v>138</v>
      </c>
      <c r="B24" s="20">
        <f>'Buy Rate'!B33</f>
        <v>0</v>
      </c>
      <c r="C24" s="16" t="s">
        <v>139</v>
      </c>
      <c r="D24" s="16" t="s">
        <v>83</v>
      </c>
      <c r="E24" s="16"/>
      <c r="F24" s="16"/>
    </row>
    <row r="25" spans="1:6" x14ac:dyDescent="0.25">
      <c r="A25" s="16" t="s">
        <v>15</v>
      </c>
      <c r="B25" s="20">
        <f>'Buy Rate'!B34</f>
        <v>-1E-3</v>
      </c>
      <c r="C25" s="16" t="s">
        <v>140</v>
      </c>
      <c r="D25" s="16" t="s">
        <v>83</v>
      </c>
      <c r="E25" s="16"/>
      <c r="F25" s="16"/>
    </row>
    <row r="26" spans="1:6" x14ac:dyDescent="0.25">
      <c r="A26" s="37" t="s">
        <v>33</v>
      </c>
      <c r="B26" s="38" t="e">
        <f>'Buy Rate'!B35</f>
        <v>#DIV/0!</v>
      </c>
      <c r="C26" s="37" t="s">
        <v>141</v>
      </c>
      <c r="D26" s="37" t="s">
        <v>83</v>
      </c>
      <c r="E26" s="16"/>
      <c r="F26" s="16"/>
    </row>
    <row r="27" spans="1:6" x14ac:dyDescent="0.25">
      <c r="A27" s="16" t="s">
        <v>88</v>
      </c>
      <c r="B27" s="20">
        <f>'Rate Assumptions'!B5</f>
        <v>9.2499999999999999E-2</v>
      </c>
      <c r="C27" s="16" t="s">
        <v>142</v>
      </c>
      <c r="D27" s="16" t="s">
        <v>83</v>
      </c>
      <c r="E27" s="16"/>
      <c r="F27" s="16"/>
    </row>
    <row r="28" spans="1:6" x14ac:dyDescent="0.25">
      <c r="A28" s="16" t="s">
        <v>90</v>
      </c>
      <c r="B28" s="20">
        <f>'Rate Assumptions'!B6</f>
        <v>0.105</v>
      </c>
      <c r="C28" s="16" t="s">
        <v>143</v>
      </c>
      <c r="D28" s="16" t="s">
        <v>83</v>
      </c>
      <c r="E28" s="16"/>
      <c r="F28" s="16"/>
    </row>
    <row r="29" spans="1:6" x14ac:dyDescent="0.25">
      <c r="A29" s="16" t="s">
        <v>144</v>
      </c>
      <c r="B29" s="20" t="e">
        <f>'Buy Rate'!B35</f>
        <v>#DIV/0!</v>
      </c>
      <c r="C29" s="16" t="s">
        <v>145</v>
      </c>
      <c r="D29" s="16" t="s">
        <v>0</v>
      </c>
      <c r="E29" s="16"/>
      <c r="F29" s="16"/>
    </row>
    <row r="30" spans="1:6" x14ac:dyDescent="0.25">
      <c r="A30" s="16"/>
      <c r="B30" s="20" t="e">
        <f>'Buy Rate'!B36</f>
        <v>#N/A</v>
      </c>
      <c r="C30" s="16"/>
      <c r="D30" s="16"/>
      <c r="E30" s="16"/>
      <c r="F30" s="16"/>
    </row>
    <row r="31" spans="1:6" x14ac:dyDescent="0.25">
      <c r="A31" s="16"/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7" t="s">
        <v>146</v>
      </c>
      <c r="B33" s="17"/>
      <c r="C33" s="16"/>
      <c r="D33" s="16"/>
      <c r="E33" s="16"/>
      <c r="F33" s="16"/>
    </row>
    <row r="34" spans="1:6" x14ac:dyDescent="0.25">
      <c r="A34" s="37" t="s">
        <v>147</v>
      </c>
      <c r="B34" s="37" t="e">
        <f>'Buy Rate'!B16</f>
        <v>#DIV/0!</v>
      </c>
      <c r="C34" s="16"/>
      <c r="D34" s="16"/>
      <c r="E34" s="16"/>
      <c r="F34" s="16"/>
    </row>
    <row r="35" spans="1:6" x14ac:dyDescent="0.25">
      <c r="A35" s="16" t="s">
        <v>148</v>
      </c>
      <c r="B35" s="16" t="e">
        <f ca="1">_xludf.TEXTJOIN("; ",TRUE,IF('Buy Rate'!B39&lt;&gt;"Pass",'Buy Rate'!B39,""),IF('Buy Rate'!B40&lt;&gt;"Pass",'Buy Rate'!B40,""),IF('Buy Rate'!B41&lt;&gt;"Pass",'Buy Rate'!B41,""),IF('Buy Rate'!B42&lt;&gt;"Pass",'Buy Rate'!B42,""),IF('Buy Rate'!B43&lt;&gt;"Pass",'Buy Rate'!B43,""))</f>
        <v>#NAME?</v>
      </c>
      <c r="C35" s="16"/>
      <c r="D35" s="16"/>
      <c r="E35" s="16"/>
      <c r="F35" s="16"/>
    </row>
    <row r="36" spans="1:6" ht="60" customHeight="1" x14ac:dyDescent="0.25">
      <c r="A36" s="16" t="s">
        <v>149</v>
      </c>
      <c r="B36" s="16" t="e">
        <f>IF(B34="Eligible","Final buy rate = base + adjustments, then floored at 9.00% and capped at 10.50%.","No buy rate because the loan does not clear one or more guideline limits.")</f>
        <v>#DIV/0!</v>
      </c>
      <c r="C36" s="16"/>
      <c r="D36" s="16"/>
      <c r="E36" s="16"/>
      <c r="F36" s="16"/>
    </row>
    <row r="37" spans="1:6" ht="30" customHeight="1" x14ac:dyDescent="0.25">
      <c r="A37" s="16" t="s">
        <v>150</v>
      </c>
      <c r="B37" s="16" t="e">
        <f>IF(AND(ISNUMBER(B29),B29&gt;=9.5%,B29&lt;=10%),"Within target 9.50% - 10.00% band",IF(ISNUMBER(B29),"Outside target band but within floor/cap","N/A"))</f>
        <v>#DIV/0!</v>
      </c>
      <c r="C37" s="16"/>
      <c r="D37" s="16"/>
      <c r="E37" s="16"/>
      <c r="F37" s="16"/>
    </row>
    <row r="38" spans="1:6" ht="90" customHeight="1" x14ac:dyDescent="0.25">
      <c r="A38" s="16" t="s">
        <v>45</v>
      </c>
      <c r="B38" s="16" t="s">
        <v>151</v>
      </c>
      <c r="C38" s="16"/>
      <c r="D38" s="16"/>
      <c r="E38" s="16"/>
      <c r="F38" s="16"/>
    </row>
    <row r="39" spans="1:6" ht="75" customHeight="1" x14ac:dyDescent="0.25">
      <c r="A39" s="16" t="s">
        <v>130</v>
      </c>
      <c r="B39" s="16" t="s">
        <v>152</v>
      </c>
      <c r="C39" s="16"/>
      <c r="D39" s="16"/>
      <c r="E39" s="16"/>
      <c r="F39" s="16"/>
    </row>
  </sheetData>
  <conditionalFormatting sqref="B34">
    <cfRule type="expression" dxfId="3" priority="3">
      <formula>B34="Eligible"</formula>
    </cfRule>
    <cfRule type="expression" dxfId="2" priority="4">
      <formula>B34&lt;&gt;"Eligible"</formula>
    </cfRule>
  </conditionalFormatting>
  <conditionalFormatting sqref="F5:F10">
    <cfRule type="expression" dxfId="1" priority="1">
      <formula>LEFT(F5,4)="Fail"</formula>
    </cfRule>
    <cfRule type="expression" dxfId="0" priority="2">
      <formula>F5="Pass"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C264900052B4E8B7EFCB5708AF87F" ma:contentTypeVersion="14" ma:contentTypeDescription="Create a new document." ma:contentTypeScope="" ma:versionID="64d2cbc56a22ac5cd338f08e0e4464ab">
  <xsd:schema xmlns:xsd="http://www.w3.org/2001/XMLSchema" xmlns:xs="http://www.w3.org/2001/XMLSchema" xmlns:p="http://schemas.microsoft.com/office/2006/metadata/properties" xmlns:ns2="e8e991a0-14da-48f8-b377-886d3df09443" xmlns:ns3="d7eac4ec-cfe6-44c1-8384-f889af4f723e" targetNamespace="http://schemas.microsoft.com/office/2006/metadata/properties" ma:root="true" ma:fieldsID="8a18193c64b0e2170cc0565e8c23d6ba" ns2:_="" ns3:_="">
    <xsd:import namespace="e8e991a0-14da-48f8-b377-886d3df09443"/>
    <xsd:import namespace="d7eac4ec-cfe6-44c1-8384-f889af4f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991a0-14da-48f8-b377-886d3df09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6a5766-90f7-438b-82a3-36862ccf5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ac4ec-cfe6-44c1-8384-f889af4f72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0f1e17-e6f4-4609-9b1d-e1ed074f2e8b}" ma:internalName="TaxCatchAll" ma:showField="CatchAllData" ma:web="d7eac4ec-cfe6-44c1-8384-f889af4f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eac4ec-cfe6-44c1-8384-f889af4f723e" xsi:nil="true"/>
    <lcf76f155ced4ddcb4097134ff3c332f xmlns="e8e991a0-14da-48f8-b377-886d3df094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72212-1676-4271-8B6A-AE0D88D1A9AA}"/>
</file>

<file path=customXml/itemProps2.xml><?xml version="1.0" encoding="utf-8"?>
<ds:datastoreItem xmlns:ds="http://schemas.openxmlformats.org/officeDocument/2006/customXml" ds:itemID="{F4F29E92-AB1A-4E76-A002-CA12A4EF725B}"/>
</file>

<file path=customXml/itemProps3.xml><?xml version="1.0" encoding="utf-8"?>
<ds:datastoreItem xmlns:ds="http://schemas.openxmlformats.org/officeDocument/2006/customXml" ds:itemID="{E07F5487-AE3D-4CF1-B7DC-EB3FB9BF73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Buy Rate</vt:lpstr>
      <vt:lpstr>Data Tape</vt:lpstr>
      <vt:lpstr>Definitions</vt:lpstr>
      <vt:lpstr>'Buy Rate'!Print_Area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Brancatella</dc:creator>
  <cp:lastModifiedBy>Miles Brancatella</cp:lastModifiedBy>
  <cp:lastPrinted>2026-05-13T21:09:01Z</cp:lastPrinted>
  <dcterms:created xsi:type="dcterms:W3CDTF">2026-05-08T02:13:10Z</dcterms:created>
  <dcterms:modified xsi:type="dcterms:W3CDTF">2026-05-20T17:06:26Z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0x01010013FC264900052B4E8B7EFCB5708AF87F</vt:lpwstr>
  </property>
</Properties>
</file>