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yscapgroup.sharepoint.com/sites/SharedData/Shared Documents/Pipeline Drive/Ys Capital Group/Guidelines &amp; Lender info/RTL/EMCAP/"/>
    </mc:Choice>
  </mc:AlternateContent>
  <xr:revisionPtr revIDLastSave="77" documentId="8_{3239BED6-9024-41E9-ABF2-0BC1D912C2FE}" xr6:coauthVersionLast="47" xr6:coauthVersionMax="47" xr10:uidLastSave="{5EBBF71F-52E5-4A8E-8503-F0DEC3C93710}"/>
  <bookViews>
    <workbookView xWindow="-98" yWindow="-98" windowWidth="21795" windowHeight="13875" tabRatio="500" xr2:uid="{00000000-000D-0000-FFFF-FFFF00000000}"/>
  </bookViews>
  <sheets>
    <sheet name="Pricing Tool" sheetId="1" r:id="rId1"/>
    <sheet name="EMCAP_Pricing Matrix" sheetId="2" r:id="rId2"/>
    <sheet name="Tier Grid" sheetId="4" r:id="rId3"/>
    <sheet name="Underwriting Commentary" sheetId="3" r:id="rId4"/>
    <sheet name="Engine" sheetId="5" state="hidden" r:id="rId5"/>
  </sheets>
  <definedNames>
    <definedName name="ExitLabels">Engine!$R$2:$R$4</definedName>
    <definedName name="ExitTokens">Engine!$S$2:$S$4</definedName>
    <definedName name="MktLabels">Engine!$P$2:$P$3</definedName>
    <definedName name="MktTokens">Engine!$Q$2:$Q$3</definedName>
    <definedName name="_xlnm.Print_Area" localSheetId="1">'EMCAP_Pricing Matrix'!$B$107:$R$166</definedName>
    <definedName name="ProdLabels">Engine!$L$2:$L$4</definedName>
    <definedName name="ProdTokens">Engine!$M$2:$M$4</definedName>
    <definedName name="PurpLabels">Engine!$N$2:$N$3</definedName>
    <definedName name="PurpTokens">Engine!$O$2:$O$3</definedName>
    <definedName name="RateKeys">Engine!$A$2:$A$1556</definedName>
    <definedName name="RateVals">Engine!$B$2:$B$1556</definedName>
    <definedName name="TermsList">Engine!$T$2:$T$4</definedName>
    <definedName name="TGKeys">Engine!$E$2:$E$19</definedName>
    <definedName name="TGmaxacq">Engine!$H$2:$H$19</definedName>
    <definedName name="TGmaxar">Engine!$I$2:$I$19</definedName>
    <definedName name="TGmaxloan">Engine!$F$2:$F$19</definedName>
    <definedName name="TGmaxltc">Engine!$J$2:$J$19</definedName>
    <definedName name="TGminfico">Engine!$G$2:$G$19</definedName>
    <definedName name="YesNoList">Engine!$U$2:$U$3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70" i="5" l="1"/>
  <c r="B1260" i="5"/>
  <c r="B1170" i="5"/>
  <c r="B1140" i="5"/>
  <c r="B935" i="5"/>
  <c r="B929" i="5"/>
  <c r="B911" i="5"/>
  <c r="B905" i="5"/>
  <c r="B728" i="5"/>
  <c r="B727" i="5"/>
  <c r="B725" i="5"/>
  <c r="AZ668" i="2"/>
  <c r="AP668" i="2"/>
  <c r="AF668" i="2"/>
  <c r="AZ667" i="2"/>
  <c r="AP667" i="2"/>
  <c r="AF667" i="2"/>
  <c r="AZ666" i="2"/>
  <c r="AP666" i="2"/>
  <c r="AF666" i="2"/>
  <c r="AZ665" i="2"/>
  <c r="AP665" i="2"/>
  <c r="AF665" i="2"/>
  <c r="AZ664" i="2"/>
  <c r="AP664" i="2"/>
  <c r="AF664" i="2"/>
  <c r="AZ663" i="2"/>
  <c r="AP663" i="2"/>
  <c r="V663" i="2"/>
  <c r="AZ662" i="2"/>
  <c r="AP662" i="2"/>
  <c r="V662" i="2"/>
  <c r="AZ661" i="2"/>
  <c r="AP661" i="2"/>
  <c r="V661" i="2"/>
  <c r="AZ660" i="2"/>
  <c r="AP660" i="2"/>
  <c r="AF660" i="2"/>
  <c r="AZ659" i="2"/>
  <c r="AP659" i="2"/>
  <c r="V659" i="2"/>
  <c r="AZ658" i="2"/>
  <c r="AP658" i="2"/>
  <c r="V658" i="2"/>
  <c r="AZ657" i="2"/>
  <c r="AP657" i="2"/>
  <c r="V657" i="2"/>
  <c r="AZ656" i="2"/>
  <c r="AP656" i="2"/>
  <c r="V656" i="2"/>
  <c r="AZ655" i="2"/>
  <c r="AP655" i="2"/>
  <c r="V655" i="2"/>
  <c r="AZ654" i="2"/>
  <c r="AP654" i="2"/>
  <c r="V654" i="2"/>
  <c r="AZ653" i="2"/>
  <c r="AP653" i="2"/>
  <c r="V653" i="2"/>
  <c r="BF652" i="2"/>
  <c r="BE652" i="2"/>
  <c r="BD652" i="2"/>
  <c r="BC652" i="2"/>
  <c r="BB652" i="2"/>
  <c r="BA652" i="2"/>
  <c r="AZ652" i="2"/>
  <c r="AV652" i="2"/>
  <c r="AU652" i="2"/>
  <c r="AT652" i="2"/>
  <c r="AS652" i="2"/>
  <c r="AR652" i="2"/>
  <c r="AQ652" i="2"/>
  <c r="AP652" i="2"/>
  <c r="AB652" i="2"/>
  <c r="AA652" i="2"/>
  <c r="Z652" i="2"/>
  <c r="Y652" i="2"/>
  <c r="X652" i="2"/>
  <c r="W652" i="2"/>
  <c r="V652" i="2"/>
  <c r="BA651" i="2"/>
  <c r="AQ651" i="2"/>
  <c r="W651" i="2"/>
  <c r="AZ648" i="2"/>
  <c r="AP648" i="2"/>
  <c r="AF648" i="2"/>
  <c r="AZ647" i="2"/>
  <c r="AP647" i="2"/>
  <c r="AF647" i="2"/>
  <c r="AZ646" i="2"/>
  <c r="AP646" i="2"/>
  <c r="AF646" i="2"/>
  <c r="AZ645" i="2"/>
  <c r="AP645" i="2"/>
  <c r="AF645" i="2"/>
  <c r="AZ644" i="2"/>
  <c r="AP644" i="2"/>
  <c r="AF644" i="2"/>
  <c r="AZ643" i="2"/>
  <c r="AP643" i="2"/>
  <c r="V643" i="2"/>
  <c r="AZ642" i="2"/>
  <c r="AP642" i="2"/>
  <c r="V642" i="2"/>
  <c r="AZ641" i="2"/>
  <c r="AP641" i="2"/>
  <c r="V641" i="2"/>
  <c r="AZ640" i="2"/>
  <c r="AP640" i="2"/>
  <c r="V640" i="2"/>
  <c r="AZ639" i="2"/>
  <c r="AP639" i="2"/>
  <c r="V639" i="2"/>
  <c r="AZ638" i="2"/>
  <c r="AP638" i="2"/>
  <c r="V638" i="2"/>
  <c r="AZ637" i="2"/>
  <c r="AP637" i="2"/>
  <c r="V637" i="2"/>
  <c r="AZ636" i="2"/>
  <c r="AP636" i="2"/>
  <c r="V636" i="2"/>
  <c r="AZ635" i="2"/>
  <c r="AP635" i="2"/>
  <c r="AF635" i="2"/>
  <c r="V635" i="2"/>
  <c r="AZ634" i="2"/>
  <c r="AP634" i="2"/>
  <c r="V634" i="2"/>
  <c r="AZ633" i="2"/>
  <c r="AP633" i="2"/>
  <c r="V633" i="2"/>
  <c r="BF632" i="2"/>
  <c r="BE632" i="2"/>
  <c r="BD632" i="2"/>
  <c r="BC632" i="2"/>
  <c r="BB632" i="2"/>
  <c r="BA632" i="2"/>
  <c r="AZ632" i="2"/>
  <c r="AV632" i="2"/>
  <c r="AU632" i="2"/>
  <c r="AT632" i="2"/>
  <c r="AS632" i="2"/>
  <c r="AR632" i="2"/>
  <c r="AQ632" i="2"/>
  <c r="AP632" i="2"/>
  <c r="AB632" i="2"/>
  <c r="AA632" i="2"/>
  <c r="Z632" i="2"/>
  <c r="Y632" i="2"/>
  <c r="X632" i="2"/>
  <c r="W632" i="2"/>
  <c r="V632" i="2"/>
  <c r="BA631" i="2"/>
  <c r="AQ631" i="2"/>
  <c r="W631" i="2"/>
  <c r="AZ628" i="2"/>
  <c r="AP628" i="2"/>
  <c r="AZ627" i="2"/>
  <c r="AP627" i="2"/>
  <c r="AF627" i="2"/>
  <c r="AZ626" i="2"/>
  <c r="AP626" i="2"/>
  <c r="AF626" i="2"/>
  <c r="AZ625" i="2"/>
  <c r="AP625" i="2"/>
  <c r="AF625" i="2"/>
  <c r="AZ624" i="2"/>
  <c r="AP624" i="2"/>
  <c r="AF624" i="2"/>
  <c r="AZ623" i="2"/>
  <c r="AP623" i="2"/>
  <c r="V623" i="2"/>
  <c r="AZ622" i="2"/>
  <c r="AP622" i="2"/>
  <c r="AF622" i="2"/>
  <c r="V622" i="2"/>
  <c r="AZ621" i="2"/>
  <c r="AP621" i="2"/>
  <c r="AF621" i="2"/>
  <c r="V621" i="2"/>
  <c r="AZ620" i="2"/>
  <c r="AP620" i="2"/>
  <c r="V620" i="2"/>
  <c r="AZ619" i="2"/>
  <c r="AP619" i="2"/>
  <c r="V619" i="2"/>
  <c r="AZ618" i="2"/>
  <c r="AP618" i="2"/>
  <c r="V618" i="2"/>
  <c r="AZ617" i="2"/>
  <c r="AP617" i="2"/>
  <c r="V617" i="2"/>
  <c r="AZ616" i="2"/>
  <c r="AP616" i="2"/>
  <c r="V616" i="2"/>
  <c r="AZ615" i="2"/>
  <c r="AP615" i="2"/>
  <c r="V615" i="2"/>
  <c r="AZ614" i="2"/>
  <c r="AP614" i="2"/>
  <c r="V614" i="2"/>
  <c r="AZ613" i="2"/>
  <c r="AP613" i="2"/>
  <c r="V613" i="2"/>
  <c r="BF612" i="2"/>
  <c r="BE612" i="2"/>
  <c r="BD612" i="2"/>
  <c r="BC612" i="2"/>
  <c r="BB612" i="2"/>
  <c r="BA612" i="2"/>
  <c r="AZ612" i="2"/>
  <c r="AV612" i="2"/>
  <c r="AU612" i="2"/>
  <c r="AT612" i="2"/>
  <c r="AS612" i="2"/>
  <c r="AR612" i="2"/>
  <c r="AQ612" i="2"/>
  <c r="AP612" i="2"/>
  <c r="AB612" i="2"/>
  <c r="AA612" i="2"/>
  <c r="Z612" i="2"/>
  <c r="Y612" i="2"/>
  <c r="X612" i="2"/>
  <c r="W612" i="2"/>
  <c r="V612" i="2"/>
  <c r="BA611" i="2"/>
  <c r="AQ611" i="2"/>
  <c r="W611" i="2"/>
  <c r="AZ605" i="2"/>
  <c r="AP605" i="2"/>
  <c r="V605" i="2"/>
  <c r="AZ604" i="2"/>
  <c r="AP604" i="2"/>
  <c r="AF604" i="2"/>
  <c r="V604" i="2"/>
  <c r="AZ603" i="2"/>
  <c r="AP603" i="2"/>
  <c r="AF603" i="2"/>
  <c r="V603" i="2"/>
  <c r="AZ602" i="2"/>
  <c r="AP602" i="2"/>
  <c r="V602" i="2"/>
  <c r="AZ601" i="2"/>
  <c r="AP601" i="2"/>
  <c r="AF601" i="2"/>
  <c r="V601" i="2"/>
  <c r="AZ600" i="2"/>
  <c r="AP600" i="2"/>
  <c r="V600" i="2"/>
  <c r="AZ599" i="2"/>
  <c r="AP599" i="2"/>
  <c r="V599" i="2"/>
  <c r="AZ598" i="2"/>
  <c r="AP598" i="2"/>
  <c r="V598" i="2"/>
  <c r="AZ597" i="2"/>
  <c r="AP597" i="2"/>
  <c r="V597" i="2"/>
  <c r="AZ596" i="2"/>
  <c r="AP596" i="2"/>
  <c r="V596" i="2"/>
  <c r="AZ595" i="2"/>
  <c r="AP595" i="2"/>
  <c r="V595" i="2"/>
  <c r="AZ594" i="2"/>
  <c r="AP594" i="2"/>
  <c r="AF594" i="2"/>
  <c r="V594" i="2"/>
  <c r="BF593" i="2"/>
  <c r="BE593" i="2"/>
  <c r="BD593" i="2"/>
  <c r="BC593" i="2"/>
  <c r="BB593" i="2"/>
  <c r="BA593" i="2"/>
  <c r="AZ593" i="2"/>
  <c r="AV593" i="2"/>
  <c r="AU593" i="2"/>
  <c r="AT593" i="2"/>
  <c r="AS593" i="2"/>
  <c r="AR593" i="2"/>
  <c r="AQ593" i="2"/>
  <c r="AP593" i="2"/>
  <c r="AB593" i="2"/>
  <c r="AA593" i="2"/>
  <c r="Z593" i="2"/>
  <c r="Y593" i="2"/>
  <c r="X593" i="2"/>
  <c r="W593" i="2"/>
  <c r="V593" i="2"/>
  <c r="BA592" i="2"/>
  <c r="AQ592" i="2"/>
  <c r="AG592" i="2"/>
  <c r="W592" i="2"/>
  <c r="AZ589" i="2"/>
  <c r="AP589" i="2"/>
  <c r="V589" i="2"/>
  <c r="AZ588" i="2"/>
  <c r="AP588" i="2"/>
  <c r="AF588" i="2"/>
  <c r="V588" i="2"/>
  <c r="AZ587" i="2"/>
  <c r="AP587" i="2"/>
  <c r="V587" i="2"/>
  <c r="AZ586" i="2"/>
  <c r="AP586" i="2"/>
  <c r="AF586" i="2"/>
  <c r="V586" i="2"/>
  <c r="AZ585" i="2"/>
  <c r="AP585" i="2"/>
  <c r="V585" i="2"/>
  <c r="AZ584" i="2"/>
  <c r="AP584" i="2"/>
  <c r="V584" i="2"/>
  <c r="AZ583" i="2"/>
  <c r="AP583" i="2"/>
  <c r="AF583" i="2"/>
  <c r="V583" i="2"/>
  <c r="AZ582" i="2"/>
  <c r="AP582" i="2"/>
  <c r="V582" i="2"/>
  <c r="AZ581" i="2"/>
  <c r="AP581" i="2"/>
  <c r="V581" i="2"/>
  <c r="AZ580" i="2"/>
  <c r="AP580" i="2"/>
  <c r="V580" i="2"/>
  <c r="AZ579" i="2"/>
  <c r="AP579" i="2"/>
  <c r="V579" i="2"/>
  <c r="AZ578" i="2"/>
  <c r="AP578" i="2"/>
  <c r="V578" i="2"/>
  <c r="BF577" i="2"/>
  <c r="BE577" i="2"/>
  <c r="BD577" i="2"/>
  <c r="BC577" i="2"/>
  <c r="BB577" i="2"/>
  <c r="BA577" i="2"/>
  <c r="AZ577" i="2"/>
  <c r="AV577" i="2"/>
  <c r="AU577" i="2"/>
  <c r="AT577" i="2"/>
  <c r="AS577" i="2"/>
  <c r="AR577" i="2"/>
  <c r="AQ577" i="2"/>
  <c r="AP577" i="2"/>
  <c r="AB577" i="2"/>
  <c r="AA577" i="2"/>
  <c r="Z577" i="2"/>
  <c r="Y577" i="2"/>
  <c r="X577" i="2"/>
  <c r="W577" i="2"/>
  <c r="V577" i="2"/>
  <c r="BA576" i="2"/>
  <c r="AQ576" i="2"/>
  <c r="AG576" i="2"/>
  <c r="W576" i="2"/>
  <c r="AZ573" i="2"/>
  <c r="AP573" i="2"/>
  <c r="V573" i="2"/>
  <c r="AZ572" i="2"/>
  <c r="AP572" i="2"/>
  <c r="V572" i="2"/>
  <c r="AZ571" i="2"/>
  <c r="AP571" i="2"/>
  <c r="V571" i="2"/>
  <c r="AZ570" i="2"/>
  <c r="AP570" i="2"/>
  <c r="V570" i="2"/>
  <c r="AZ569" i="2"/>
  <c r="AP569" i="2"/>
  <c r="V569" i="2"/>
  <c r="AZ568" i="2"/>
  <c r="AP568" i="2"/>
  <c r="V568" i="2"/>
  <c r="AZ567" i="2"/>
  <c r="AP567" i="2"/>
  <c r="V567" i="2"/>
  <c r="AZ566" i="2"/>
  <c r="AP566" i="2"/>
  <c r="V566" i="2"/>
  <c r="AZ565" i="2"/>
  <c r="AP565" i="2"/>
  <c r="V565" i="2"/>
  <c r="AZ564" i="2"/>
  <c r="AP564" i="2"/>
  <c r="V564" i="2"/>
  <c r="AZ563" i="2"/>
  <c r="AP563" i="2"/>
  <c r="V563" i="2"/>
  <c r="AZ562" i="2"/>
  <c r="AP562" i="2"/>
  <c r="V562" i="2"/>
  <c r="BF561" i="2"/>
  <c r="BE561" i="2"/>
  <c r="BD561" i="2"/>
  <c r="BC561" i="2"/>
  <c r="BB561" i="2"/>
  <c r="BA561" i="2"/>
  <c r="AZ561" i="2"/>
  <c r="AV561" i="2"/>
  <c r="AU561" i="2"/>
  <c r="AT561" i="2"/>
  <c r="AS561" i="2"/>
  <c r="AR561" i="2"/>
  <c r="AQ561" i="2"/>
  <c r="AP561" i="2"/>
  <c r="AB561" i="2"/>
  <c r="AA561" i="2"/>
  <c r="Z561" i="2"/>
  <c r="Y561" i="2"/>
  <c r="X561" i="2"/>
  <c r="W561" i="2"/>
  <c r="V561" i="2"/>
  <c r="BA560" i="2"/>
  <c r="AQ560" i="2"/>
  <c r="W560" i="2"/>
  <c r="AZ554" i="2"/>
  <c r="AP554" i="2"/>
  <c r="V554" i="2"/>
  <c r="AZ553" i="2"/>
  <c r="AP553" i="2"/>
  <c r="V553" i="2"/>
  <c r="AZ552" i="2"/>
  <c r="AP552" i="2"/>
  <c r="AF552" i="2"/>
  <c r="V552" i="2"/>
  <c r="AZ551" i="2"/>
  <c r="AP551" i="2"/>
  <c r="V551" i="2"/>
  <c r="AZ550" i="2"/>
  <c r="AP550" i="2"/>
  <c r="V550" i="2"/>
  <c r="AZ549" i="2"/>
  <c r="AP549" i="2"/>
  <c r="V549" i="2"/>
  <c r="AZ548" i="2"/>
  <c r="AP548" i="2"/>
  <c r="AF548" i="2"/>
  <c r="V548" i="2"/>
  <c r="AZ547" i="2"/>
  <c r="AP547" i="2"/>
  <c r="V547" i="2"/>
  <c r="AZ546" i="2"/>
  <c r="AP546" i="2"/>
  <c r="AF546" i="2"/>
  <c r="V546" i="2"/>
  <c r="AZ545" i="2"/>
  <c r="AP545" i="2"/>
  <c r="V545" i="2"/>
  <c r="AZ544" i="2"/>
  <c r="AP544" i="2"/>
  <c r="V544" i="2"/>
  <c r="AZ543" i="2"/>
  <c r="AP543" i="2"/>
  <c r="V543" i="2"/>
  <c r="BF542" i="2"/>
  <c r="BE542" i="2"/>
  <c r="BD542" i="2"/>
  <c r="BC542" i="2"/>
  <c r="BB542" i="2"/>
  <c r="BA542" i="2"/>
  <c r="AZ542" i="2"/>
  <c r="AV542" i="2"/>
  <c r="AU542" i="2"/>
  <c r="AT542" i="2"/>
  <c r="AS542" i="2"/>
  <c r="AR542" i="2"/>
  <c r="AQ542" i="2"/>
  <c r="AP542" i="2"/>
  <c r="AB542" i="2"/>
  <c r="AA542" i="2"/>
  <c r="Z542" i="2"/>
  <c r="Y542" i="2"/>
  <c r="X542" i="2"/>
  <c r="W542" i="2"/>
  <c r="V542" i="2"/>
  <c r="BA541" i="2"/>
  <c r="AQ541" i="2"/>
  <c r="W541" i="2"/>
  <c r="AZ538" i="2"/>
  <c r="AP538" i="2"/>
  <c r="V538" i="2"/>
  <c r="AZ537" i="2"/>
  <c r="AP537" i="2"/>
  <c r="V537" i="2"/>
  <c r="AZ536" i="2"/>
  <c r="AP536" i="2"/>
  <c r="V536" i="2"/>
  <c r="AZ535" i="2"/>
  <c r="AP535" i="2"/>
  <c r="AF535" i="2"/>
  <c r="V535" i="2"/>
  <c r="AZ534" i="2"/>
  <c r="AP534" i="2"/>
  <c r="V534" i="2"/>
  <c r="AZ533" i="2"/>
  <c r="AP533" i="2"/>
  <c r="AF533" i="2"/>
  <c r="V533" i="2"/>
  <c r="AZ532" i="2"/>
  <c r="AP532" i="2"/>
  <c r="AF532" i="2"/>
  <c r="V532" i="2"/>
  <c r="AZ531" i="2"/>
  <c r="AP531" i="2"/>
  <c r="V531" i="2"/>
  <c r="AZ530" i="2"/>
  <c r="AP530" i="2"/>
  <c r="V530" i="2"/>
  <c r="AZ529" i="2"/>
  <c r="AP529" i="2"/>
  <c r="V529" i="2"/>
  <c r="AZ528" i="2"/>
  <c r="AP528" i="2"/>
  <c r="V528" i="2"/>
  <c r="AZ527" i="2"/>
  <c r="AP527" i="2"/>
  <c r="V527" i="2"/>
  <c r="BF526" i="2"/>
  <c r="BE526" i="2"/>
  <c r="BD526" i="2"/>
  <c r="BC526" i="2"/>
  <c r="BB526" i="2"/>
  <c r="BA526" i="2"/>
  <c r="AZ526" i="2"/>
  <c r="AV526" i="2"/>
  <c r="AU526" i="2"/>
  <c r="AT526" i="2"/>
  <c r="AS526" i="2"/>
  <c r="AR526" i="2"/>
  <c r="AQ526" i="2"/>
  <c r="AP526" i="2"/>
  <c r="AB526" i="2"/>
  <c r="AA526" i="2"/>
  <c r="Z526" i="2"/>
  <c r="Y526" i="2"/>
  <c r="X526" i="2"/>
  <c r="W526" i="2"/>
  <c r="V526" i="2"/>
  <c r="BA525" i="2"/>
  <c r="AQ525" i="2"/>
  <c r="W525" i="2"/>
  <c r="AZ522" i="2"/>
  <c r="AP522" i="2"/>
  <c r="V522" i="2"/>
  <c r="AZ521" i="2"/>
  <c r="AP521" i="2"/>
  <c r="V521" i="2"/>
  <c r="AZ520" i="2"/>
  <c r="AP520" i="2"/>
  <c r="V520" i="2"/>
  <c r="AZ519" i="2"/>
  <c r="AP519" i="2"/>
  <c r="V519" i="2"/>
  <c r="AZ518" i="2"/>
  <c r="AP518" i="2"/>
  <c r="V518" i="2"/>
  <c r="AZ517" i="2"/>
  <c r="AP517" i="2"/>
  <c r="V517" i="2"/>
  <c r="AZ516" i="2"/>
  <c r="AP516" i="2"/>
  <c r="V516" i="2"/>
  <c r="AZ515" i="2"/>
  <c r="AP515" i="2"/>
  <c r="V515" i="2"/>
  <c r="AZ514" i="2"/>
  <c r="AP514" i="2"/>
  <c r="V514" i="2"/>
  <c r="AZ513" i="2"/>
  <c r="AP513" i="2"/>
  <c r="V513" i="2"/>
  <c r="AZ512" i="2"/>
  <c r="AP512" i="2"/>
  <c r="V512" i="2"/>
  <c r="AZ511" i="2"/>
  <c r="AP511" i="2"/>
  <c r="V511" i="2"/>
  <c r="BF510" i="2"/>
  <c r="BE510" i="2"/>
  <c r="BD510" i="2"/>
  <c r="BC510" i="2"/>
  <c r="BB510" i="2"/>
  <c r="BA510" i="2"/>
  <c r="AZ510" i="2"/>
  <c r="AV510" i="2"/>
  <c r="AU510" i="2"/>
  <c r="AT510" i="2"/>
  <c r="AS510" i="2"/>
  <c r="AR510" i="2"/>
  <c r="AQ510" i="2"/>
  <c r="AP510" i="2"/>
  <c r="AB510" i="2"/>
  <c r="AA510" i="2"/>
  <c r="Z510" i="2"/>
  <c r="Y510" i="2"/>
  <c r="X510" i="2"/>
  <c r="W510" i="2"/>
  <c r="V510" i="2"/>
  <c r="BA509" i="2"/>
  <c r="AQ509" i="2"/>
  <c r="W509" i="2"/>
  <c r="AZ501" i="2"/>
  <c r="AP501" i="2"/>
  <c r="AF501" i="2"/>
  <c r="AZ500" i="2"/>
  <c r="AP500" i="2"/>
  <c r="AF500" i="2"/>
  <c r="BA499" i="2"/>
  <c r="AZ499" i="2"/>
  <c r="AQ499" i="2"/>
  <c r="AP499" i="2"/>
  <c r="AG499" i="2"/>
  <c r="AF499" i="2"/>
  <c r="W499" i="2"/>
  <c r="M499" i="2"/>
  <c r="C499" i="2"/>
  <c r="AZ498" i="2"/>
  <c r="AP498" i="2"/>
  <c r="AF498" i="2"/>
  <c r="AZ497" i="2"/>
  <c r="AP497" i="2"/>
  <c r="V497" i="2"/>
  <c r="AZ496" i="2"/>
  <c r="AP496" i="2"/>
  <c r="V496" i="2"/>
  <c r="AZ495" i="2"/>
  <c r="AP495" i="2"/>
  <c r="V495" i="2"/>
  <c r="AZ494" i="2"/>
  <c r="AQ494" i="2"/>
  <c r="AP494" i="2"/>
  <c r="W494" i="2"/>
  <c r="V494" i="2"/>
  <c r="C494" i="2"/>
  <c r="AZ493" i="2"/>
  <c r="AP493" i="2"/>
  <c r="V493" i="2"/>
  <c r="AZ492" i="2"/>
  <c r="AP492" i="2"/>
  <c r="V492" i="2"/>
  <c r="AZ491" i="2"/>
  <c r="AP491" i="2"/>
  <c r="V491" i="2"/>
  <c r="AZ490" i="2"/>
  <c r="AQ490" i="2"/>
  <c r="AP490" i="2"/>
  <c r="W490" i="2"/>
  <c r="V490" i="2"/>
  <c r="C490" i="2"/>
  <c r="AZ489" i="2"/>
  <c r="AP489" i="2"/>
  <c r="V489" i="2"/>
  <c r="AZ488" i="2"/>
  <c r="AP488" i="2"/>
  <c r="V488" i="2"/>
  <c r="AZ487" i="2"/>
  <c r="AP487" i="2"/>
  <c r="V487" i="2"/>
  <c r="AZ486" i="2"/>
  <c r="AP486" i="2"/>
  <c r="V486" i="2"/>
  <c r="BF485" i="2"/>
  <c r="BE485" i="2"/>
  <c r="BD485" i="2"/>
  <c r="BC485" i="2"/>
  <c r="BB485" i="2"/>
  <c r="BA485" i="2"/>
  <c r="AZ485" i="2"/>
  <c r="AV485" i="2"/>
  <c r="AU485" i="2"/>
  <c r="AT485" i="2"/>
  <c r="AS485" i="2"/>
  <c r="AR485" i="2"/>
  <c r="AQ485" i="2"/>
  <c r="AP485" i="2"/>
  <c r="AB485" i="2"/>
  <c r="AA485" i="2"/>
  <c r="Z485" i="2"/>
  <c r="Y485" i="2"/>
  <c r="X485" i="2"/>
  <c r="W485" i="2"/>
  <c r="V485" i="2"/>
  <c r="BA484" i="2"/>
  <c r="AQ484" i="2"/>
  <c r="W484" i="2"/>
  <c r="AZ481" i="2"/>
  <c r="AP481" i="2"/>
  <c r="AF481" i="2"/>
  <c r="AZ480" i="2"/>
  <c r="AP480" i="2"/>
  <c r="AF480" i="2"/>
  <c r="BA479" i="2"/>
  <c r="AZ479" i="2"/>
  <c r="AQ479" i="2"/>
  <c r="AP479" i="2"/>
  <c r="AG479" i="2"/>
  <c r="AF479" i="2"/>
  <c r="W479" i="2"/>
  <c r="M479" i="2"/>
  <c r="C479" i="2"/>
  <c r="AZ478" i="2"/>
  <c r="AR478" i="2"/>
  <c r="AP478" i="2"/>
  <c r="AF478" i="2"/>
  <c r="X478" i="2"/>
  <c r="D478" i="2"/>
  <c r="AZ477" i="2"/>
  <c r="AP477" i="2"/>
  <c r="V477" i="2"/>
  <c r="AZ476" i="2"/>
  <c r="AP476" i="2"/>
  <c r="V476" i="2"/>
  <c r="AZ475" i="2"/>
  <c r="AP475" i="2"/>
  <c r="V475" i="2"/>
  <c r="BA474" i="2"/>
  <c r="AZ474" i="2"/>
  <c r="AQ474" i="2"/>
  <c r="AP474" i="2"/>
  <c r="AG474" i="2"/>
  <c r="W474" i="2"/>
  <c r="V474" i="2"/>
  <c r="M474" i="2"/>
  <c r="C474" i="2"/>
  <c r="AZ473" i="2"/>
  <c r="AP473" i="2"/>
  <c r="V473" i="2"/>
  <c r="AZ472" i="2"/>
  <c r="AP472" i="2"/>
  <c r="V472" i="2"/>
  <c r="AZ471" i="2"/>
  <c r="AP471" i="2"/>
  <c r="V471" i="2"/>
  <c r="AZ470" i="2"/>
  <c r="AQ470" i="2"/>
  <c r="AP470" i="2"/>
  <c r="W470" i="2"/>
  <c r="V470" i="2"/>
  <c r="C470" i="2"/>
  <c r="AZ469" i="2"/>
  <c r="AP469" i="2"/>
  <c r="V469" i="2"/>
  <c r="AZ468" i="2"/>
  <c r="AP468" i="2"/>
  <c r="V468" i="2"/>
  <c r="AZ467" i="2"/>
  <c r="AP467" i="2"/>
  <c r="V467" i="2"/>
  <c r="AZ466" i="2"/>
  <c r="AQ466" i="2"/>
  <c r="AP466" i="2"/>
  <c r="W466" i="2"/>
  <c r="V466" i="2"/>
  <c r="C466" i="2"/>
  <c r="BF465" i="2"/>
  <c r="BE465" i="2"/>
  <c r="BD465" i="2"/>
  <c r="BC465" i="2"/>
  <c r="BB465" i="2"/>
  <c r="BA465" i="2"/>
  <c r="AZ465" i="2"/>
  <c r="AV465" i="2"/>
  <c r="AU465" i="2"/>
  <c r="AT465" i="2"/>
  <c r="AS465" i="2"/>
  <c r="AR465" i="2"/>
  <c r="AQ465" i="2"/>
  <c r="AP465" i="2"/>
  <c r="AB465" i="2"/>
  <c r="AA465" i="2"/>
  <c r="Z465" i="2"/>
  <c r="Y465" i="2"/>
  <c r="X465" i="2"/>
  <c r="W465" i="2"/>
  <c r="V465" i="2"/>
  <c r="BA464" i="2"/>
  <c r="AQ464" i="2"/>
  <c r="W464" i="2"/>
  <c r="AZ461" i="2"/>
  <c r="AP461" i="2"/>
  <c r="AF461" i="2"/>
  <c r="AZ460" i="2"/>
  <c r="AP460" i="2"/>
  <c r="AF460" i="2"/>
  <c r="BA459" i="2"/>
  <c r="AZ459" i="2"/>
  <c r="AQ459" i="2"/>
  <c r="AP459" i="2"/>
  <c r="AG459" i="2"/>
  <c r="AF459" i="2"/>
  <c r="W459" i="2"/>
  <c r="M459" i="2"/>
  <c r="C459" i="2"/>
  <c r="AZ458" i="2"/>
  <c r="AR458" i="2"/>
  <c r="AP458" i="2"/>
  <c r="AF458" i="2"/>
  <c r="X458" i="2"/>
  <c r="D458" i="2"/>
  <c r="AZ457" i="2"/>
  <c r="AP457" i="2"/>
  <c r="AF457" i="2"/>
  <c r="AZ456" i="2"/>
  <c r="AP456" i="2"/>
  <c r="V456" i="2"/>
  <c r="AZ455" i="2"/>
  <c r="AP455" i="2"/>
  <c r="V455" i="2"/>
  <c r="BA454" i="2"/>
  <c r="AZ454" i="2"/>
  <c r="AQ454" i="2"/>
  <c r="AP454" i="2"/>
  <c r="AG454" i="2"/>
  <c r="W454" i="2"/>
  <c r="V454" i="2"/>
  <c r="M454" i="2"/>
  <c r="C454" i="2"/>
  <c r="AZ453" i="2"/>
  <c r="AP453" i="2"/>
  <c r="V453" i="2"/>
  <c r="AZ452" i="2"/>
  <c r="AP452" i="2"/>
  <c r="V452" i="2"/>
  <c r="AZ451" i="2"/>
  <c r="AP451" i="2"/>
  <c r="V451" i="2"/>
  <c r="BA450" i="2"/>
  <c r="AZ450" i="2"/>
  <c r="AQ450" i="2"/>
  <c r="AP450" i="2"/>
  <c r="AG450" i="2"/>
  <c r="W450" i="2"/>
  <c r="V450" i="2"/>
  <c r="M450" i="2"/>
  <c r="C450" i="2"/>
  <c r="AZ449" i="2"/>
  <c r="AP449" i="2"/>
  <c r="V449" i="2"/>
  <c r="AZ448" i="2"/>
  <c r="AP448" i="2"/>
  <c r="V448" i="2"/>
  <c r="AZ447" i="2"/>
  <c r="AP447" i="2"/>
  <c r="V447" i="2"/>
  <c r="AZ446" i="2"/>
  <c r="AQ446" i="2"/>
  <c r="AP446" i="2"/>
  <c r="W446" i="2"/>
  <c r="V446" i="2"/>
  <c r="C446" i="2"/>
  <c r="BF445" i="2"/>
  <c r="BE445" i="2"/>
  <c r="BD445" i="2"/>
  <c r="BC445" i="2"/>
  <c r="BB445" i="2"/>
  <c r="BA445" i="2"/>
  <c r="AZ445" i="2"/>
  <c r="AV445" i="2"/>
  <c r="AU445" i="2"/>
  <c r="AT445" i="2"/>
  <c r="AS445" i="2"/>
  <c r="AR445" i="2"/>
  <c r="AQ445" i="2"/>
  <c r="AP445" i="2"/>
  <c r="AB445" i="2"/>
  <c r="AA445" i="2"/>
  <c r="Z445" i="2"/>
  <c r="Y445" i="2"/>
  <c r="X445" i="2"/>
  <c r="W445" i="2"/>
  <c r="V445" i="2"/>
  <c r="BA444" i="2"/>
  <c r="AQ444" i="2"/>
  <c r="W444" i="2"/>
  <c r="BF438" i="2"/>
  <c r="BE438" i="2"/>
  <c r="BD438" i="2"/>
  <c r="BC438" i="2"/>
  <c r="BB438" i="2"/>
  <c r="BA438" i="2"/>
  <c r="AZ438" i="2"/>
  <c r="AP438" i="2"/>
  <c r="AL438" i="2"/>
  <c r="AK438" i="2"/>
  <c r="AJ438" i="2"/>
  <c r="AI438" i="2"/>
  <c r="AH438" i="2"/>
  <c r="AG438" i="2"/>
  <c r="V438" i="2"/>
  <c r="R438" i="2"/>
  <c r="Q438" i="2"/>
  <c r="P438" i="2"/>
  <c r="O438" i="2"/>
  <c r="N438" i="2"/>
  <c r="M438" i="2"/>
  <c r="BF437" i="2"/>
  <c r="BE437" i="2"/>
  <c r="BD437" i="2"/>
  <c r="BC437" i="2"/>
  <c r="BB437" i="2"/>
  <c r="BA437" i="2"/>
  <c r="AZ437" i="2"/>
  <c r="AP437" i="2"/>
  <c r="AL437" i="2"/>
  <c r="AK437" i="2"/>
  <c r="AJ437" i="2"/>
  <c r="AI437" i="2"/>
  <c r="AH437" i="2"/>
  <c r="AG437" i="2"/>
  <c r="V437" i="2"/>
  <c r="R437" i="2"/>
  <c r="Q437" i="2"/>
  <c r="P437" i="2"/>
  <c r="O437" i="2"/>
  <c r="N437" i="2"/>
  <c r="M437" i="2"/>
  <c r="BF436" i="2"/>
  <c r="BE436" i="2"/>
  <c r="BD436" i="2"/>
  <c r="BC436" i="2"/>
  <c r="BB436" i="2"/>
  <c r="BA436" i="2"/>
  <c r="AZ436" i="2"/>
  <c r="AP436" i="2"/>
  <c r="AL436" i="2"/>
  <c r="AK436" i="2"/>
  <c r="AJ436" i="2"/>
  <c r="AI436" i="2"/>
  <c r="AH436" i="2"/>
  <c r="AG436" i="2"/>
  <c r="V436" i="2"/>
  <c r="R436" i="2"/>
  <c r="Q436" i="2"/>
  <c r="P436" i="2"/>
  <c r="O436" i="2"/>
  <c r="N436" i="2"/>
  <c r="M436" i="2"/>
  <c r="BF435" i="2"/>
  <c r="BE435" i="2"/>
  <c r="BD435" i="2"/>
  <c r="BC435" i="2"/>
  <c r="BB435" i="2"/>
  <c r="BA435" i="2"/>
  <c r="AZ435" i="2"/>
  <c r="AP435" i="2"/>
  <c r="AL435" i="2"/>
  <c r="AK435" i="2"/>
  <c r="AJ435" i="2"/>
  <c r="AI435" i="2"/>
  <c r="AH435" i="2"/>
  <c r="AG435" i="2"/>
  <c r="V435" i="2"/>
  <c r="R435" i="2"/>
  <c r="Q435" i="2"/>
  <c r="P435" i="2"/>
  <c r="O435" i="2"/>
  <c r="N435" i="2"/>
  <c r="M435" i="2"/>
  <c r="BF434" i="2"/>
  <c r="BE434" i="2"/>
  <c r="BD434" i="2"/>
  <c r="BC434" i="2"/>
  <c r="BB434" i="2"/>
  <c r="BA434" i="2"/>
  <c r="AZ434" i="2"/>
  <c r="AP434" i="2"/>
  <c r="AL434" i="2"/>
  <c r="AK434" i="2"/>
  <c r="AJ434" i="2"/>
  <c r="AI434" i="2"/>
  <c r="AH434" i="2"/>
  <c r="AG434" i="2"/>
  <c r="V434" i="2"/>
  <c r="R434" i="2"/>
  <c r="Q434" i="2"/>
  <c r="P434" i="2"/>
  <c r="O434" i="2"/>
  <c r="N434" i="2"/>
  <c r="M434" i="2"/>
  <c r="BF433" i="2"/>
  <c r="BE433" i="2"/>
  <c r="BD433" i="2"/>
  <c r="BC433" i="2"/>
  <c r="BB433" i="2"/>
  <c r="BA433" i="2"/>
  <c r="AZ433" i="2"/>
  <c r="AP433" i="2"/>
  <c r="AL433" i="2"/>
  <c r="AK433" i="2"/>
  <c r="AJ433" i="2"/>
  <c r="AI433" i="2"/>
  <c r="AH433" i="2"/>
  <c r="AG433" i="2"/>
  <c r="V433" i="2"/>
  <c r="R433" i="2"/>
  <c r="Q433" i="2"/>
  <c r="P433" i="2"/>
  <c r="O433" i="2"/>
  <c r="N433" i="2"/>
  <c r="M433" i="2"/>
  <c r="BF432" i="2"/>
  <c r="BE432" i="2"/>
  <c r="BD432" i="2"/>
  <c r="BC432" i="2"/>
  <c r="BB432" i="2"/>
  <c r="BA432" i="2"/>
  <c r="AZ432" i="2"/>
  <c r="AP432" i="2"/>
  <c r="AL432" i="2"/>
  <c r="AK432" i="2"/>
  <c r="AJ432" i="2"/>
  <c r="AI432" i="2"/>
  <c r="AH432" i="2"/>
  <c r="AG432" i="2"/>
  <c r="V432" i="2"/>
  <c r="R432" i="2"/>
  <c r="Q432" i="2"/>
  <c r="P432" i="2"/>
  <c r="O432" i="2"/>
  <c r="N432" i="2"/>
  <c r="M432" i="2"/>
  <c r="BF431" i="2"/>
  <c r="BE431" i="2"/>
  <c r="BD431" i="2"/>
  <c r="BC431" i="2"/>
  <c r="BB431" i="2"/>
  <c r="BA431" i="2"/>
  <c r="AZ431" i="2"/>
  <c r="AP431" i="2"/>
  <c r="AL431" i="2"/>
  <c r="AK431" i="2"/>
  <c r="AJ431" i="2"/>
  <c r="AI431" i="2"/>
  <c r="AH431" i="2"/>
  <c r="AG431" i="2"/>
  <c r="V431" i="2"/>
  <c r="R431" i="2"/>
  <c r="Q431" i="2"/>
  <c r="P431" i="2"/>
  <c r="O431" i="2"/>
  <c r="N431" i="2"/>
  <c r="M431" i="2"/>
  <c r="BF430" i="2"/>
  <c r="BE430" i="2"/>
  <c r="BD430" i="2"/>
  <c r="BC430" i="2"/>
  <c r="BB430" i="2"/>
  <c r="BA430" i="2"/>
  <c r="AZ430" i="2"/>
  <c r="AP430" i="2"/>
  <c r="AL430" i="2"/>
  <c r="AK430" i="2"/>
  <c r="AJ430" i="2"/>
  <c r="AI430" i="2"/>
  <c r="AH430" i="2"/>
  <c r="AG430" i="2"/>
  <c r="V430" i="2"/>
  <c r="R430" i="2"/>
  <c r="Q430" i="2"/>
  <c r="P430" i="2"/>
  <c r="O430" i="2"/>
  <c r="N430" i="2"/>
  <c r="M430" i="2"/>
  <c r="BF429" i="2"/>
  <c r="BE429" i="2"/>
  <c r="BD429" i="2"/>
  <c r="BC429" i="2"/>
  <c r="BB429" i="2"/>
  <c r="BA429" i="2"/>
  <c r="AZ429" i="2"/>
  <c r="AP429" i="2"/>
  <c r="AL429" i="2"/>
  <c r="AK429" i="2"/>
  <c r="AJ429" i="2"/>
  <c r="AI429" i="2"/>
  <c r="AH429" i="2"/>
  <c r="AG429" i="2"/>
  <c r="V429" i="2"/>
  <c r="R429" i="2"/>
  <c r="Q429" i="2"/>
  <c r="P429" i="2"/>
  <c r="O429" i="2"/>
  <c r="N429" i="2"/>
  <c r="M429" i="2"/>
  <c r="BF428" i="2"/>
  <c r="BE428" i="2"/>
  <c r="BD428" i="2"/>
  <c r="BC428" i="2"/>
  <c r="BB428" i="2"/>
  <c r="BA428" i="2"/>
  <c r="AZ428" i="2"/>
  <c r="AP428" i="2"/>
  <c r="AL428" i="2"/>
  <c r="AK428" i="2"/>
  <c r="AJ428" i="2"/>
  <c r="AI428" i="2"/>
  <c r="AH428" i="2"/>
  <c r="AG428" i="2"/>
  <c r="V428" i="2"/>
  <c r="R428" i="2"/>
  <c r="Q428" i="2"/>
  <c r="P428" i="2"/>
  <c r="O428" i="2"/>
  <c r="N428" i="2"/>
  <c r="M428" i="2"/>
  <c r="BF427" i="2"/>
  <c r="BE427" i="2"/>
  <c r="BD427" i="2"/>
  <c r="BC427" i="2"/>
  <c r="BB427" i="2"/>
  <c r="BA427" i="2"/>
  <c r="AZ427" i="2"/>
  <c r="AP427" i="2"/>
  <c r="AL427" i="2"/>
  <c r="AK427" i="2"/>
  <c r="AJ427" i="2"/>
  <c r="AI427" i="2"/>
  <c r="AH427" i="2"/>
  <c r="AG427" i="2"/>
  <c r="V427" i="2"/>
  <c r="R427" i="2"/>
  <c r="Q427" i="2"/>
  <c r="P427" i="2"/>
  <c r="O427" i="2"/>
  <c r="N427" i="2"/>
  <c r="M427" i="2"/>
  <c r="BF426" i="2"/>
  <c r="BE426" i="2"/>
  <c r="BD426" i="2"/>
  <c r="BC426" i="2"/>
  <c r="BB426" i="2"/>
  <c r="BA426" i="2"/>
  <c r="AZ426" i="2"/>
  <c r="AV426" i="2"/>
  <c r="AU426" i="2"/>
  <c r="AT426" i="2"/>
  <c r="AS426" i="2"/>
  <c r="AR426" i="2"/>
  <c r="AQ426" i="2"/>
  <c r="AP426" i="2"/>
  <c r="AB426" i="2"/>
  <c r="AA426" i="2"/>
  <c r="Z426" i="2"/>
  <c r="Y426" i="2"/>
  <c r="X426" i="2"/>
  <c r="W426" i="2"/>
  <c r="V426" i="2"/>
  <c r="BA425" i="2"/>
  <c r="AQ425" i="2"/>
  <c r="W425" i="2"/>
  <c r="BF422" i="2"/>
  <c r="BE422" i="2"/>
  <c r="BD422" i="2"/>
  <c r="BC422" i="2"/>
  <c r="BB422" i="2"/>
  <c r="BA422" i="2"/>
  <c r="AZ422" i="2"/>
  <c r="AP422" i="2"/>
  <c r="AL422" i="2"/>
  <c r="AK422" i="2"/>
  <c r="AJ422" i="2"/>
  <c r="AI422" i="2"/>
  <c r="AH422" i="2"/>
  <c r="AG422" i="2"/>
  <c r="V422" i="2"/>
  <c r="R422" i="2"/>
  <c r="Q422" i="2"/>
  <c r="P422" i="2"/>
  <c r="O422" i="2"/>
  <c r="N422" i="2"/>
  <c r="M422" i="2"/>
  <c r="BF421" i="2"/>
  <c r="BE421" i="2"/>
  <c r="BD421" i="2"/>
  <c r="BC421" i="2"/>
  <c r="AZ421" i="2"/>
  <c r="AP421" i="2"/>
  <c r="AL421" i="2"/>
  <c r="AK421" i="2"/>
  <c r="AJ421" i="2"/>
  <c r="AI421" i="2"/>
  <c r="V421" i="2"/>
  <c r="R421" i="2"/>
  <c r="Q421" i="2"/>
  <c r="P421" i="2"/>
  <c r="O421" i="2"/>
  <c r="C421" i="2"/>
  <c r="BF420" i="2"/>
  <c r="BE420" i="2"/>
  <c r="BD420" i="2"/>
  <c r="BC420" i="2"/>
  <c r="AZ420" i="2"/>
  <c r="AP420" i="2"/>
  <c r="AL420" i="2"/>
  <c r="AK420" i="2"/>
  <c r="AJ420" i="2"/>
  <c r="AI420" i="2"/>
  <c r="V420" i="2"/>
  <c r="R420" i="2"/>
  <c r="Q420" i="2"/>
  <c r="P420" i="2"/>
  <c r="O420" i="2"/>
  <c r="C420" i="2"/>
  <c r="BF419" i="2"/>
  <c r="BE419" i="2"/>
  <c r="BD419" i="2"/>
  <c r="BC419" i="2"/>
  <c r="AZ419" i="2"/>
  <c r="AP419" i="2"/>
  <c r="AL419" i="2"/>
  <c r="AK419" i="2"/>
  <c r="AJ419" i="2"/>
  <c r="AI419" i="2"/>
  <c r="W419" i="2"/>
  <c r="V419" i="2"/>
  <c r="R419" i="2"/>
  <c r="Q419" i="2"/>
  <c r="P419" i="2"/>
  <c r="O419" i="2"/>
  <c r="M419" i="2"/>
  <c r="D419" i="2"/>
  <c r="BF418" i="2"/>
  <c r="BE418" i="2"/>
  <c r="BD418" i="2"/>
  <c r="BC418" i="2"/>
  <c r="BB418" i="2"/>
  <c r="BA418" i="2"/>
  <c r="AZ418" i="2"/>
  <c r="AP418" i="2"/>
  <c r="AL418" i="2"/>
  <c r="AK418" i="2"/>
  <c r="AJ418" i="2"/>
  <c r="AI418" i="2"/>
  <c r="AH418" i="2"/>
  <c r="AG418" i="2"/>
  <c r="V418" i="2"/>
  <c r="R418" i="2"/>
  <c r="Q418" i="2"/>
  <c r="P418" i="2"/>
  <c r="O418" i="2"/>
  <c r="N418" i="2"/>
  <c r="M418" i="2"/>
  <c r="BF417" i="2"/>
  <c r="BE417" i="2"/>
  <c r="BD417" i="2"/>
  <c r="BC417" i="2"/>
  <c r="AZ417" i="2"/>
  <c r="AP417" i="2"/>
  <c r="AL417" i="2"/>
  <c r="AK417" i="2"/>
  <c r="AJ417" i="2"/>
  <c r="AI417" i="2"/>
  <c r="V417" i="2"/>
  <c r="R417" i="2"/>
  <c r="Q417" i="2"/>
  <c r="P417" i="2"/>
  <c r="O417" i="2"/>
  <c r="BF416" i="2"/>
  <c r="BE416" i="2"/>
  <c r="BD416" i="2"/>
  <c r="BC416" i="2"/>
  <c r="AZ416" i="2"/>
  <c r="AP416" i="2"/>
  <c r="AL416" i="2"/>
  <c r="AK416" i="2"/>
  <c r="AJ416" i="2"/>
  <c r="AI416" i="2"/>
  <c r="V416" i="2"/>
  <c r="R416" i="2"/>
  <c r="Q416" i="2"/>
  <c r="P416" i="2"/>
  <c r="O416" i="2"/>
  <c r="BF415" i="2"/>
  <c r="BE415" i="2"/>
  <c r="BD415" i="2"/>
  <c r="BC415" i="2"/>
  <c r="AZ415" i="2"/>
  <c r="AP415" i="2"/>
  <c r="AL415" i="2"/>
  <c r="AK415" i="2"/>
  <c r="AJ415" i="2"/>
  <c r="AI415" i="2"/>
  <c r="W415" i="2"/>
  <c r="V415" i="2"/>
  <c r="R415" i="2"/>
  <c r="Q415" i="2"/>
  <c r="P415" i="2"/>
  <c r="O415" i="2"/>
  <c r="C415" i="2"/>
  <c r="BF414" i="2"/>
  <c r="BE414" i="2"/>
  <c r="BD414" i="2"/>
  <c r="BC414" i="2"/>
  <c r="BB414" i="2"/>
  <c r="BA414" i="2"/>
  <c r="AZ414" i="2"/>
  <c r="AP414" i="2"/>
  <c r="AL414" i="2"/>
  <c r="AK414" i="2"/>
  <c r="AJ414" i="2"/>
  <c r="AI414" i="2"/>
  <c r="AH414" i="2"/>
  <c r="AG414" i="2"/>
  <c r="V414" i="2"/>
  <c r="R414" i="2"/>
  <c r="Q414" i="2"/>
  <c r="P414" i="2"/>
  <c r="O414" i="2"/>
  <c r="N414" i="2"/>
  <c r="M414" i="2"/>
  <c r="BF413" i="2"/>
  <c r="BE413" i="2"/>
  <c r="BD413" i="2"/>
  <c r="BC413" i="2"/>
  <c r="BB413" i="2"/>
  <c r="BA413" i="2"/>
  <c r="AZ413" i="2"/>
  <c r="AP413" i="2"/>
  <c r="AL413" i="2"/>
  <c r="AK413" i="2"/>
  <c r="AJ413" i="2"/>
  <c r="AI413" i="2"/>
  <c r="AH413" i="2"/>
  <c r="AG413" i="2"/>
  <c r="V413" i="2"/>
  <c r="R413" i="2"/>
  <c r="Q413" i="2"/>
  <c r="P413" i="2"/>
  <c r="O413" i="2"/>
  <c r="N413" i="2"/>
  <c r="M413" i="2"/>
  <c r="BF412" i="2"/>
  <c r="BE412" i="2"/>
  <c r="BD412" i="2"/>
  <c r="BC412" i="2"/>
  <c r="BB412" i="2"/>
  <c r="BA412" i="2"/>
  <c r="AZ412" i="2"/>
  <c r="AP412" i="2"/>
  <c r="AL412" i="2"/>
  <c r="AK412" i="2"/>
  <c r="AJ412" i="2"/>
  <c r="AI412" i="2"/>
  <c r="AH412" i="2"/>
  <c r="AG412" i="2"/>
  <c r="V412" i="2"/>
  <c r="R412" i="2"/>
  <c r="Q412" i="2"/>
  <c r="P412" i="2"/>
  <c r="O412" i="2"/>
  <c r="N412" i="2"/>
  <c r="M412" i="2"/>
  <c r="BF411" i="2"/>
  <c r="BE411" i="2"/>
  <c r="BD411" i="2"/>
  <c r="BC411" i="2"/>
  <c r="BB411" i="2"/>
  <c r="BA411" i="2"/>
  <c r="AZ411" i="2"/>
  <c r="AP411" i="2"/>
  <c r="AL411" i="2"/>
  <c r="AK411" i="2"/>
  <c r="AJ411" i="2"/>
  <c r="AI411" i="2"/>
  <c r="AH411" i="2"/>
  <c r="AG411" i="2"/>
  <c r="V411" i="2"/>
  <c r="R411" i="2"/>
  <c r="Q411" i="2"/>
  <c r="P411" i="2"/>
  <c r="O411" i="2"/>
  <c r="N411" i="2"/>
  <c r="M411" i="2"/>
  <c r="BF410" i="2"/>
  <c r="BE410" i="2"/>
  <c r="BD410" i="2"/>
  <c r="BC410" i="2"/>
  <c r="BB410" i="2"/>
  <c r="BA410" i="2"/>
  <c r="AZ410" i="2"/>
  <c r="AV410" i="2"/>
  <c r="AU410" i="2"/>
  <c r="AT410" i="2"/>
  <c r="AS410" i="2"/>
  <c r="AR410" i="2"/>
  <c r="AQ410" i="2"/>
  <c r="AP410" i="2"/>
  <c r="AB410" i="2"/>
  <c r="AA410" i="2"/>
  <c r="Z410" i="2"/>
  <c r="Y410" i="2"/>
  <c r="X410" i="2"/>
  <c r="W410" i="2"/>
  <c r="V410" i="2"/>
  <c r="BA409" i="2"/>
  <c r="AQ409" i="2"/>
  <c r="W409" i="2"/>
  <c r="BF406" i="2"/>
  <c r="BE406" i="2"/>
  <c r="BD406" i="2"/>
  <c r="BC406" i="2"/>
  <c r="BB406" i="2"/>
  <c r="BA406" i="2"/>
  <c r="AZ406" i="2"/>
  <c r="AP406" i="2"/>
  <c r="AL406" i="2"/>
  <c r="AK406" i="2"/>
  <c r="AJ406" i="2"/>
  <c r="AI406" i="2"/>
  <c r="AH406" i="2"/>
  <c r="AG406" i="2"/>
  <c r="V406" i="2"/>
  <c r="R406" i="2"/>
  <c r="Q406" i="2"/>
  <c r="P406" i="2"/>
  <c r="O406" i="2"/>
  <c r="N406" i="2"/>
  <c r="M406" i="2"/>
  <c r="BF405" i="2"/>
  <c r="BE405" i="2"/>
  <c r="BD405" i="2"/>
  <c r="BC405" i="2"/>
  <c r="BB405" i="2"/>
  <c r="BA405" i="2"/>
  <c r="AZ405" i="2"/>
  <c r="AP405" i="2"/>
  <c r="AL405" i="2"/>
  <c r="AK405" i="2"/>
  <c r="AJ405" i="2"/>
  <c r="AI405" i="2"/>
  <c r="AH405" i="2"/>
  <c r="AG405" i="2"/>
  <c r="V405" i="2"/>
  <c r="R405" i="2"/>
  <c r="Q405" i="2"/>
  <c r="P405" i="2"/>
  <c r="O405" i="2"/>
  <c r="N405" i="2"/>
  <c r="M405" i="2"/>
  <c r="BF404" i="2"/>
  <c r="BE404" i="2"/>
  <c r="BD404" i="2"/>
  <c r="BC404" i="2"/>
  <c r="AZ404" i="2"/>
  <c r="AP404" i="2"/>
  <c r="AL404" i="2"/>
  <c r="AK404" i="2"/>
  <c r="AJ404" i="2"/>
  <c r="AI404" i="2"/>
  <c r="V404" i="2"/>
  <c r="R404" i="2"/>
  <c r="Q404" i="2"/>
  <c r="P404" i="2"/>
  <c r="O404" i="2"/>
  <c r="C404" i="2"/>
  <c r="BF403" i="2"/>
  <c r="BE403" i="2"/>
  <c r="BD403" i="2"/>
  <c r="BC403" i="2"/>
  <c r="AZ403" i="2"/>
  <c r="AP403" i="2"/>
  <c r="AL403" i="2"/>
  <c r="AK403" i="2"/>
  <c r="AJ403" i="2"/>
  <c r="AI403" i="2"/>
  <c r="W403" i="2"/>
  <c r="V403" i="2"/>
  <c r="R403" i="2"/>
  <c r="Q403" i="2"/>
  <c r="P403" i="2"/>
  <c r="O403" i="2"/>
  <c r="M403" i="2"/>
  <c r="D403" i="2"/>
  <c r="BF402" i="2"/>
  <c r="BE402" i="2"/>
  <c r="BD402" i="2"/>
  <c r="BC402" i="2"/>
  <c r="BB402" i="2"/>
  <c r="BA402" i="2"/>
  <c r="AZ402" i="2"/>
  <c r="AP402" i="2"/>
  <c r="AL402" i="2"/>
  <c r="AK402" i="2"/>
  <c r="AJ402" i="2"/>
  <c r="AI402" i="2"/>
  <c r="AH402" i="2"/>
  <c r="AG402" i="2"/>
  <c r="V402" i="2"/>
  <c r="R402" i="2"/>
  <c r="Q402" i="2"/>
  <c r="P402" i="2"/>
  <c r="O402" i="2"/>
  <c r="N402" i="2"/>
  <c r="M402" i="2"/>
  <c r="BF401" i="2"/>
  <c r="BE401" i="2"/>
  <c r="BD401" i="2"/>
  <c r="BC401" i="2"/>
  <c r="BB401" i="2"/>
  <c r="BA401" i="2"/>
  <c r="AZ401" i="2"/>
  <c r="AP401" i="2"/>
  <c r="AL401" i="2"/>
  <c r="AK401" i="2"/>
  <c r="AJ401" i="2"/>
  <c r="AI401" i="2"/>
  <c r="AH401" i="2"/>
  <c r="AG401" i="2"/>
  <c r="V401" i="2"/>
  <c r="R401" i="2"/>
  <c r="Q401" i="2"/>
  <c r="P401" i="2"/>
  <c r="O401" i="2"/>
  <c r="N401" i="2"/>
  <c r="M401" i="2"/>
  <c r="BF400" i="2"/>
  <c r="BE400" i="2"/>
  <c r="BD400" i="2"/>
  <c r="BC400" i="2"/>
  <c r="AZ400" i="2"/>
  <c r="AP400" i="2"/>
  <c r="AL400" i="2"/>
  <c r="AK400" i="2"/>
  <c r="AJ400" i="2"/>
  <c r="AI400" i="2"/>
  <c r="V400" i="2"/>
  <c r="R400" i="2"/>
  <c r="Q400" i="2"/>
  <c r="P400" i="2"/>
  <c r="O400" i="2"/>
  <c r="BF399" i="2"/>
  <c r="BE399" i="2"/>
  <c r="BD399" i="2"/>
  <c r="BC399" i="2"/>
  <c r="AZ399" i="2"/>
  <c r="AP399" i="2"/>
  <c r="AL399" i="2"/>
  <c r="AK399" i="2"/>
  <c r="AJ399" i="2"/>
  <c r="AI399" i="2"/>
  <c r="W399" i="2"/>
  <c r="V399" i="2"/>
  <c r="R399" i="2"/>
  <c r="Q399" i="2"/>
  <c r="P399" i="2"/>
  <c r="O399" i="2"/>
  <c r="C399" i="2"/>
  <c r="BF398" i="2"/>
  <c r="BE398" i="2"/>
  <c r="BD398" i="2"/>
  <c r="BC398" i="2"/>
  <c r="BB398" i="2"/>
  <c r="BA398" i="2"/>
  <c r="AZ398" i="2"/>
  <c r="AP398" i="2"/>
  <c r="AL398" i="2"/>
  <c r="AK398" i="2"/>
  <c r="AJ398" i="2"/>
  <c r="AI398" i="2"/>
  <c r="AH398" i="2"/>
  <c r="AG398" i="2"/>
  <c r="V398" i="2"/>
  <c r="R398" i="2"/>
  <c r="Q398" i="2"/>
  <c r="P398" i="2"/>
  <c r="O398" i="2"/>
  <c r="N398" i="2"/>
  <c r="M398" i="2"/>
  <c r="BF397" i="2"/>
  <c r="BE397" i="2"/>
  <c r="BD397" i="2"/>
  <c r="BC397" i="2"/>
  <c r="BB397" i="2"/>
  <c r="BA397" i="2"/>
  <c r="AZ397" i="2"/>
  <c r="AP397" i="2"/>
  <c r="AL397" i="2"/>
  <c r="AK397" i="2"/>
  <c r="AJ397" i="2"/>
  <c r="AI397" i="2"/>
  <c r="AH397" i="2"/>
  <c r="AG397" i="2"/>
  <c r="V397" i="2"/>
  <c r="R397" i="2"/>
  <c r="Q397" i="2"/>
  <c r="P397" i="2"/>
  <c r="O397" i="2"/>
  <c r="N397" i="2"/>
  <c r="M397" i="2"/>
  <c r="BF396" i="2"/>
  <c r="BE396" i="2"/>
  <c r="BD396" i="2"/>
  <c r="BC396" i="2"/>
  <c r="AZ396" i="2"/>
  <c r="AP396" i="2"/>
  <c r="AL396" i="2"/>
  <c r="AK396" i="2"/>
  <c r="AJ396" i="2"/>
  <c r="AI396" i="2"/>
  <c r="V396" i="2"/>
  <c r="R396" i="2"/>
  <c r="Q396" i="2"/>
  <c r="P396" i="2"/>
  <c r="O396" i="2"/>
  <c r="BF395" i="2"/>
  <c r="BE395" i="2"/>
  <c r="BD395" i="2"/>
  <c r="BC395" i="2"/>
  <c r="AZ395" i="2"/>
  <c r="AP395" i="2"/>
  <c r="AL395" i="2"/>
  <c r="AK395" i="2"/>
  <c r="AJ395" i="2"/>
  <c r="AI395" i="2"/>
  <c r="V395" i="2"/>
  <c r="R395" i="2"/>
  <c r="Q395" i="2"/>
  <c r="P395" i="2"/>
  <c r="O395" i="2"/>
  <c r="C395" i="2"/>
  <c r="BF394" i="2"/>
  <c r="BE394" i="2"/>
  <c r="BD394" i="2"/>
  <c r="BC394" i="2"/>
  <c r="BB394" i="2"/>
  <c r="BA394" i="2"/>
  <c r="AZ394" i="2"/>
  <c r="AV394" i="2"/>
  <c r="AU394" i="2"/>
  <c r="AT394" i="2"/>
  <c r="AS394" i="2"/>
  <c r="AR394" i="2"/>
  <c r="AQ394" i="2"/>
  <c r="AP394" i="2"/>
  <c r="AB394" i="2"/>
  <c r="AA394" i="2"/>
  <c r="Z394" i="2"/>
  <c r="Y394" i="2"/>
  <c r="X394" i="2"/>
  <c r="W394" i="2"/>
  <c r="V394" i="2"/>
  <c r="BA393" i="2"/>
  <c r="AQ393" i="2"/>
  <c r="W393" i="2"/>
  <c r="AZ387" i="2"/>
  <c r="AP387" i="2"/>
  <c r="V387" i="2"/>
  <c r="AZ386" i="2"/>
  <c r="AP386" i="2"/>
  <c r="V386" i="2"/>
  <c r="AZ385" i="2"/>
  <c r="AP385" i="2"/>
  <c r="V385" i="2"/>
  <c r="AZ384" i="2"/>
  <c r="AP384" i="2"/>
  <c r="V384" i="2"/>
  <c r="AZ383" i="2"/>
  <c r="AP383" i="2"/>
  <c r="V383" i="2"/>
  <c r="AZ382" i="2"/>
  <c r="AP382" i="2"/>
  <c r="V382" i="2"/>
  <c r="AZ381" i="2"/>
  <c r="AP381" i="2"/>
  <c r="V381" i="2"/>
  <c r="AZ380" i="2"/>
  <c r="AP380" i="2"/>
  <c r="V380" i="2"/>
  <c r="AZ379" i="2"/>
  <c r="AP379" i="2"/>
  <c r="V379" i="2"/>
  <c r="AZ378" i="2"/>
  <c r="AP378" i="2"/>
  <c r="V378" i="2"/>
  <c r="AZ377" i="2"/>
  <c r="AP377" i="2"/>
  <c r="V377" i="2"/>
  <c r="AZ376" i="2"/>
  <c r="AP376" i="2"/>
  <c r="V376" i="2"/>
  <c r="BF375" i="2"/>
  <c r="BE375" i="2"/>
  <c r="BD375" i="2"/>
  <c r="BC375" i="2"/>
  <c r="BB375" i="2"/>
  <c r="BA375" i="2"/>
  <c r="AZ375" i="2"/>
  <c r="AV375" i="2"/>
  <c r="AU375" i="2"/>
  <c r="AT375" i="2"/>
  <c r="AS375" i="2"/>
  <c r="AR375" i="2"/>
  <c r="AQ375" i="2"/>
  <c r="AP375" i="2"/>
  <c r="AB375" i="2"/>
  <c r="AA375" i="2"/>
  <c r="Z375" i="2"/>
  <c r="Y375" i="2"/>
  <c r="X375" i="2"/>
  <c r="W375" i="2"/>
  <c r="V375" i="2"/>
  <c r="BA374" i="2"/>
  <c r="AQ374" i="2"/>
  <c r="W374" i="2"/>
  <c r="AZ371" i="2"/>
  <c r="AP371" i="2"/>
  <c r="V371" i="2"/>
  <c r="AZ370" i="2"/>
  <c r="AP370" i="2"/>
  <c r="V370" i="2"/>
  <c r="AZ369" i="2"/>
  <c r="AP369" i="2"/>
  <c r="V369" i="2"/>
  <c r="C369" i="2"/>
  <c r="AZ368" i="2"/>
  <c r="AP368" i="2"/>
  <c r="W368" i="2"/>
  <c r="V368" i="2"/>
  <c r="D368" i="2"/>
  <c r="AZ367" i="2"/>
  <c r="AP367" i="2"/>
  <c r="V367" i="2"/>
  <c r="AZ366" i="2"/>
  <c r="AP366" i="2"/>
  <c r="V366" i="2"/>
  <c r="AZ365" i="2"/>
  <c r="AP365" i="2"/>
  <c r="V365" i="2"/>
  <c r="AZ364" i="2"/>
  <c r="AP364" i="2"/>
  <c r="W364" i="2"/>
  <c r="V364" i="2"/>
  <c r="C364" i="2"/>
  <c r="AZ363" i="2"/>
  <c r="AP363" i="2"/>
  <c r="V363" i="2"/>
  <c r="AZ362" i="2"/>
  <c r="AP362" i="2"/>
  <c r="V362" i="2"/>
  <c r="AZ361" i="2"/>
  <c r="AP361" i="2"/>
  <c r="V361" i="2"/>
  <c r="AZ360" i="2"/>
  <c r="AP360" i="2"/>
  <c r="W360" i="2"/>
  <c r="V360" i="2"/>
  <c r="C360" i="2"/>
  <c r="BF359" i="2"/>
  <c r="BE359" i="2"/>
  <c r="BD359" i="2"/>
  <c r="BC359" i="2"/>
  <c r="BB359" i="2"/>
  <c r="BA359" i="2"/>
  <c r="AZ359" i="2"/>
  <c r="AV359" i="2"/>
  <c r="AU359" i="2"/>
  <c r="AT359" i="2"/>
  <c r="AS359" i="2"/>
  <c r="AR359" i="2"/>
  <c r="AQ359" i="2"/>
  <c r="AP359" i="2"/>
  <c r="AB359" i="2"/>
  <c r="AA359" i="2"/>
  <c r="Z359" i="2"/>
  <c r="Y359" i="2"/>
  <c r="X359" i="2"/>
  <c r="W359" i="2"/>
  <c r="V359" i="2"/>
  <c r="BA358" i="2"/>
  <c r="AQ358" i="2"/>
  <c r="W358" i="2"/>
  <c r="AZ355" i="2"/>
  <c r="AP355" i="2"/>
  <c r="V355" i="2"/>
  <c r="AZ354" i="2"/>
  <c r="AP354" i="2"/>
  <c r="V354" i="2"/>
  <c r="AZ353" i="2"/>
  <c r="AP353" i="2"/>
  <c r="V353" i="2"/>
  <c r="C353" i="2"/>
  <c r="AZ352" i="2"/>
  <c r="AP352" i="2"/>
  <c r="W352" i="2"/>
  <c r="V352" i="2"/>
  <c r="D352" i="2"/>
  <c r="AZ351" i="2"/>
  <c r="AP351" i="2"/>
  <c r="V351" i="2"/>
  <c r="AZ350" i="2"/>
  <c r="AP350" i="2"/>
  <c r="V350" i="2"/>
  <c r="AZ349" i="2"/>
  <c r="AP349" i="2"/>
  <c r="V349" i="2"/>
  <c r="AZ348" i="2"/>
  <c r="AP348" i="2"/>
  <c r="W348" i="2"/>
  <c r="V348" i="2"/>
  <c r="C348" i="2"/>
  <c r="AZ347" i="2"/>
  <c r="AP347" i="2"/>
  <c r="V347" i="2"/>
  <c r="AZ346" i="2"/>
  <c r="AP346" i="2"/>
  <c r="V346" i="2"/>
  <c r="AZ345" i="2"/>
  <c r="AP345" i="2"/>
  <c r="V345" i="2"/>
  <c r="AZ344" i="2"/>
  <c r="AP344" i="2"/>
  <c r="W344" i="2"/>
  <c r="V344" i="2"/>
  <c r="C344" i="2"/>
  <c r="BF343" i="2"/>
  <c r="BE343" i="2"/>
  <c r="BD343" i="2"/>
  <c r="BC343" i="2"/>
  <c r="BB343" i="2"/>
  <c r="BA343" i="2"/>
  <c r="AZ343" i="2"/>
  <c r="AV343" i="2"/>
  <c r="AU343" i="2"/>
  <c r="AT343" i="2"/>
  <c r="AS343" i="2"/>
  <c r="AR343" i="2"/>
  <c r="AQ343" i="2"/>
  <c r="AP343" i="2"/>
  <c r="AB343" i="2"/>
  <c r="AA343" i="2"/>
  <c r="Z343" i="2"/>
  <c r="Y343" i="2"/>
  <c r="X343" i="2"/>
  <c r="W343" i="2"/>
  <c r="V343" i="2"/>
  <c r="BA342" i="2"/>
  <c r="AQ342" i="2"/>
  <c r="W342" i="2"/>
  <c r="AZ333" i="2"/>
  <c r="AP333" i="2"/>
  <c r="AF333" i="2"/>
  <c r="BA332" i="2"/>
  <c r="AZ332" i="2"/>
  <c r="AQ332" i="2"/>
  <c r="AP332" i="2"/>
  <c r="AG332" i="2"/>
  <c r="AF332" i="2"/>
  <c r="W332" i="2"/>
  <c r="M332" i="2"/>
  <c r="C332" i="2"/>
  <c r="BA331" i="2"/>
  <c r="AZ331" i="2"/>
  <c r="AQ331" i="2"/>
  <c r="AP331" i="2"/>
  <c r="AG331" i="2"/>
  <c r="AF331" i="2"/>
  <c r="W331" i="2"/>
  <c r="M331" i="2"/>
  <c r="C331" i="2"/>
  <c r="AZ330" i="2"/>
  <c r="AP330" i="2"/>
  <c r="AF330" i="2"/>
  <c r="AZ329" i="2"/>
  <c r="AP329" i="2"/>
  <c r="AF329" i="2"/>
  <c r="AZ328" i="2"/>
  <c r="AP328" i="2"/>
  <c r="V328" i="2"/>
  <c r="AZ327" i="2"/>
  <c r="AP327" i="2"/>
  <c r="V327" i="2"/>
  <c r="AZ326" i="2"/>
  <c r="AQ326" i="2"/>
  <c r="AP326" i="2"/>
  <c r="W326" i="2"/>
  <c r="V326" i="2"/>
  <c r="C326" i="2"/>
  <c r="AZ325" i="2"/>
  <c r="AP325" i="2"/>
  <c r="AF325" i="2"/>
  <c r="AZ324" i="2"/>
  <c r="AP324" i="2"/>
  <c r="V324" i="2"/>
  <c r="AZ323" i="2"/>
  <c r="AP323" i="2"/>
  <c r="V323" i="2"/>
  <c r="AZ322" i="2"/>
  <c r="AQ322" i="2"/>
  <c r="AP322" i="2"/>
  <c r="W322" i="2"/>
  <c r="V322" i="2"/>
  <c r="C322" i="2"/>
  <c r="AZ321" i="2"/>
  <c r="AP321" i="2"/>
  <c r="V321" i="2"/>
  <c r="AZ320" i="2"/>
  <c r="AP320" i="2"/>
  <c r="V320" i="2"/>
  <c r="AZ319" i="2"/>
  <c r="AP319" i="2"/>
  <c r="AF319" i="2"/>
  <c r="V319" i="2"/>
  <c r="AZ318" i="2"/>
  <c r="AP318" i="2"/>
  <c r="V318" i="2"/>
  <c r="BF317" i="2"/>
  <c r="BE317" i="2"/>
  <c r="BD317" i="2"/>
  <c r="BC317" i="2"/>
  <c r="BB317" i="2"/>
  <c r="BA317" i="2"/>
  <c r="AZ317" i="2"/>
  <c r="AV317" i="2"/>
  <c r="AU317" i="2"/>
  <c r="AT317" i="2"/>
  <c r="AS317" i="2"/>
  <c r="AR317" i="2"/>
  <c r="AQ317" i="2"/>
  <c r="AP317" i="2"/>
  <c r="AB317" i="2"/>
  <c r="AA317" i="2"/>
  <c r="Z317" i="2"/>
  <c r="Y317" i="2"/>
  <c r="X317" i="2"/>
  <c r="W317" i="2"/>
  <c r="V317" i="2"/>
  <c r="BA316" i="2"/>
  <c r="AQ316" i="2"/>
  <c r="W316" i="2"/>
  <c r="AZ313" i="2"/>
  <c r="AP313" i="2"/>
  <c r="AF313" i="2"/>
  <c r="BA312" i="2"/>
  <c r="AZ312" i="2"/>
  <c r="AQ312" i="2"/>
  <c r="AP312" i="2"/>
  <c r="AG312" i="2"/>
  <c r="AF312" i="2"/>
  <c r="W312" i="2"/>
  <c r="M312" i="2"/>
  <c r="C312" i="2"/>
  <c r="BA311" i="2"/>
  <c r="AZ311" i="2"/>
  <c r="AQ311" i="2"/>
  <c r="AP311" i="2"/>
  <c r="AG311" i="2"/>
  <c r="AF311" i="2"/>
  <c r="W311" i="2"/>
  <c r="M311" i="2"/>
  <c r="C311" i="2"/>
  <c r="AZ310" i="2"/>
  <c r="AR310" i="2"/>
  <c r="AP310" i="2"/>
  <c r="AF310" i="2"/>
  <c r="X310" i="2"/>
  <c r="D310" i="2"/>
  <c r="AZ309" i="2"/>
  <c r="AP309" i="2"/>
  <c r="V309" i="2"/>
  <c r="AZ308" i="2"/>
  <c r="AP308" i="2"/>
  <c r="V308" i="2"/>
  <c r="AZ307" i="2"/>
  <c r="AP307" i="2"/>
  <c r="V307" i="2"/>
  <c r="BA306" i="2"/>
  <c r="AZ306" i="2"/>
  <c r="AQ306" i="2"/>
  <c r="AP306" i="2"/>
  <c r="AG306" i="2"/>
  <c r="W306" i="2"/>
  <c r="V306" i="2"/>
  <c r="M306" i="2"/>
  <c r="C306" i="2"/>
  <c r="AZ305" i="2"/>
  <c r="AP305" i="2"/>
  <c r="V305" i="2"/>
  <c r="AZ304" i="2"/>
  <c r="AP304" i="2"/>
  <c r="V304" i="2"/>
  <c r="AZ303" i="2"/>
  <c r="AP303" i="2"/>
  <c r="V303" i="2"/>
  <c r="AZ302" i="2"/>
  <c r="AQ302" i="2"/>
  <c r="AP302" i="2"/>
  <c r="W302" i="2"/>
  <c r="V302" i="2"/>
  <c r="C302" i="2"/>
  <c r="AZ301" i="2"/>
  <c r="AP301" i="2"/>
  <c r="V301" i="2"/>
  <c r="AZ300" i="2"/>
  <c r="AP300" i="2"/>
  <c r="V300" i="2"/>
  <c r="AZ299" i="2"/>
  <c r="AP299" i="2"/>
  <c r="V299" i="2"/>
  <c r="AZ298" i="2"/>
  <c r="AQ298" i="2"/>
  <c r="AP298" i="2"/>
  <c r="W298" i="2"/>
  <c r="V298" i="2"/>
  <c r="C298" i="2"/>
  <c r="BF297" i="2"/>
  <c r="BE297" i="2"/>
  <c r="BD297" i="2"/>
  <c r="BC297" i="2"/>
  <c r="BB297" i="2"/>
  <c r="BA297" i="2"/>
  <c r="AZ297" i="2"/>
  <c r="AV297" i="2"/>
  <c r="AU297" i="2"/>
  <c r="AT297" i="2"/>
  <c r="AS297" i="2"/>
  <c r="AR297" i="2"/>
  <c r="AQ297" i="2"/>
  <c r="AP297" i="2"/>
  <c r="AB297" i="2"/>
  <c r="AA297" i="2"/>
  <c r="Z297" i="2"/>
  <c r="Y297" i="2"/>
  <c r="X297" i="2"/>
  <c r="W297" i="2"/>
  <c r="V297" i="2"/>
  <c r="BA296" i="2"/>
  <c r="AQ296" i="2"/>
  <c r="W296" i="2"/>
  <c r="AZ293" i="2"/>
  <c r="AP293" i="2"/>
  <c r="BA292" i="2"/>
  <c r="AZ292" i="2"/>
  <c r="AQ292" i="2"/>
  <c r="AP292" i="2"/>
  <c r="AG292" i="2"/>
  <c r="AF292" i="2"/>
  <c r="W292" i="2"/>
  <c r="M292" i="2"/>
  <c r="C292" i="2"/>
  <c r="BA291" i="2"/>
  <c r="AZ291" i="2"/>
  <c r="AQ291" i="2"/>
  <c r="AP291" i="2"/>
  <c r="AG291" i="2"/>
  <c r="AF291" i="2"/>
  <c r="W291" i="2"/>
  <c r="M291" i="2"/>
  <c r="C291" i="2"/>
  <c r="AZ290" i="2"/>
  <c r="AR290" i="2"/>
  <c r="AP290" i="2"/>
  <c r="AF290" i="2"/>
  <c r="X290" i="2"/>
  <c r="D290" i="2"/>
  <c r="AZ289" i="2"/>
  <c r="AP289" i="2"/>
  <c r="AF289" i="2"/>
  <c r="BA288" i="2"/>
  <c r="AZ288" i="2"/>
  <c r="AQ288" i="2"/>
  <c r="AP288" i="2"/>
  <c r="AG288" i="2"/>
  <c r="W288" i="2"/>
  <c r="V288" i="2"/>
  <c r="M288" i="2"/>
  <c r="C288" i="2"/>
  <c r="BA287" i="2"/>
  <c r="AZ287" i="2"/>
  <c r="AP287" i="2"/>
  <c r="V287" i="2"/>
  <c r="BA286" i="2"/>
  <c r="AZ286" i="2"/>
  <c r="AQ286" i="2"/>
  <c r="AP286" i="2"/>
  <c r="AG286" i="2"/>
  <c r="W286" i="2"/>
  <c r="V286" i="2"/>
  <c r="M286" i="2"/>
  <c r="C286" i="2"/>
  <c r="AZ285" i="2"/>
  <c r="AP285" i="2"/>
  <c r="V285" i="2"/>
  <c r="AZ284" i="2"/>
  <c r="AP284" i="2"/>
  <c r="V284" i="2"/>
  <c r="AZ283" i="2"/>
  <c r="AP283" i="2"/>
  <c r="V283" i="2"/>
  <c r="BA282" i="2"/>
  <c r="AZ282" i="2"/>
  <c r="AQ282" i="2"/>
  <c r="AP282" i="2"/>
  <c r="AG282" i="2"/>
  <c r="W282" i="2"/>
  <c r="V282" i="2"/>
  <c r="M282" i="2"/>
  <c r="C282" i="2"/>
  <c r="AZ281" i="2"/>
  <c r="AP281" i="2"/>
  <c r="V281" i="2"/>
  <c r="AZ280" i="2"/>
  <c r="AP280" i="2"/>
  <c r="V280" i="2"/>
  <c r="AZ279" i="2"/>
  <c r="AP279" i="2"/>
  <c r="V279" i="2"/>
  <c r="AZ278" i="2"/>
  <c r="AQ278" i="2"/>
  <c r="AP278" i="2"/>
  <c r="W278" i="2"/>
  <c r="V278" i="2"/>
  <c r="C278" i="2"/>
  <c r="BF277" i="2"/>
  <c r="BE277" i="2"/>
  <c r="BD277" i="2"/>
  <c r="BC277" i="2"/>
  <c r="BB277" i="2"/>
  <c r="BA277" i="2"/>
  <c r="AZ277" i="2"/>
  <c r="AV277" i="2"/>
  <c r="AU277" i="2"/>
  <c r="AT277" i="2"/>
  <c r="AS277" i="2"/>
  <c r="AR277" i="2"/>
  <c r="AQ277" i="2"/>
  <c r="AP277" i="2"/>
  <c r="AB277" i="2"/>
  <c r="AA277" i="2"/>
  <c r="Z277" i="2"/>
  <c r="Y277" i="2"/>
  <c r="X277" i="2"/>
  <c r="W277" i="2"/>
  <c r="V277" i="2"/>
  <c r="BA276" i="2"/>
  <c r="AQ276" i="2"/>
  <c r="W276" i="2"/>
  <c r="BF270" i="2"/>
  <c r="BE270" i="2"/>
  <c r="BD270" i="2"/>
  <c r="BC270" i="2"/>
  <c r="BB270" i="2"/>
  <c r="BA270" i="2"/>
  <c r="AZ270" i="2"/>
  <c r="AP270" i="2"/>
  <c r="AL270" i="2"/>
  <c r="AK270" i="2"/>
  <c r="AJ270" i="2"/>
  <c r="AI270" i="2"/>
  <c r="AH270" i="2"/>
  <c r="AG270" i="2"/>
  <c r="V270" i="2"/>
  <c r="R270" i="2"/>
  <c r="Q270" i="2"/>
  <c r="P270" i="2"/>
  <c r="O270" i="2"/>
  <c r="N270" i="2"/>
  <c r="M270" i="2"/>
  <c r="BF269" i="2"/>
  <c r="BE269" i="2"/>
  <c r="BD269" i="2"/>
  <c r="BC269" i="2"/>
  <c r="AZ269" i="2"/>
  <c r="AP269" i="2"/>
  <c r="AL269" i="2"/>
  <c r="AK269" i="2"/>
  <c r="AJ269" i="2"/>
  <c r="AI269" i="2"/>
  <c r="V269" i="2"/>
  <c r="R269" i="2"/>
  <c r="Q269" i="2"/>
  <c r="P269" i="2"/>
  <c r="O269" i="2"/>
  <c r="C269" i="2"/>
  <c r="BF268" i="2"/>
  <c r="BE268" i="2"/>
  <c r="BD268" i="2"/>
  <c r="BC268" i="2"/>
  <c r="AZ268" i="2"/>
  <c r="AP268" i="2"/>
  <c r="AL268" i="2"/>
  <c r="AK268" i="2"/>
  <c r="AJ268" i="2"/>
  <c r="AI268" i="2"/>
  <c r="V268" i="2"/>
  <c r="R268" i="2"/>
  <c r="Q268" i="2"/>
  <c r="P268" i="2"/>
  <c r="O268" i="2"/>
  <c r="C268" i="2"/>
  <c r="BF267" i="2"/>
  <c r="BE267" i="2"/>
  <c r="BD267" i="2"/>
  <c r="BC267" i="2"/>
  <c r="AZ267" i="2"/>
  <c r="AP267" i="2"/>
  <c r="AL267" i="2"/>
  <c r="AK267" i="2"/>
  <c r="AJ267" i="2"/>
  <c r="AI267" i="2"/>
  <c r="W267" i="2"/>
  <c r="V267" i="2"/>
  <c r="R267" i="2"/>
  <c r="Q267" i="2"/>
  <c r="P267" i="2"/>
  <c r="O267" i="2"/>
  <c r="M267" i="2"/>
  <c r="D267" i="2"/>
  <c r="BF266" i="2"/>
  <c r="BE266" i="2"/>
  <c r="BD266" i="2"/>
  <c r="BC266" i="2"/>
  <c r="BB266" i="2"/>
  <c r="BA266" i="2"/>
  <c r="AZ266" i="2"/>
  <c r="AP266" i="2"/>
  <c r="AL266" i="2"/>
  <c r="AK266" i="2"/>
  <c r="AJ266" i="2"/>
  <c r="AI266" i="2"/>
  <c r="AH266" i="2"/>
  <c r="AG266" i="2"/>
  <c r="V266" i="2"/>
  <c r="R266" i="2"/>
  <c r="Q266" i="2"/>
  <c r="P266" i="2"/>
  <c r="O266" i="2"/>
  <c r="N266" i="2"/>
  <c r="M266" i="2"/>
  <c r="BF265" i="2"/>
  <c r="BE265" i="2"/>
  <c r="BD265" i="2"/>
  <c r="BC265" i="2"/>
  <c r="BB265" i="2"/>
  <c r="BA265" i="2"/>
  <c r="AZ265" i="2"/>
  <c r="AP265" i="2"/>
  <c r="AL265" i="2"/>
  <c r="AK265" i="2"/>
  <c r="AJ265" i="2"/>
  <c r="AI265" i="2"/>
  <c r="AH265" i="2"/>
  <c r="AG265" i="2"/>
  <c r="V265" i="2"/>
  <c r="R265" i="2"/>
  <c r="Q265" i="2"/>
  <c r="P265" i="2"/>
  <c r="O265" i="2"/>
  <c r="N265" i="2"/>
  <c r="M265" i="2"/>
  <c r="BF264" i="2"/>
  <c r="BE264" i="2"/>
  <c r="BD264" i="2"/>
  <c r="BC264" i="2"/>
  <c r="BB264" i="2"/>
  <c r="BA264" i="2"/>
  <c r="AZ264" i="2"/>
  <c r="AP264" i="2"/>
  <c r="AL264" i="2"/>
  <c r="AK264" i="2"/>
  <c r="AJ264" i="2"/>
  <c r="AI264" i="2"/>
  <c r="AH264" i="2"/>
  <c r="AG264" i="2"/>
  <c r="V264" i="2"/>
  <c r="R264" i="2"/>
  <c r="Q264" i="2"/>
  <c r="P264" i="2"/>
  <c r="O264" i="2"/>
  <c r="N264" i="2"/>
  <c r="M264" i="2"/>
  <c r="BF263" i="2"/>
  <c r="BE263" i="2"/>
  <c r="BD263" i="2"/>
  <c r="BC263" i="2"/>
  <c r="BB263" i="2"/>
  <c r="BA263" i="2"/>
  <c r="AZ263" i="2"/>
  <c r="AP263" i="2"/>
  <c r="AL263" i="2"/>
  <c r="AK263" i="2"/>
  <c r="AJ263" i="2"/>
  <c r="AI263" i="2"/>
  <c r="AH263" i="2"/>
  <c r="AG263" i="2"/>
  <c r="V263" i="2"/>
  <c r="R263" i="2"/>
  <c r="Q263" i="2"/>
  <c r="P263" i="2"/>
  <c r="O263" i="2"/>
  <c r="N263" i="2"/>
  <c r="M263" i="2"/>
  <c r="BF262" i="2"/>
  <c r="BE262" i="2"/>
  <c r="BD262" i="2"/>
  <c r="BC262" i="2"/>
  <c r="BB262" i="2"/>
  <c r="BA262" i="2"/>
  <c r="AZ262" i="2"/>
  <c r="AP262" i="2"/>
  <c r="AL262" i="2"/>
  <c r="AK262" i="2"/>
  <c r="AJ262" i="2"/>
  <c r="AI262" i="2"/>
  <c r="AH262" i="2"/>
  <c r="AG262" i="2"/>
  <c r="V262" i="2"/>
  <c r="R262" i="2"/>
  <c r="Q262" i="2"/>
  <c r="P262" i="2"/>
  <c r="O262" i="2"/>
  <c r="N262" i="2"/>
  <c r="M262" i="2"/>
  <c r="BF261" i="2"/>
  <c r="BE261" i="2"/>
  <c r="BD261" i="2"/>
  <c r="BC261" i="2"/>
  <c r="BB261" i="2"/>
  <c r="BA261" i="2"/>
  <c r="AZ261" i="2"/>
  <c r="AP261" i="2"/>
  <c r="AL261" i="2"/>
  <c r="AK261" i="2"/>
  <c r="AJ261" i="2"/>
  <c r="AI261" i="2"/>
  <c r="AH261" i="2"/>
  <c r="AG261" i="2"/>
  <c r="V261" i="2"/>
  <c r="R261" i="2"/>
  <c r="Q261" i="2"/>
  <c r="P261" i="2"/>
  <c r="O261" i="2"/>
  <c r="N261" i="2"/>
  <c r="M261" i="2"/>
  <c r="BF260" i="2"/>
  <c r="BE260" i="2"/>
  <c r="BD260" i="2"/>
  <c r="BC260" i="2"/>
  <c r="BB260" i="2"/>
  <c r="BA260" i="2"/>
  <c r="AZ260" i="2"/>
  <c r="AP260" i="2"/>
  <c r="AL260" i="2"/>
  <c r="AK260" i="2"/>
  <c r="AJ260" i="2"/>
  <c r="AI260" i="2"/>
  <c r="AH260" i="2"/>
  <c r="AG260" i="2"/>
  <c r="V260" i="2"/>
  <c r="R260" i="2"/>
  <c r="Q260" i="2"/>
  <c r="P260" i="2"/>
  <c r="O260" i="2"/>
  <c r="N260" i="2"/>
  <c r="M260" i="2"/>
  <c r="BF259" i="2"/>
  <c r="BE259" i="2"/>
  <c r="BD259" i="2"/>
  <c r="BC259" i="2"/>
  <c r="BB259" i="2"/>
  <c r="BA259" i="2"/>
  <c r="AZ259" i="2"/>
  <c r="AP259" i="2"/>
  <c r="AL259" i="2"/>
  <c r="AK259" i="2"/>
  <c r="AJ259" i="2"/>
  <c r="AI259" i="2"/>
  <c r="AH259" i="2"/>
  <c r="AG259" i="2"/>
  <c r="V259" i="2"/>
  <c r="R259" i="2"/>
  <c r="Q259" i="2"/>
  <c r="P259" i="2"/>
  <c r="O259" i="2"/>
  <c r="N259" i="2"/>
  <c r="M259" i="2"/>
  <c r="BF258" i="2"/>
  <c r="BE258" i="2"/>
  <c r="BD258" i="2"/>
  <c r="BC258" i="2"/>
  <c r="BB258" i="2"/>
  <c r="BA258" i="2"/>
  <c r="AZ258" i="2"/>
  <c r="AV258" i="2"/>
  <c r="AU258" i="2"/>
  <c r="AT258" i="2"/>
  <c r="AS258" i="2"/>
  <c r="AR258" i="2"/>
  <c r="AQ258" i="2"/>
  <c r="AP258" i="2"/>
  <c r="AB258" i="2"/>
  <c r="AA258" i="2"/>
  <c r="Z258" i="2"/>
  <c r="Y258" i="2"/>
  <c r="X258" i="2"/>
  <c r="W258" i="2"/>
  <c r="V258" i="2"/>
  <c r="BA257" i="2"/>
  <c r="AQ257" i="2"/>
  <c r="W257" i="2"/>
  <c r="BF254" i="2"/>
  <c r="BE254" i="2"/>
  <c r="BD254" i="2"/>
  <c r="BC254" i="2"/>
  <c r="BB254" i="2"/>
  <c r="BA254" i="2"/>
  <c r="AZ254" i="2"/>
  <c r="AP254" i="2"/>
  <c r="AL254" i="2"/>
  <c r="AK254" i="2"/>
  <c r="AJ254" i="2"/>
  <c r="AI254" i="2"/>
  <c r="AH254" i="2"/>
  <c r="AG254" i="2"/>
  <c r="V254" i="2"/>
  <c r="R254" i="2"/>
  <c r="Q254" i="2"/>
  <c r="P254" i="2"/>
  <c r="O254" i="2"/>
  <c r="N254" i="2"/>
  <c r="M254" i="2"/>
  <c r="BF253" i="2"/>
  <c r="BE253" i="2"/>
  <c r="BD253" i="2"/>
  <c r="AZ253" i="2"/>
  <c r="AP253" i="2"/>
  <c r="AL253" i="2"/>
  <c r="AK253" i="2"/>
  <c r="AJ253" i="2"/>
  <c r="V253" i="2"/>
  <c r="R253" i="2"/>
  <c r="Q253" i="2"/>
  <c r="P253" i="2"/>
  <c r="C253" i="2"/>
  <c r="BF252" i="2"/>
  <c r="BE252" i="2"/>
  <c r="BD252" i="2"/>
  <c r="AZ252" i="2"/>
  <c r="AP252" i="2"/>
  <c r="AL252" i="2"/>
  <c r="AK252" i="2"/>
  <c r="AJ252" i="2"/>
  <c r="V252" i="2"/>
  <c r="R252" i="2"/>
  <c r="Q252" i="2"/>
  <c r="P252" i="2"/>
  <c r="C252" i="2"/>
  <c r="BF251" i="2"/>
  <c r="BE251" i="2"/>
  <c r="BD251" i="2"/>
  <c r="AZ251" i="2"/>
  <c r="AP251" i="2"/>
  <c r="AL251" i="2"/>
  <c r="AK251" i="2"/>
  <c r="AJ251" i="2"/>
  <c r="W251" i="2"/>
  <c r="V251" i="2"/>
  <c r="R251" i="2"/>
  <c r="Q251" i="2"/>
  <c r="P251" i="2"/>
  <c r="M251" i="2"/>
  <c r="D251" i="2"/>
  <c r="BF250" i="2"/>
  <c r="BE250" i="2"/>
  <c r="BD250" i="2"/>
  <c r="BC250" i="2"/>
  <c r="BB250" i="2"/>
  <c r="BA250" i="2"/>
  <c r="AZ250" i="2"/>
  <c r="AP250" i="2"/>
  <c r="AL250" i="2"/>
  <c r="AK250" i="2"/>
  <c r="AJ250" i="2"/>
  <c r="AI250" i="2"/>
  <c r="AH250" i="2"/>
  <c r="AG250" i="2"/>
  <c r="V250" i="2"/>
  <c r="R250" i="2"/>
  <c r="Q250" i="2"/>
  <c r="P250" i="2"/>
  <c r="O250" i="2"/>
  <c r="N250" i="2"/>
  <c r="M250" i="2"/>
  <c r="BF249" i="2"/>
  <c r="BE249" i="2"/>
  <c r="BD249" i="2"/>
  <c r="AZ249" i="2"/>
  <c r="AP249" i="2"/>
  <c r="AL249" i="2"/>
  <c r="AK249" i="2"/>
  <c r="AJ249" i="2"/>
  <c r="V249" i="2"/>
  <c r="R249" i="2"/>
  <c r="Q249" i="2"/>
  <c r="P249" i="2"/>
  <c r="BF248" i="2"/>
  <c r="BE248" i="2"/>
  <c r="BD248" i="2"/>
  <c r="AZ248" i="2"/>
  <c r="AP248" i="2"/>
  <c r="AL248" i="2"/>
  <c r="AK248" i="2"/>
  <c r="AJ248" i="2"/>
  <c r="V248" i="2"/>
  <c r="R248" i="2"/>
  <c r="Q248" i="2"/>
  <c r="P248" i="2"/>
  <c r="BF247" i="2"/>
  <c r="BE247" i="2"/>
  <c r="BD247" i="2"/>
  <c r="AZ247" i="2"/>
  <c r="AP247" i="2"/>
  <c r="AL247" i="2"/>
  <c r="AK247" i="2"/>
  <c r="AJ247" i="2"/>
  <c r="W247" i="2"/>
  <c r="V247" i="2"/>
  <c r="R247" i="2"/>
  <c r="Q247" i="2"/>
  <c r="P247" i="2"/>
  <c r="C247" i="2"/>
  <c r="BF246" i="2"/>
  <c r="BE246" i="2"/>
  <c r="BD246" i="2"/>
  <c r="BC246" i="2"/>
  <c r="BB246" i="2"/>
  <c r="BA246" i="2"/>
  <c r="AZ246" i="2"/>
  <c r="AP246" i="2"/>
  <c r="AL246" i="2"/>
  <c r="AK246" i="2"/>
  <c r="AJ246" i="2"/>
  <c r="AI246" i="2"/>
  <c r="AH246" i="2"/>
  <c r="AG246" i="2"/>
  <c r="V246" i="2"/>
  <c r="R246" i="2"/>
  <c r="Q246" i="2"/>
  <c r="P246" i="2"/>
  <c r="O246" i="2"/>
  <c r="N246" i="2"/>
  <c r="M246" i="2"/>
  <c r="BF245" i="2"/>
  <c r="BE245" i="2"/>
  <c r="BD245" i="2"/>
  <c r="BC245" i="2"/>
  <c r="BB245" i="2"/>
  <c r="BA245" i="2"/>
  <c r="AZ245" i="2"/>
  <c r="AP245" i="2"/>
  <c r="AL245" i="2"/>
  <c r="AK245" i="2"/>
  <c r="AJ245" i="2"/>
  <c r="AI245" i="2"/>
  <c r="AH245" i="2"/>
  <c r="AG245" i="2"/>
  <c r="V245" i="2"/>
  <c r="R245" i="2"/>
  <c r="Q245" i="2"/>
  <c r="P245" i="2"/>
  <c r="O245" i="2"/>
  <c r="N245" i="2"/>
  <c r="M245" i="2"/>
  <c r="BF244" i="2"/>
  <c r="BE244" i="2"/>
  <c r="BD244" i="2"/>
  <c r="BC244" i="2"/>
  <c r="BB244" i="2"/>
  <c r="BA244" i="2"/>
  <c r="AZ244" i="2"/>
  <c r="AP244" i="2"/>
  <c r="AL244" i="2"/>
  <c r="AK244" i="2"/>
  <c r="AJ244" i="2"/>
  <c r="AI244" i="2"/>
  <c r="AH244" i="2"/>
  <c r="AG244" i="2"/>
  <c r="V244" i="2"/>
  <c r="R244" i="2"/>
  <c r="Q244" i="2"/>
  <c r="P244" i="2"/>
  <c r="O244" i="2"/>
  <c r="N244" i="2"/>
  <c r="M244" i="2"/>
  <c r="BF243" i="2"/>
  <c r="BE243" i="2"/>
  <c r="BD243" i="2"/>
  <c r="BC243" i="2"/>
  <c r="BB243" i="2"/>
  <c r="BA243" i="2"/>
  <c r="AZ243" i="2"/>
  <c r="AP243" i="2"/>
  <c r="AL243" i="2"/>
  <c r="AK243" i="2"/>
  <c r="AJ243" i="2"/>
  <c r="AI243" i="2"/>
  <c r="AH243" i="2"/>
  <c r="AG243" i="2"/>
  <c r="V243" i="2"/>
  <c r="R243" i="2"/>
  <c r="Q243" i="2"/>
  <c r="P243" i="2"/>
  <c r="O243" i="2"/>
  <c r="N243" i="2"/>
  <c r="M243" i="2"/>
  <c r="BF242" i="2"/>
  <c r="BE242" i="2"/>
  <c r="BD242" i="2"/>
  <c r="BC242" i="2"/>
  <c r="BB242" i="2"/>
  <c r="BA242" i="2"/>
  <c r="AZ242" i="2"/>
  <c r="AV242" i="2"/>
  <c r="AU242" i="2"/>
  <c r="AT242" i="2"/>
  <c r="AS242" i="2"/>
  <c r="AR242" i="2"/>
  <c r="AQ242" i="2"/>
  <c r="AP242" i="2"/>
  <c r="AB242" i="2"/>
  <c r="AA242" i="2"/>
  <c r="Z242" i="2"/>
  <c r="Y242" i="2"/>
  <c r="X242" i="2"/>
  <c r="W242" i="2"/>
  <c r="V242" i="2"/>
  <c r="BA241" i="2"/>
  <c r="AQ241" i="2"/>
  <c r="W241" i="2"/>
  <c r="AZ238" i="2"/>
  <c r="AP238" i="2"/>
  <c r="V238" i="2"/>
  <c r="R238" i="2"/>
  <c r="Q238" i="2"/>
  <c r="P238" i="2"/>
  <c r="O238" i="2"/>
  <c r="N238" i="2"/>
  <c r="M238" i="2"/>
  <c r="AZ237" i="2"/>
  <c r="AP237" i="2"/>
  <c r="V237" i="2"/>
  <c r="C237" i="2"/>
  <c r="AZ236" i="2"/>
  <c r="AP236" i="2"/>
  <c r="V236" i="2"/>
  <c r="C236" i="2"/>
  <c r="AZ235" i="2"/>
  <c r="AP235" i="2"/>
  <c r="W235" i="2"/>
  <c r="V235" i="2"/>
  <c r="M235" i="2"/>
  <c r="D235" i="2"/>
  <c r="AZ234" i="2"/>
  <c r="AP234" i="2"/>
  <c r="V234" i="2"/>
  <c r="R234" i="2"/>
  <c r="Q234" i="2"/>
  <c r="P234" i="2"/>
  <c r="O234" i="2"/>
  <c r="N234" i="2"/>
  <c r="M234" i="2"/>
  <c r="AZ233" i="2"/>
  <c r="AP233" i="2"/>
  <c r="V233" i="2"/>
  <c r="AZ232" i="2"/>
  <c r="AP232" i="2"/>
  <c r="V232" i="2"/>
  <c r="AZ231" i="2"/>
  <c r="AP231" i="2"/>
  <c r="W231" i="2"/>
  <c r="V231" i="2"/>
  <c r="D231" i="2"/>
  <c r="C231" i="2"/>
  <c r="AZ230" i="2"/>
  <c r="AP230" i="2"/>
  <c r="V230" i="2"/>
  <c r="R230" i="2"/>
  <c r="Q230" i="2"/>
  <c r="P230" i="2"/>
  <c r="O230" i="2"/>
  <c r="N230" i="2"/>
  <c r="M230" i="2"/>
  <c r="AZ229" i="2"/>
  <c r="AP229" i="2"/>
  <c r="V229" i="2"/>
  <c r="R229" i="2"/>
  <c r="AZ228" i="2"/>
  <c r="AP228" i="2"/>
  <c r="V228" i="2"/>
  <c r="AZ227" i="2"/>
  <c r="AP227" i="2"/>
  <c r="W227" i="2"/>
  <c r="V227" i="2"/>
  <c r="C227" i="2"/>
  <c r="BF226" i="2"/>
  <c r="BE226" i="2"/>
  <c r="BD226" i="2"/>
  <c r="BC226" i="2"/>
  <c r="BB226" i="2"/>
  <c r="BA226" i="2"/>
  <c r="AZ226" i="2"/>
  <c r="AV226" i="2"/>
  <c r="AU226" i="2"/>
  <c r="AT226" i="2"/>
  <c r="AS226" i="2"/>
  <c r="AR226" i="2"/>
  <c r="AQ226" i="2"/>
  <c r="AP226" i="2"/>
  <c r="AB226" i="2"/>
  <c r="AA226" i="2"/>
  <c r="Z226" i="2"/>
  <c r="Y226" i="2"/>
  <c r="X226" i="2"/>
  <c r="W226" i="2"/>
  <c r="V226" i="2"/>
  <c r="BA225" i="2"/>
  <c r="AQ225" i="2"/>
  <c r="W225" i="2"/>
  <c r="AZ219" i="2"/>
  <c r="AP219" i="2"/>
  <c r="V219" i="2"/>
  <c r="AZ218" i="2"/>
  <c r="AP218" i="2"/>
  <c r="V218" i="2"/>
  <c r="AZ217" i="2"/>
  <c r="AP217" i="2"/>
  <c r="V217" i="2"/>
  <c r="AZ216" i="2"/>
  <c r="AP216" i="2"/>
  <c r="V216" i="2"/>
  <c r="AZ215" i="2"/>
  <c r="AP215" i="2"/>
  <c r="V215" i="2"/>
  <c r="AZ214" i="2"/>
  <c r="AP214" i="2"/>
  <c r="V214" i="2"/>
  <c r="AZ213" i="2"/>
  <c r="AP213" i="2"/>
  <c r="V213" i="2"/>
  <c r="AZ212" i="2"/>
  <c r="AP212" i="2"/>
  <c r="V212" i="2"/>
  <c r="AZ211" i="2"/>
  <c r="AP211" i="2"/>
  <c r="V211" i="2"/>
  <c r="AZ210" i="2"/>
  <c r="AP210" i="2"/>
  <c r="V210" i="2"/>
  <c r="AZ209" i="2"/>
  <c r="AP209" i="2"/>
  <c r="V209" i="2"/>
  <c r="AZ208" i="2"/>
  <c r="AP208" i="2"/>
  <c r="V208" i="2"/>
  <c r="BF207" i="2"/>
  <c r="BE207" i="2"/>
  <c r="BD207" i="2"/>
  <c r="BC207" i="2"/>
  <c r="BB207" i="2"/>
  <c r="BA207" i="2"/>
  <c r="AZ207" i="2"/>
  <c r="AV207" i="2"/>
  <c r="AU207" i="2"/>
  <c r="AT207" i="2"/>
  <c r="AS207" i="2"/>
  <c r="AR207" i="2"/>
  <c r="AQ207" i="2"/>
  <c r="AP207" i="2"/>
  <c r="AB207" i="2"/>
  <c r="AA207" i="2"/>
  <c r="Z207" i="2"/>
  <c r="Y207" i="2"/>
  <c r="X207" i="2"/>
  <c r="W207" i="2"/>
  <c r="V207" i="2"/>
  <c r="BA206" i="2"/>
  <c r="AQ206" i="2"/>
  <c r="W206" i="2"/>
  <c r="AZ203" i="2"/>
  <c r="AP203" i="2"/>
  <c r="V203" i="2"/>
  <c r="AZ202" i="2"/>
  <c r="AP202" i="2"/>
  <c r="V202" i="2"/>
  <c r="M202" i="2"/>
  <c r="C202" i="2"/>
  <c r="AZ201" i="2"/>
  <c r="AP201" i="2"/>
  <c r="V201" i="2"/>
  <c r="M201" i="2"/>
  <c r="C201" i="2"/>
  <c r="AZ200" i="2"/>
  <c r="AP200" i="2"/>
  <c r="W200" i="2"/>
  <c r="V200" i="2"/>
  <c r="N200" i="2"/>
  <c r="D200" i="2"/>
  <c r="AZ199" i="2"/>
  <c r="AP199" i="2"/>
  <c r="V199" i="2"/>
  <c r="AZ198" i="2"/>
  <c r="AP198" i="2"/>
  <c r="AF198" i="2"/>
  <c r="V198" i="2"/>
  <c r="AZ197" i="2"/>
  <c r="AP197" i="2"/>
  <c r="V197" i="2"/>
  <c r="AZ196" i="2"/>
  <c r="AP196" i="2"/>
  <c r="V196" i="2"/>
  <c r="M196" i="2"/>
  <c r="C196" i="2"/>
  <c r="AZ195" i="2"/>
  <c r="AP195" i="2"/>
  <c r="V195" i="2"/>
  <c r="AZ194" i="2"/>
  <c r="AP194" i="2"/>
  <c r="V194" i="2"/>
  <c r="AZ193" i="2"/>
  <c r="AP193" i="2"/>
  <c r="V193" i="2"/>
  <c r="AZ192" i="2"/>
  <c r="AP192" i="2"/>
  <c r="V192" i="2"/>
  <c r="BF191" i="2"/>
  <c r="BE191" i="2"/>
  <c r="BD191" i="2"/>
  <c r="BC191" i="2"/>
  <c r="BB191" i="2"/>
  <c r="BA191" i="2"/>
  <c r="AZ191" i="2"/>
  <c r="AV191" i="2"/>
  <c r="AU191" i="2"/>
  <c r="AT191" i="2"/>
  <c r="AS191" i="2"/>
  <c r="AR191" i="2"/>
  <c r="AQ191" i="2"/>
  <c r="AP191" i="2"/>
  <c r="AB191" i="2"/>
  <c r="AA191" i="2"/>
  <c r="Z191" i="2"/>
  <c r="Y191" i="2"/>
  <c r="X191" i="2"/>
  <c r="W191" i="2"/>
  <c r="V191" i="2"/>
  <c r="BA190" i="2"/>
  <c r="AQ190" i="2"/>
  <c r="W190" i="2"/>
  <c r="AZ187" i="2"/>
  <c r="AP187" i="2"/>
  <c r="V187" i="2"/>
  <c r="AZ186" i="2"/>
  <c r="AP186" i="2"/>
  <c r="V186" i="2"/>
  <c r="M186" i="2"/>
  <c r="C186" i="2"/>
  <c r="AZ185" i="2"/>
  <c r="AP185" i="2"/>
  <c r="V185" i="2"/>
  <c r="M185" i="2"/>
  <c r="C185" i="2"/>
  <c r="AZ184" i="2"/>
  <c r="AP184" i="2"/>
  <c r="AG184" i="2"/>
  <c r="W184" i="2"/>
  <c r="V184" i="2"/>
  <c r="N184" i="2"/>
  <c r="D184" i="2"/>
  <c r="AZ183" i="2"/>
  <c r="AP183" i="2"/>
  <c r="V183" i="2"/>
  <c r="AZ182" i="2"/>
  <c r="AP182" i="2"/>
  <c r="V182" i="2"/>
  <c r="AZ181" i="2"/>
  <c r="AP181" i="2"/>
  <c r="V181" i="2"/>
  <c r="AZ180" i="2"/>
  <c r="AP180" i="2"/>
  <c r="AG180" i="2"/>
  <c r="W180" i="2"/>
  <c r="V180" i="2"/>
  <c r="M180" i="2"/>
  <c r="C180" i="2"/>
  <c r="AZ179" i="2"/>
  <c r="AP179" i="2"/>
  <c r="V179" i="2"/>
  <c r="AZ178" i="2"/>
  <c r="AP178" i="2"/>
  <c r="V178" i="2"/>
  <c r="AZ177" i="2"/>
  <c r="AP177" i="2"/>
  <c r="V177" i="2"/>
  <c r="AZ176" i="2"/>
  <c r="AP176" i="2"/>
  <c r="AG176" i="2"/>
  <c r="W176" i="2"/>
  <c r="V176" i="2"/>
  <c r="M176" i="2"/>
  <c r="C176" i="2"/>
  <c r="BF175" i="2"/>
  <c r="BE175" i="2"/>
  <c r="BD175" i="2"/>
  <c r="BC175" i="2"/>
  <c r="BB175" i="2"/>
  <c r="BA175" i="2"/>
  <c r="AZ175" i="2"/>
  <c r="AV175" i="2"/>
  <c r="AU175" i="2"/>
  <c r="AT175" i="2"/>
  <c r="AS175" i="2"/>
  <c r="AR175" i="2"/>
  <c r="AQ175" i="2"/>
  <c r="AP175" i="2"/>
  <c r="AB175" i="2"/>
  <c r="AA175" i="2"/>
  <c r="Z175" i="2"/>
  <c r="Y175" i="2"/>
  <c r="X175" i="2"/>
  <c r="W175" i="2"/>
  <c r="V175" i="2"/>
  <c r="BA174" i="2"/>
  <c r="AQ174" i="2"/>
  <c r="W174" i="2"/>
  <c r="AZ166" i="2"/>
  <c r="AP166" i="2"/>
  <c r="AF166" i="2"/>
  <c r="BA165" i="2"/>
  <c r="AZ165" i="2"/>
  <c r="AQ165" i="2"/>
  <c r="AP165" i="2"/>
  <c r="AG165" i="2"/>
  <c r="AF165" i="2"/>
  <c r="W165" i="2"/>
  <c r="M165" i="2"/>
  <c r="C165" i="2"/>
  <c r="BA164" i="2"/>
  <c r="AZ164" i="2"/>
  <c r="AQ164" i="2"/>
  <c r="AP164" i="2"/>
  <c r="AG164" i="2"/>
  <c r="AF164" i="2"/>
  <c r="W164" i="2"/>
  <c r="M164" i="2"/>
  <c r="C164" i="2"/>
  <c r="AZ163" i="2"/>
  <c r="AP163" i="2"/>
  <c r="AF163" i="2"/>
  <c r="AZ162" i="2"/>
  <c r="AP162" i="2"/>
  <c r="V162" i="2"/>
  <c r="AZ161" i="2"/>
  <c r="AP161" i="2"/>
  <c r="V161" i="2"/>
  <c r="AZ160" i="2"/>
  <c r="AP160" i="2"/>
  <c r="AF160" i="2"/>
  <c r="V160" i="2"/>
  <c r="AZ159" i="2"/>
  <c r="AQ159" i="2"/>
  <c r="AP159" i="2"/>
  <c r="W159" i="2"/>
  <c r="V159" i="2"/>
  <c r="C159" i="2"/>
  <c r="AZ158" i="2"/>
  <c r="AP158" i="2"/>
  <c r="V158" i="2"/>
  <c r="AZ157" i="2"/>
  <c r="AP157" i="2"/>
  <c r="V157" i="2"/>
  <c r="AZ156" i="2"/>
  <c r="AP156" i="2"/>
  <c r="V156" i="2"/>
  <c r="AZ155" i="2"/>
  <c r="AQ155" i="2"/>
  <c r="AP155" i="2"/>
  <c r="W155" i="2"/>
  <c r="V155" i="2"/>
  <c r="C155" i="2"/>
  <c r="AZ154" i="2"/>
  <c r="AP154" i="2"/>
  <c r="AF154" i="2"/>
  <c r="V154" i="2"/>
  <c r="AZ153" i="2"/>
  <c r="AP153" i="2"/>
  <c r="V153" i="2"/>
  <c r="AZ152" i="2"/>
  <c r="AP152" i="2"/>
  <c r="V152" i="2"/>
  <c r="AZ151" i="2"/>
  <c r="AP151" i="2"/>
  <c r="V151" i="2"/>
  <c r="BF150" i="2"/>
  <c r="BE150" i="2"/>
  <c r="BD150" i="2"/>
  <c r="BC150" i="2"/>
  <c r="BB150" i="2"/>
  <c r="BA150" i="2"/>
  <c r="AZ150" i="2"/>
  <c r="AV150" i="2"/>
  <c r="AU150" i="2"/>
  <c r="AT150" i="2"/>
  <c r="AS150" i="2"/>
  <c r="AR150" i="2"/>
  <c r="AQ150" i="2"/>
  <c r="AP150" i="2"/>
  <c r="AB150" i="2"/>
  <c r="AA150" i="2"/>
  <c r="Z150" i="2"/>
  <c r="Y150" i="2"/>
  <c r="X150" i="2"/>
  <c r="W150" i="2"/>
  <c r="V150" i="2"/>
  <c r="BA149" i="2"/>
  <c r="AQ149" i="2"/>
  <c r="W149" i="2"/>
  <c r="AZ146" i="2"/>
  <c r="AP146" i="2"/>
  <c r="AF146" i="2"/>
  <c r="BA145" i="2"/>
  <c r="AZ145" i="2"/>
  <c r="AQ145" i="2"/>
  <c r="AP145" i="2"/>
  <c r="AG145" i="2"/>
  <c r="AF145" i="2"/>
  <c r="W145" i="2"/>
  <c r="M145" i="2"/>
  <c r="C145" i="2"/>
  <c r="BA144" i="2"/>
  <c r="AZ144" i="2"/>
  <c r="AQ144" i="2"/>
  <c r="AP144" i="2"/>
  <c r="AG144" i="2"/>
  <c r="AF144" i="2"/>
  <c r="W144" i="2"/>
  <c r="M144" i="2"/>
  <c r="C144" i="2"/>
  <c r="AZ143" i="2"/>
  <c r="AR143" i="2"/>
  <c r="AP143" i="2"/>
  <c r="AF143" i="2"/>
  <c r="X143" i="2"/>
  <c r="D143" i="2"/>
  <c r="AZ142" i="2"/>
  <c r="AP142" i="2"/>
  <c r="V142" i="2"/>
  <c r="AZ141" i="2"/>
  <c r="AP141" i="2"/>
  <c r="V141" i="2"/>
  <c r="AZ140" i="2"/>
  <c r="AP140" i="2"/>
  <c r="V140" i="2"/>
  <c r="BA139" i="2"/>
  <c r="AZ139" i="2"/>
  <c r="AQ139" i="2"/>
  <c r="AP139" i="2"/>
  <c r="AG139" i="2"/>
  <c r="W139" i="2"/>
  <c r="V139" i="2"/>
  <c r="M139" i="2"/>
  <c r="C139" i="2"/>
  <c r="AZ138" i="2"/>
  <c r="AP138" i="2"/>
  <c r="V138" i="2"/>
  <c r="AZ137" i="2"/>
  <c r="AP137" i="2"/>
  <c r="V137" i="2"/>
  <c r="AZ136" i="2"/>
  <c r="AP136" i="2"/>
  <c r="V136" i="2"/>
  <c r="AZ135" i="2"/>
  <c r="AQ135" i="2"/>
  <c r="AP135" i="2"/>
  <c r="W135" i="2"/>
  <c r="V135" i="2"/>
  <c r="C135" i="2"/>
  <c r="AZ134" i="2"/>
  <c r="AP134" i="2"/>
  <c r="V134" i="2"/>
  <c r="AZ133" i="2"/>
  <c r="AP133" i="2"/>
  <c r="V133" i="2"/>
  <c r="AZ132" i="2"/>
  <c r="AP132" i="2"/>
  <c r="V132" i="2"/>
  <c r="AZ131" i="2"/>
  <c r="AQ131" i="2"/>
  <c r="AP131" i="2"/>
  <c r="W131" i="2"/>
  <c r="V131" i="2"/>
  <c r="C131" i="2"/>
  <c r="BF130" i="2"/>
  <c r="BE130" i="2"/>
  <c r="BD130" i="2"/>
  <c r="BC130" i="2"/>
  <c r="BB130" i="2"/>
  <c r="BA130" i="2"/>
  <c r="AZ130" i="2"/>
  <c r="AV130" i="2"/>
  <c r="AU130" i="2"/>
  <c r="AT130" i="2"/>
  <c r="AS130" i="2"/>
  <c r="AR130" i="2"/>
  <c r="AQ130" i="2"/>
  <c r="AP130" i="2"/>
  <c r="AB130" i="2"/>
  <c r="AA130" i="2"/>
  <c r="Z130" i="2"/>
  <c r="Y130" i="2"/>
  <c r="X130" i="2"/>
  <c r="W130" i="2"/>
  <c r="V130" i="2"/>
  <c r="BA129" i="2"/>
  <c r="AQ129" i="2"/>
  <c r="AG129" i="2"/>
  <c r="W129" i="2"/>
  <c r="BA126" i="2"/>
  <c r="AZ126" i="2"/>
  <c r="AR126" i="2"/>
  <c r="AQ126" i="2"/>
  <c r="AP126" i="2"/>
  <c r="AG126" i="2"/>
  <c r="AF126" i="2"/>
  <c r="X126" i="2"/>
  <c r="W126" i="2"/>
  <c r="M126" i="2"/>
  <c r="D126" i="2"/>
  <c r="C126" i="2"/>
  <c r="BA125" i="2"/>
  <c r="AZ125" i="2"/>
  <c r="AR125" i="2"/>
  <c r="AQ125" i="2"/>
  <c r="AP125" i="2"/>
  <c r="AG125" i="2"/>
  <c r="AF125" i="2"/>
  <c r="X125" i="2"/>
  <c r="W125" i="2"/>
  <c r="M125" i="2"/>
  <c r="D125" i="2"/>
  <c r="C125" i="2"/>
  <c r="BA124" i="2"/>
  <c r="AZ124" i="2"/>
  <c r="AR124" i="2"/>
  <c r="AQ124" i="2"/>
  <c r="AP124" i="2"/>
  <c r="AG124" i="2"/>
  <c r="AF124" i="2"/>
  <c r="X124" i="2"/>
  <c r="W124" i="2"/>
  <c r="M124" i="2"/>
  <c r="C124" i="2"/>
  <c r="AZ123" i="2"/>
  <c r="AR123" i="2"/>
  <c r="AP123" i="2"/>
  <c r="AF123" i="2"/>
  <c r="X123" i="2"/>
  <c r="D123" i="2"/>
  <c r="AZ122" i="2"/>
  <c r="AP122" i="2"/>
  <c r="V122" i="2"/>
  <c r="AZ121" i="2"/>
  <c r="AP121" i="2"/>
  <c r="V121" i="2"/>
  <c r="AZ120" i="2"/>
  <c r="AP120" i="2"/>
  <c r="V120" i="2"/>
  <c r="BA119" i="2"/>
  <c r="AZ119" i="2"/>
  <c r="AQ119" i="2"/>
  <c r="AP119" i="2"/>
  <c r="AG119" i="2"/>
  <c r="W119" i="2"/>
  <c r="V119" i="2"/>
  <c r="M119" i="2"/>
  <c r="C119" i="2"/>
  <c r="AZ118" i="2"/>
  <c r="AP118" i="2"/>
  <c r="V118" i="2"/>
  <c r="AZ117" i="2"/>
  <c r="AP117" i="2"/>
  <c r="V117" i="2"/>
  <c r="AZ116" i="2"/>
  <c r="AP116" i="2"/>
  <c r="V116" i="2"/>
  <c r="BA115" i="2"/>
  <c r="AZ115" i="2"/>
  <c r="AQ115" i="2"/>
  <c r="AP115" i="2"/>
  <c r="AG115" i="2"/>
  <c r="W115" i="2"/>
  <c r="V115" i="2"/>
  <c r="M115" i="2"/>
  <c r="C115" i="2"/>
  <c r="AZ114" i="2"/>
  <c r="AP114" i="2"/>
  <c r="V114" i="2"/>
  <c r="AZ113" i="2"/>
  <c r="AP113" i="2"/>
  <c r="V113" i="2"/>
  <c r="AZ112" i="2"/>
  <c r="AP112" i="2"/>
  <c r="V112" i="2"/>
  <c r="AZ111" i="2"/>
  <c r="AQ111" i="2"/>
  <c r="AP111" i="2"/>
  <c r="W111" i="2"/>
  <c r="V111" i="2"/>
  <c r="C111" i="2"/>
  <c r="BF110" i="2"/>
  <c r="BE110" i="2"/>
  <c r="BD110" i="2"/>
  <c r="BC110" i="2"/>
  <c r="BB110" i="2"/>
  <c r="BA110" i="2"/>
  <c r="AZ110" i="2"/>
  <c r="AV110" i="2"/>
  <c r="AU110" i="2"/>
  <c r="AT110" i="2"/>
  <c r="AS110" i="2"/>
  <c r="AR110" i="2"/>
  <c r="AQ110" i="2"/>
  <c r="AP110" i="2"/>
  <c r="AB110" i="2"/>
  <c r="AA110" i="2"/>
  <c r="Z110" i="2"/>
  <c r="Y110" i="2"/>
  <c r="X110" i="2"/>
  <c r="W110" i="2"/>
  <c r="V110" i="2"/>
  <c r="BA109" i="2"/>
  <c r="AQ109" i="2"/>
  <c r="W109" i="2"/>
  <c r="BF103" i="2"/>
  <c r="BE103" i="2"/>
  <c r="BD103" i="2"/>
  <c r="BC103" i="2"/>
  <c r="BB103" i="2"/>
  <c r="BA103" i="2"/>
  <c r="AZ103" i="2"/>
  <c r="AP103" i="2"/>
  <c r="AL103" i="2"/>
  <c r="AK103" i="2"/>
  <c r="AJ103" i="2"/>
  <c r="AI103" i="2"/>
  <c r="AH103" i="2"/>
  <c r="AG103" i="2"/>
  <c r="V103" i="2"/>
  <c r="R103" i="2"/>
  <c r="Q103" i="2"/>
  <c r="P103" i="2"/>
  <c r="O103" i="2"/>
  <c r="N103" i="2"/>
  <c r="M103" i="2"/>
  <c r="BF102" i="2"/>
  <c r="BE102" i="2"/>
  <c r="BD102" i="2"/>
  <c r="BC102" i="2"/>
  <c r="AZ102" i="2"/>
  <c r="AP102" i="2"/>
  <c r="AL102" i="2"/>
  <c r="AK102" i="2"/>
  <c r="AJ102" i="2"/>
  <c r="AI102" i="2"/>
  <c r="V102" i="2"/>
  <c r="R102" i="2"/>
  <c r="Q102" i="2"/>
  <c r="P102" i="2"/>
  <c r="O102" i="2"/>
  <c r="C102" i="2"/>
  <c r="BF101" i="2"/>
  <c r="BE101" i="2"/>
  <c r="BD101" i="2"/>
  <c r="BC101" i="2"/>
  <c r="AZ101" i="2"/>
  <c r="AP101" i="2"/>
  <c r="AL101" i="2"/>
  <c r="AK101" i="2"/>
  <c r="AJ101" i="2"/>
  <c r="AI101" i="2"/>
  <c r="V101" i="2"/>
  <c r="R101" i="2"/>
  <c r="Q101" i="2"/>
  <c r="P101" i="2"/>
  <c r="O101" i="2"/>
  <c r="C101" i="2"/>
  <c r="BF100" i="2"/>
  <c r="BE100" i="2"/>
  <c r="BD100" i="2"/>
  <c r="BC100" i="2"/>
  <c r="AZ100" i="2"/>
  <c r="AP100" i="2"/>
  <c r="AL100" i="2"/>
  <c r="AK100" i="2"/>
  <c r="AJ100" i="2"/>
  <c r="AI100" i="2"/>
  <c r="W100" i="2"/>
  <c r="V100" i="2"/>
  <c r="R100" i="2"/>
  <c r="Q100" i="2"/>
  <c r="P100" i="2"/>
  <c r="O100" i="2"/>
  <c r="M100" i="2"/>
  <c r="D100" i="2"/>
  <c r="BF99" i="2"/>
  <c r="BE99" i="2"/>
  <c r="BD99" i="2"/>
  <c r="BC99" i="2"/>
  <c r="BB99" i="2"/>
  <c r="BA99" i="2"/>
  <c r="AZ99" i="2"/>
  <c r="AP99" i="2"/>
  <c r="AL99" i="2"/>
  <c r="AK99" i="2"/>
  <c r="AJ99" i="2"/>
  <c r="AI99" i="2"/>
  <c r="AH99" i="2"/>
  <c r="AG99" i="2"/>
  <c r="V99" i="2"/>
  <c r="R99" i="2"/>
  <c r="Q99" i="2"/>
  <c r="P99" i="2"/>
  <c r="O99" i="2"/>
  <c r="N99" i="2"/>
  <c r="M99" i="2"/>
  <c r="BF98" i="2"/>
  <c r="BE98" i="2"/>
  <c r="BD98" i="2"/>
  <c r="BC98" i="2"/>
  <c r="BB98" i="2"/>
  <c r="BA98" i="2"/>
  <c r="AZ98" i="2"/>
  <c r="AP98" i="2"/>
  <c r="AL98" i="2"/>
  <c r="AK98" i="2"/>
  <c r="AJ98" i="2"/>
  <c r="AI98" i="2"/>
  <c r="AH98" i="2"/>
  <c r="AG98" i="2"/>
  <c r="V98" i="2"/>
  <c r="R98" i="2"/>
  <c r="Q98" i="2"/>
  <c r="P98" i="2"/>
  <c r="O98" i="2"/>
  <c r="N98" i="2"/>
  <c r="M98" i="2"/>
  <c r="BF97" i="2"/>
  <c r="BE97" i="2"/>
  <c r="BD97" i="2"/>
  <c r="BC97" i="2"/>
  <c r="BB97" i="2"/>
  <c r="BA97" i="2"/>
  <c r="AZ97" i="2"/>
  <c r="AP97" i="2"/>
  <c r="AL97" i="2"/>
  <c r="AK97" i="2"/>
  <c r="AJ97" i="2"/>
  <c r="AI97" i="2"/>
  <c r="AH97" i="2"/>
  <c r="AG97" i="2"/>
  <c r="V97" i="2"/>
  <c r="R97" i="2"/>
  <c r="Q97" i="2"/>
  <c r="P97" i="2"/>
  <c r="O97" i="2"/>
  <c r="N97" i="2"/>
  <c r="M97" i="2"/>
  <c r="BF96" i="2"/>
  <c r="BE96" i="2"/>
  <c r="BD96" i="2"/>
  <c r="BC96" i="2"/>
  <c r="BB96" i="2"/>
  <c r="BA96" i="2"/>
  <c r="AZ96" i="2"/>
  <c r="AP96" i="2"/>
  <c r="AL96" i="2"/>
  <c r="AK96" i="2"/>
  <c r="AJ96" i="2"/>
  <c r="AI96" i="2"/>
  <c r="AH96" i="2"/>
  <c r="AG96" i="2"/>
  <c r="V96" i="2"/>
  <c r="R96" i="2"/>
  <c r="Q96" i="2"/>
  <c r="P96" i="2"/>
  <c r="O96" i="2"/>
  <c r="N96" i="2"/>
  <c r="M96" i="2"/>
  <c r="BF95" i="2"/>
  <c r="BE95" i="2"/>
  <c r="BD95" i="2"/>
  <c r="BC95" i="2"/>
  <c r="BB95" i="2"/>
  <c r="BA95" i="2"/>
  <c r="AZ95" i="2"/>
  <c r="AP95" i="2"/>
  <c r="AL95" i="2"/>
  <c r="AK95" i="2"/>
  <c r="AJ95" i="2"/>
  <c r="AI95" i="2"/>
  <c r="AH95" i="2"/>
  <c r="AG95" i="2"/>
  <c r="V95" i="2"/>
  <c r="R95" i="2"/>
  <c r="Q95" i="2"/>
  <c r="P95" i="2"/>
  <c r="O95" i="2"/>
  <c r="N95" i="2"/>
  <c r="M95" i="2"/>
  <c r="BF94" i="2"/>
  <c r="BE94" i="2"/>
  <c r="BD94" i="2"/>
  <c r="BC94" i="2"/>
  <c r="BB94" i="2"/>
  <c r="BA94" i="2"/>
  <c r="AZ94" i="2"/>
  <c r="AP94" i="2"/>
  <c r="AL94" i="2"/>
  <c r="AK94" i="2"/>
  <c r="AJ94" i="2"/>
  <c r="AI94" i="2"/>
  <c r="AH94" i="2"/>
  <c r="AG94" i="2"/>
  <c r="V94" i="2"/>
  <c r="R94" i="2"/>
  <c r="Q94" i="2"/>
  <c r="P94" i="2"/>
  <c r="O94" i="2"/>
  <c r="N94" i="2"/>
  <c r="M94" i="2"/>
  <c r="BF93" i="2"/>
  <c r="BE93" i="2"/>
  <c r="BD93" i="2"/>
  <c r="BC93" i="2"/>
  <c r="BB93" i="2"/>
  <c r="BA93" i="2"/>
  <c r="AZ93" i="2"/>
  <c r="AP93" i="2"/>
  <c r="AL93" i="2"/>
  <c r="AK93" i="2"/>
  <c r="AJ93" i="2"/>
  <c r="AI93" i="2"/>
  <c r="AH93" i="2"/>
  <c r="AG93" i="2"/>
  <c r="V93" i="2"/>
  <c r="R93" i="2"/>
  <c r="Q93" i="2"/>
  <c r="P93" i="2"/>
  <c r="O93" i="2"/>
  <c r="N93" i="2"/>
  <c r="M93" i="2"/>
  <c r="BF92" i="2"/>
  <c r="BE92" i="2"/>
  <c r="BD92" i="2"/>
  <c r="BC92" i="2"/>
  <c r="BB92" i="2"/>
  <c r="BA92" i="2"/>
  <c r="AZ92" i="2"/>
  <c r="AP92" i="2"/>
  <c r="AL92" i="2"/>
  <c r="AK92" i="2"/>
  <c r="AJ92" i="2"/>
  <c r="AI92" i="2"/>
  <c r="AH92" i="2"/>
  <c r="AG92" i="2"/>
  <c r="V92" i="2"/>
  <c r="R92" i="2"/>
  <c r="Q92" i="2"/>
  <c r="P92" i="2"/>
  <c r="O92" i="2"/>
  <c r="N92" i="2"/>
  <c r="M92" i="2"/>
  <c r="BF91" i="2"/>
  <c r="BE91" i="2"/>
  <c r="BD91" i="2"/>
  <c r="BC91" i="2"/>
  <c r="BB91" i="2"/>
  <c r="BA91" i="2"/>
  <c r="AZ91" i="2"/>
  <c r="AV91" i="2"/>
  <c r="AU91" i="2"/>
  <c r="AT91" i="2"/>
  <c r="AS91" i="2"/>
  <c r="AR91" i="2"/>
  <c r="AQ91" i="2"/>
  <c r="AP91" i="2"/>
  <c r="AB91" i="2"/>
  <c r="AA91" i="2"/>
  <c r="Z91" i="2"/>
  <c r="Y91" i="2"/>
  <c r="X91" i="2"/>
  <c r="W91" i="2"/>
  <c r="V91" i="2"/>
  <c r="BA90" i="2"/>
  <c r="AQ90" i="2"/>
  <c r="W90" i="2"/>
  <c r="BF87" i="2"/>
  <c r="BE87" i="2"/>
  <c r="BD87" i="2"/>
  <c r="BC87" i="2"/>
  <c r="BB87" i="2"/>
  <c r="BA87" i="2"/>
  <c r="AZ87" i="2"/>
  <c r="AP87" i="2"/>
  <c r="AL87" i="2"/>
  <c r="AK87" i="2"/>
  <c r="AJ87" i="2"/>
  <c r="AI87" i="2"/>
  <c r="AH87" i="2"/>
  <c r="AG87" i="2"/>
  <c r="V87" i="2"/>
  <c r="R87" i="2"/>
  <c r="Q87" i="2"/>
  <c r="P87" i="2"/>
  <c r="O87" i="2"/>
  <c r="N87" i="2"/>
  <c r="M87" i="2"/>
  <c r="BF86" i="2"/>
  <c r="BE86" i="2"/>
  <c r="BD86" i="2"/>
  <c r="AZ86" i="2"/>
  <c r="AP86" i="2"/>
  <c r="AL86" i="2"/>
  <c r="AK86" i="2"/>
  <c r="AJ86" i="2"/>
  <c r="V86" i="2"/>
  <c r="R86" i="2"/>
  <c r="Q86" i="2"/>
  <c r="P86" i="2"/>
  <c r="C86" i="2"/>
  <c r="BF85" i="2"/>
  <c r="BE85" i="2"/>
  <c r="BD85" i="2"/>
  <c r="AZ85" i="2"/>
  <c r="AP85" i="2"/>
  <c r="AL85" i="2"/>
  <c r="AK85" i="2"/>
  <c r="AJ85" i="2"/>
  <c r="V85" i="2"/>
  <c r="R85" i="2"/>
  <c r="Q85" i="2"/>
  <c r="P85" i="2"/>
  <c r="C85" i="2"/>
  <c r="BF84" i="2"/>
  <c r="BE84" i="2"/>
  <c r="BD84" i="2"/>
  <c r="AZ84" i="2"/>
  <c r="AP84" i="2"/>
  <c r="AL84" i="2"/>
  <c r="AK84" i="2"/>
  <c r="AJ84" i="2"/>
  <c r="W84" i="2"/>
  <c r="V84" i="2"/>
  <c r="R84" i="2"/>
  <c r="Q84" i="2"/>
  <c r="P84" i="2"/>
  <c r="M84" i="2"/>
  <c r="D84" i="2"/>
  <c r="BF83" i="2"/>
  <c r="BE83" i="2"/>
  <c r="BD83" i="2"/>
  <c r="BC83" i="2"/>
  <c r="BB83" i="2"/>
  <c r="BA83" i="2"/>
  <c r="AZ83" i="2"/>
  <c r="AP83" i="2"/>
  <c r="AL83" i="2"/>
  <c r="AK83" i="2"/>
  <c r="AJ83" i="2"/>
  <c r="AI83" i="2"/>
  <c r="AH83" i="2"/>
  <c r="AG83" i="2"/>
  <c r="V83" i="2"/>
  <c r="R83" i="2"/>
  <c r="Q83" i="2"/>
  <c r="P83" i="2"/>
  <c r="O83" i="2"/>
  <c r="N83" i="2"/>
  <c r="M83" i="2"/>
  <c r="BF82" i="2"/>
  <c r="BE82" i="2"/>
  <c r="BD82" i="2"/>
  <c r="AZ82" i="2"/>
  <c r="AP82" i="2"/>
  <c r="AL82" i="2"/>
  <c r="AK82" i="2"/>
  <c r="AJ82" i="2"/>
  <c r="V82" i="2"/>
  <c r="R82" i="2"/>
  <c r="Q82" i="2"/>
  <c r="P82" i="2"/>
  <c r="C82" i="2"/>
  <c r="BF81" i="2"/>
  <c r="BE81" i="2"/>
  <c r="BD81" i="2"/>
  <c r="AZ81" i="2"/>
  <c r="AP81" i="2"/>
  <c r="AL81" i="2"/>
  <c r="AK81" i="2"/>
  <c r="AJ81" i="2"/>
  <c r="V81" i="2"/>
  <c r="R81" i="2"/>
  <c r="Q81" i="2"/>
  <c r="P81" i="2"/>
  <c r="C81" i="2"/>
  <c r="BF80" i="2"/>
  <c r="BE80" i="2"/>
  <c r="BD80" i="2"/>
  <c r="AZ80" i="2"/>
  <c r="AP80" i="2"/>
  <c r="AL80" i="2"/>
  <c r="AK80" i="2"/>
  <c r="AJ80" i="2"/>
  <c r="X80" i="2"/>
  <c r="W80" i="2"/>
  <c r="V80" i="2"/>
  <c r="R80" i="2"/>
  <c r="Q80" i="2"/>
  <c r="P80" i="2"/>
  <c r="C80" i="2"/>
  <c r="BF79" i="2"/>
  <c r="BE79" i="2"/>
  <c r="BD79" i="2"/>
  <c r="BC79" i="2"/>
  <c r="BB79" i="2"/>
  <c r="BA79" i="2"/>
  <c r="AZ79" i="2"/>
  <c r="AP79" i="2"/>
  <c r="AL79" i="2"/>
  <c r="AK79" i="2"/>
  <c r="AJ79" i="2"/>
  <c r="AI79" i="2"/>
  <c r="AH79" i="2"/>
  <c r="AG79" i="2"/>
  <c r="V79" i="2"/>
  <c r="R79" i="2"/>
  <c r="Q79" i="2"/>
  <c r="P79" i="2"/>
  <c r="O79" i="2"/>
  <c r="N79" i="2"/>
  <c r="M79" i="2"/>
  <c r="BF78" i="2"/>
  <c r="BE78" i="2"/>
  <c r="BD78" i="2"/>
  <c r="BC78" i="2"/>
  <c r="BB78" i="2"/>
  <c r="BA78" i="2"/>
  <c r="AZ78" i="2"/>
  <c r="AP78" i="2"/>
  <c r="AL78" i="2"/>
  <c r="AK78" i="2"/>
  <c r="AJ78" i="2"/>
  <c r="AI78" i="2"/>
  <c r="AH78" i="2"/>
  <c r="AG78" i="2"/>
  <c r="V78" i="2"/>
  <c r="R78" i="2"/>
  <c r="Q78" i="2"/>
  <c r="P78" i="2"/>
  <c r="O78" i="2"/>
  <c r="N78" i="2"/>
  <c r="M78" i="2"/>
  <c r="BF77" i="2"/>
  <c r="BE77" i="2"/>
  <c r="BD77" i="2"/>
  <c r="BC77" i="2"/>
  <c r="BB77" i="2"/>
  <c r="BA77" i="2"/>
  <c r="AZ77" i="2"/>
  <c r="AP77" i="2"/>
  <c r="AL77" i="2"/>
  <c r="AK77" i="2"/>
  <c r="AJ77" i="2"/>
  <c r="AI77" i="2"/>
  <c r="AH77" i="2"/>
  <c r="AG77" i="2"/>
  <c r="V77" i="2"/>
  <c r="R77" i="2"/>
  <c r="Q77" i="2"/>
  <c r="P77" i="2"/>
  <c r="O77" i="2"/>
  <c r="N77" i="2"/>
  <c r="M77" i="2"/>
  <c r="BF76" i="2"/>
  <c r="BE76" i="2"/>
  <c r="BD76" i="2"/>
  <c r="BC76" i="2"/>
  <c r="BB76" i="2"/>
  <c r="BA76" i="2"/>
  <c r="AZ76" i="2"/>
  <c r="AP76" i="2"/>
  <c r="AL76" i="2"/>
  <c r="AK76" i="2"/>
  <c r="AJ76" i="2"/>
  <c r="AI76" i="2"/>
  <c r="AH76" i="2"/>
  <c r="AG76" i="2"/>
  <c r="V76" i="2"/>
  <c r="R76" i="2"/>
  <c r="Q76" i="2"/>
  <c r="P76" i="2"/>
  <c r="O76" i="2"/>
  <c r="N76" i="2"/>
  <c r="M76" i="2"/>
  <c r="BF75" i="2"/>
  <c r="BE75" i="2"/>
  <c r="BD75" i="2"/>
  <c r="BC75" i="2"/>
  <c r="BB75" i="2"/>
  <c r="BA75" i="2"/>
  <c r="AZ75" i="2"/>
  <c r="AV75" i="2"/>
  <c r="AU75" i="2"/>
  <c r="AT75" i="2"/>
  <c r="AS75" i="2"/>
  <c r="AR75" i="2"/>
  <c r="AQ75" i="2"/>
  <c r="AP75" i="2"/>
  <c r="AB75" i="2"/>
  <c r="AA75" i="2"/>
  <c r="Z75" i="2"/>
  <c r="Y75" i="2"/>
  <c r="X75" i="2"/>
  <c r="W75" i="2"/>
  <c r="V75" i="2"/>
  <c r="BA74" i="2"/>
  <c r="AQ74" i="2"/>
  <c r="W74" i="2"/>
  <c r="AZ71" i="2"/>
  <c r="AP71" i="2"/>
  <c r="V71" i="2"/>
  <c r="C71" i="2"/>
  <c r="AZ70" i="2"/>
  <c r="AP70" i="2"/>
  <c r="V70" i="2"/>
  <c r="C70" i="2"/>
  <c r="AZ69" i="2"/>
  <c r="AP69" i="2"/>
  <c r="V69" i="2"/>
  <c r="C69" i="2"/>
  <c r="AZ68" i="2"/>
  <c r="AP68" i="2"/>
  <c r="W68" i="2"/>
  <c r="V68" i="2"/>
  <c r="M68" i="2"/>
  <c r="D68" i="2"/>
  <c r="AZ67" i="2"/>
  <c r="AP67" i="2"/>
  <c r="V67" i="2"/>
  <c r="AZ66" i="2"/>
  <c r="AP66" i="2"/>
  <c r="V66" i="2"/>
  <c r="AZ65" i="2"/>
  <c r="AP65" i="2"/>
  <c r="V65" i="2"/>
  <c r="AZ64" i="2"/>
  <c r="AP64" i="2"/>
  <c r="W64" i="2"/>
  <c r="V64" i="2"/>
  <c r="C64" i="2"/>
  <c r="AZ63" i="2"/>
  <c r="AP63" i="2"/>
  <c r="V63" i="2"/>
  <c r="AZ62" i="2"/>
  <c r="AP62" i="2"/>
  <c r="V62" i="2"/>
  <c r="AZ61" i="2"/>
  <c r="AP61" i="2"/>
  <c r="V61" i="2"/>
  <c r="AZ60" i="2"/>
  <c r="AP60" i="2"/>
  <c r="W60" i="2"/>
  <c r="V60" i="2"/>
  <c r="C60" i="2"/>
  <c r="BF59" i="2"/>
  <c r="BE59" i="2"/>
  <c r="BD59" i="2"/>
  <c r="BC59" i="2"/>
  <c r="BB59" i="2"/>
  <c r="BA59" i="2"/>
  <c r="AZ59" i="2"/>
  <c r="AV59" i="2"/>
  <c r="AU59" i="2"/>
  <c r="AT59" i="2"/>
  <c r="AS59" i="2"/>
  <c r="AR59" i="2"/>
  <c r="AQ59" i="2"/>
  <c r="AP59" i="2"/>
  <c r="AB59" i="2"/>
  <c r="AA59" i="2"/>
  <c r="Z59" i="2"/>
  <c r="Y59" i="2"/>
  <c r="X59" i="2"/>
  <c r="W59" i="2"/>
  <c r="V59" i="2"/>
  <c r="BA58" i="2"/>
  <c r="AQ58" i="2"/>
  <c r="W58" i="2"/>
  <c r="AZ52" i="2"/>
  <c r="AP52" i="2"/>
  <c r="V52" i="2"/>
  <c r="AZ51" i="2"/>
  <c r="AP51" i="2"/>
  <c r="V51" i="2"/>
  <c r="C51" i="2"/>
  <c r="AZ50" i="2"/>
  <c r="AP50" i="2"/>
  <c r="V50" i="2"/>
  <c r="C50" i="2"/>
  <c r="AZ49" i="2"/>
  <c r="AP49" i="2"/>
  <c r="W49" i="2"/>
  <c r="V49" i="2"/>
  <c r="D49" i="2"/>
  <c r="AZ48" i="2"/>
  <c r="AP48" i="2"/>
  <c r="V48" i="2"/>
  <c r="AZ47" i="2"/>
  <c r="AP47" i="2"/>
  <c r="V47" i="2"/>
  <c r="AZ46" i="2"/>
  <c r="AP46" i="2"/>
  <c r="V46" i="2"/>
  <c r="AZ45" i="2"/>
  <c r="AP45" i="2"/>
  <c r="V45" i="2"/>
  <c r="AZ44" i="2"/>
  <c r="AP44" i="2"/>
  <c r="V44" i="2"/>
  <c r="AZ43" i="2"/>
  <c r="AP43" i="2"/>
  <c r="V43" i="2"/>
  <c r="AZ42" i="2"/>
  <c r="AP42" i="2"/>
  <c r="V42" i="2"/>
  <c r="AZ41" i="2"/>
  <c r="AP41" i="2"/>
  <c r="AF41" i="2"/>
  <c r="V41" i="2"/>
  <c r="BF40" i="2"/>
  <c r="BE40" i="2"/>
  <c r="BD40" i="2"/>
  <c r="BC40" i="2"/>
  <c r="BB40" i="2"/>
  <c r="BA40" i="2"/>
  <c r="AZ40" i="2"/>
  <c r="AV40" i="2"/>
  <c r="AU40" i="2"/>
  <c r="AT40" i="2"/>
  <c r="AS40" i="2"/>
  <c r="AR40" i="2"/>
  <c r="AQ40" i="2"/>
  <c r="AP40" i="2"/>
  <c r="AL40" i="2"/>
  <c r="AB40" i="2"/>
  <c r="AA40" i="2"/>
  <c r="Z40" i="2"/>
  <c r="Y40" i="2"/>
  <c r="X40" i="2"/>
  <c r="W40" i="2"/>
  <c r="V40" i="2"/>
  <c r="BA39" i="2"/>
  <c r="AQ39" i="2"/>
  <c r="W39" i="2"/>
  <c r="AZ36" i="2"/>
  <c r="AP36" i="2"/>
  <c r="V36" i="2"/>
  <c r="AZ35" i="2"/>
  <c r="AP35" i="2"/>
  <c r="V35" i="2"/>
  <c r="M35" i="2"/>
  <c r="C35" i="2"/>
  <c r="AZ34" i="2"/>
  <c r="AP34" i="2"/>
  <c r="V34" i="2"/>
  <c r="M34" i="2"/>
  <c r="C34" i="2"/>
  <c r="AZ33" i="2"/>
  <c r="AP33" i="2"/>
  <c r="W33" i="2"/>
  <c r="V33" i="2"/>
  <c r="N33" i="2"/>
  <c r="D33" i="2"/>
  <c r="AZ32" i="2"/>
  <c r="AP32" i="2"/>
  <c r="V32" i="2"/>
  <c r="AZ31" i="2"/>
  <c r="AP31" i="2"/>
  <c r="V31" i="2"/>
  <c r="AZ30" i="2"/>
  <c r="AP30" i="2"/>
  <c r="V30" i="2"/>
  <c r="AZ29" i="2"/>
  <c r="AP29" i="2"/>
  <c r="W29" i="2"/>
  <c r="V29" i="2"/>
  <c r="M29" i="2"/>
  <c r="C29" i="2"/>
  <c r="AZ28" i="2"/>
  <c r="AP28" i="2"/>
  <c r="V28" i="2"/>
  <c r="AZ27" i="2"/>
  <c r="AP27" i="2"/>
  <c r="V27" i="2"/>
  <c r="AZ26" i="2"/>
  <c r="AP26" i="2"/>
  <c r="V26" i="2"/>
  <c r="AZ25" i="2"/>
  <c r="AP25" i="2"/>
  <c r="W25" i="2"/>
  <c r="V25" i="2"/>
  <c r="C25" i="2"/>
  <c r="BF24" i="2"/>
  <c r="BE24" i="2"/>
  <c r="BD24" i="2"/>
  <c r="BC24" i="2"/>
  <c r="BB24" i="2"/>
  <c r="BA24" i="2"/>
  <c r="AZ24" i="2"/>
  <c r="AV24" i="2"/>
  <c r="AU24" i="2"/>
  <c r="AT24" i="2"/>
  <c r="AS24" i="2"/>
  <c r="AR24" i="2"/>
  <c r="AQ24" i="2"/>
  <c r="AP24" i="2"/>
  <c r="AB24" i="2"/>
  <c r="AA24" i="2"/>
  <c r="Z24" i="2"/>
  <c r="Y24" i="2"/>
  <c r="X24" i="2"/>
  <c r="W24" i="2"/>
  <c r="V24" i="2"/>
  <c r="BA23" i="2"/>
  <c r="AQ23" i="2"/>
  <c r="W23" i="2"/>
  <c r="AZ20" i="2"/>
  <c r="AP20" i="2"/>
  <c r="V20" i="2"/>
  <c r="M20" i="2"/>
  <c r="C20" i="2"/>
  <c r="AZ19" i="2"/>
  <c r="AP19" i="2"/>
  <c r="V19" i="2"/>
  <c r="M19" i="2"/>
  <c r="C19" i="2"/>
  <c r="AZ18" i="2"/>
  <c r="AP18" i="2"/>
  <c r="V18" i="2"/>
  <c r="M18" i="2"/>
  <c r="C18" i="2"/>
  <c r="AZ17" i="2"/>
  <c r="AP17" i="2"/>
  <c r="AG17" i="2"/>
  <c r="W17" i="2"/>
  <c r="V17" i="2"/>
  <c r="N17" i="2"/>
  <c r="D17" i="2"/>
  <c r="AZ16" i="2"/>
  <c r="AP16" i="2"/>
  <c r="AB16" i="2"/>
  <c r="V16" i="2"/>
  <c r="AZ15" i="2"/>
  <c r="AP15" i="2"/>
  <c r="V15" i="2"/>
  <c r="AZ14" i="2"/>
  <c r="AP14" i="2"/>
  <c r="V14" i="2"/>
  <c r="AZ13" i="2"/>
  <c r="AP13" i="2"/>
  <c r="AG13" i="2"/>
  <c r="W13" i="2"/>
  <c r="V13" i="2"/>
  <c r="M13" i="2"/>
  <c r="C13" i="2"/>
  <c r="AZ12" i="2"/>
  <c r="AP12" i="2"/>
  <c r="AB12" i="2"/>
  <c r="V12" i="2"/>
  <c r="AZ11" i="2"/>
  <c r="AP11" i="2"/>
  <c r="V11" i="2"/>
  <c r="AZ10" i="2"/>
  <c r="AP10" i="2"/>
  <c r="V10" i="2"/>
  <c r="AZ9" i="2"/>
  <c r="AP9" i="2"/>
  <c r="AG9" i="2"/>
  <c r="W9" i="2"/>
  <c r="V9" i="2"/>
  <c r="M9" i="2"/>
  <c r="C9" i="2"/>
  <c r="BF8" i="2"/>
  <c r="BE8" i="2"/>
  <c r="BD8" i="2"/>
  <c r="BC8" i="2"/>
  <c r="BB8" i="2"/>
  <c r="BA8" i="2"/>
  <c r="AZ8" i="2"/>
  <c r="AV8" i="2"/>
  <c r="AU8" i="2"/>
  <c r="AT8" i="2"/>
  <c r="AS8" i="2"/>
  <c r="AR8" i="2"/>
  <c r="AQ8" i="2"/>
  <c r="AP8" i="2"/>
  <c r="AB8" i="2"/>
  <c r="AA8" i="2"/>
  <c r="Z8" i="2"/>
  <c r="Y8" i="2"/>
  <c r="X8" i="2"/>
  <c r="W8" i="2"/>
  <c r="V8" i="2"/>
  <c r="BA7" i="2"/>
  <c r="AQ7" i="2"/>
  <c r="W7" i="2"/>
  <c r="C66" i="1"/>
  <c r="C64" i="1"/>
  <c r="C62" i="1"/>
  <c r="C61" i="1"/>
  <c r="C58" i="1"/>
  <c r="C57" i="1"/>
  <c r="K52" i="1"/>
  <c r="K51" i="1"/>
  <c r="K50" i="1"/>
  <c r="D50" i="1"/>
  <c r="K48" i="1"/>
  <c r="K42" i="1"/>
  <c r="K28" i="1"/>
  <c r="K16" i="1"/>
  <c r="K15" i="1"/>
  <c r="K14" i="1"/>
  <c r="K10" i="1"/>
  <c r="K9" i="1"/>
  <c r="K8" i="1"/>
  <c r="K7" i="1"/>
  <c r="K6" i="1"/>
  <c r="K5" i="1"/>
  <c r="B1556" i="5" l="1"/>
  <c r="B1555" i="5"/>
  <c r="B1554" i="5"/>
  <c r="B1553" i="5"/>
  <c r="B1552" i="5"/>
  <c r="B1544" i="5"/>
  <c r="B1543" i="5"/>
  <c r="B1541" i="5"/>
  <c r="B1540" i="5"/>
  <c r="B1538" i="5"/>
  <c r="B1522" i="5"/>
  <c r="B1521" i="5"/>
  <c r="B1519" i="5"/>
  <c r="B1518" i="5"/>
  <c r="B1516" i="5"/>
  <c r="B1490" i="5"/>
  <c r="B1480" i="5"/>
  <c r="B1450" i="5"/>
  <c r="B1424" i="5"/>
  <c r="B1406" i="5"/>
  <c r="B1393" i="5"/>
  <c r="B1392" i="5"/>
  <c r="B1391" i="5"/>
  <c r="B1390" i="5"/>
  <c r="B1389" i="5"/>
  <c r="B1388" i="5"/>
  <c r="B1387" i="5"/>
  <c r="B1386" i="5"/>
  <c r="B1385" i="5"/>
  <c r="B1384" i="5"/>
  <c r="B1370" i="5"/>
  <c r="B1369" i="5"/>
  <c r="B1367" i="5"/>
  <c r="B1366" i="5"/>
  <c r="B1364" i="5"/>
  <c r="B1362" i="5"/>
  <c r="B1361" i="5"/>
  <c r="B1359" i="5"/>
  <c r="B1358" i="5"/>
  <c r="B1356" i="5"/>
  <c r="B1326" i="5"/>
  <c r="B1325" i="5"/>
  <c r="B1323" i="5"/>
  <c r="B1322" i="5"/>
  <c r="B1320" i="5"/>
  <c r="B1318" i="5"/>
  <c r="B1317" i="5"/>
  <c r="B1315" i="5"/>
  <c r="B1314" i="5"/>
  <c r="B1312" i="5"/>
  <c r="B1310" i="5"/>
  <c r="B1309" i="5"/>
  <c r="B1307" i="5"/>
  <c r="B1306" i="5"/>
  <c r="B1304" i="5"/>
  <c r="B1245" i="5"/>
  <c r="B1230" i="5"/>
  <c r="B1016" i="5"/>
  <c r="B1010" i="5"/>
  <c r="B996" i="5"/>
  <c r="B990" i="5"/>
  <c r="AF663" i="2"/>
  <c r="AF658" i="2"/>
  <c r="AF657" i="2"/>
  <c r="AF656" i="2"/>
  <c r="AF655" i="2"/>
  <c r="AF654" i="2"/>
  <c r="AF653" i="2"/>
  <c r="AL652" i="2"/>
  <c r="AJ652" i="2"/>
  <c r="AH652" i="2"/>
  <c r="AG652" i="2"/>
  <c r="AF639" i="2"/>
  <c r="AF638" i="2"/>
  <c r="AF637" i="2"/>
  <c r="AF636" i="2"/>
  <c r="AL632" i="2"/>
  <c r="AI632" i="2"/>
  <c r="AH632" i="2"/>
  <c r="AG632" i="2"/>
  <c r="AF632" i="2"/>
  <c r="AF618" i="2"/>
  <c r="AF616" i="2"/>
  <c r="AF615" i="2"/>
  <c r="AF613" i="2"/>
  <c r="AL612" i="2"/>
  <c r="AJ612" i="2"/>
  <c r="AH612" i="2"/>
  <c r="AF612" i="2"/>
  <c r="AG611" i="2"/>
  <c r="AF597" i="2"/>
  <c r="AK593" i="2"/>
  <c r="AJ593" i="2"/>
  <c r="AH593" i="2"/>
  <c r="AF582" i="2"/>
  <c r="AF579" i="2"/>
  <c r="AL577" i="2"/>
  <c r="AK577" i="2"/>
  <c r="AJ577" i="2"/>
  <c r="AI577" i="2"/>
  <c r="AH577" i="2"/>
  <c r="AG577" i="2"/>
  <c r="AF577" i="2"/>
  <c r="AF571" i="2"/>
  <c r="AF568" i="2"/>
  <c r="AF567" i="2"/>
  <c r="AF564" i="2"/>
  <c r="AF562" i="2"/>
  <c r="AK561" i="2"/>
  <c r="AI561" i="2"/>
  <c r="AG561" i="2"/>
  <c r="AF551" i="2"/>
  <c r="AF547" i="2"/>
  <c r="AF545" i="2"/>
  <c r="AL542" i="2"/>
  <c r="AI542" i="2"/>
  <c r="AG542" i="2"/>
  <c r="AG541" i="2"/>
  <c r="AF538" i="2"/>
  <c r="AF537" i="2"/>
  <c r="B814" i="5"/>
  <c r="B813" i="5"/>
  <c r="B812" i="5"/>
  <c r="B811" i="5"/>
  <c r="B810" i="5"/>
  <c r="B809" i="5"/>
  <c r="B808" i="5"/>
  <c r="B807" i="5"/>
  <c r="B806" i="5"/>
  <c r="B805" i="5"/>
  <c r="B791" i="5"/>
  <c r="B790" i="5"/>
  <c r="B788" i="5"/>
  <c r="B787" i="5"/>
  <c r="B785" i="5"/>
  <c r="B783" i="5"/>
  <c r="B782" i="5"/>
  <c r="B780" i="5"/>
  <c r="B779" i="5"/>
  <c r="B777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667" i="5"/>
  <c r="B657" i="5"/>
  <c r="B642" i="5"/>
  <c r="B627" i="5"/>
  <c r="B612" i="5"/>
  <c r="B597" i="5"/>
  <c r="B567" i="5"/>
  <c r="B537" i="5"/>
  <c r="B507" i="5"/>
  <c r="B318" i="5"/>
  <c r="B309" i="5"/>
  <c r="B295" i="5"/>
  <c r="B289" i="5"/>
  <c r="B275" i="5"/>
  <c r="B269" i="5"/>
  <c r="B196" i="5"/>
  <c r="B190" i="5"/>
  <c r="B172" i="5"/>
  <c r="B166" i="5"/>
  <c r="B148" i="5"/>
  <c r="B142" i="5"/>
  <c r="AF662" i="2"/>
  <c r="AF661" i="2"/>
  <c r="AF659" i="2"/>
  <c r="AK652" i="2"/>
  <c r="AI652" i="2"/>
  <c r="AF652" i="2"/>
  <c r="AG651" i="2"/>
  <c r="AF643" i="2"/>
  <c r="AF642" i="2"/>
  <c r="AF641" i="2"/>
  <c r="AF640" i="2"/>
  <c r="AF634" i="2"/>
  <c r="AF633" i="2"/>
  <c r="AK632" i="2"/>
  <c r="AJ632" i="2"/>
  <c r="AG631" i="2"/>
  <c r="AF623" i="2"/>
  <c r="AF620" i="2"/>
  <c r="AF619" i="2"/>
  <c r="AF617" i="2"/>
  <c r="AF614" i="2"/>
  <c r="AK612" i="2"/>
  <c r="AI612" i="2"/>
  <c r="AG612" i="2"/>
  <c r="AF605" i="2"/>
  <c r="AF602" i="2"/>
  <c r="AF600" i="2"/>
  <c r="AF599" i="2"/>
  <c r="AF598" i="2"/>
  <c r="AF596" i="2"/>
  <c r="AF595" i="2"/>
  <c r="AL593" i="2"/>
  <c r="AI593" i="2"/>
  <c r="AG593" i="2"/>
  <c r="AF593" i="2"/>
  <c r="AF589" i="2"/>
  <c r="AF587" i="2"/>
  <c r="AF585" i="2"/>
  <c r="AF584" i="2"/>
  <c r="AF581" i="2"/>
  <c r="AF580" i="2"/>
  <c r="AF578" i="2"/>
  <c r="AF573" i="2"/>
  <c r="AF572" i="2"/>
  <c r="AF570" i="2"/>
  <c r="AF569" i="2"/>
  <c r="AF566" i="2"/>
  <c r="AF565" i="2"/>
  <c r="AF563" i="2"/>
  <c r="AL561" i="2"/>
  <c r="AJ561" i="2"/>
  <c r="AH561" i="2"/>
  <c r="AF561" i="2"/>
  <c r="AG560" i="2"/>
  <c r="AF554" i="2"/>
  <c r="AF553" i="2"/>
  <c r="AF550" i="2"/>
  <c r="AF549" i="2"/>
  <c r="AF544" i="2"/>
  <c r="AF543" i="2"/>
  <c r="AK542" i="2"/>
  <c r="AJ542" i="2"/>
  <c r="AH542" i="2"/>
  <c r="AF542" i="2"/>
  <c r="AF536" i="2"/>
  <c r="AF534" i="2"/>
  <c r="AF531" i="2"/>
  <c r="AF530" i="2"/>
  <c r="AF529" i="2"/>
  <c r="AF528" i="2"/>
  <c r="AF527" i="2"/>
  <c r="AL526" i="2"/>
  <c r="AK526" i="2"/>
  <c r="AJ526" i="2"/>
  <c r="AI526" i="2"/>
  <c r="AH526" i="2"/>
  <c r="AG526" i="2"/>
  <c r="AF526" i="2"/>
  <c r="AG525" i="2"/>
  <c r="AF522" i="2"/>
  <c r="AF521" i="2"/>
  <c r="AF520" i="2"/>
  <c r="AF519" i="2"/>
  <c r="AF518" i="2"/>
  <c r="AF517" i="2"/>
  <c r="AF516" i="2"/>
  <c r="AF515" i="2"/>
  <c r="AF514" i="2"/>
  <c r="AF513" i="2"/>
  <c r="AF512" i="2"/>
  <c r="AF511" i="2"/>
  <c r="AL510" i="2"/>
  <c r="AK510" i="2"/>
  <c r="AJ510" i="2"/>
  <c r="AI510" i="2"/>
  <c r="AH510" i="2"/>
  <c r="AG510" i="2"/>
  <c r="AF510" i="2"/>
  <c r="AG509" i="2"/>
  <c r="AF497" i="2"/>
  <c r="AF496" i="2"/>
  <c r="AQ495" i="2"/>
  <c r="B1551" i="5" s="1"/>
  <c r="AF495" i="2"/>
  <c r="W495" i="2"/>
  <c r="B1550" i="5" s="1"/>
  <c r="C495" i="2"/>
  <c r="B1549" i="5" s="1"/>
  <c r="AF494" i="2"/>
  <c r="AF493" i="2"/>
  <c r="AF492" i="2"/>
  <c r="AQ491" i="2"/>
  <c r="B1548" i="5" s="1"/>
  <c r="AF491" i="2"/>
  <c r="W491" i="2"/>
  <c r="B1547" i="5" s="1"/>
  <c r="C491" i="2"/>
  <c r="B1546" i="5" s="1"/>
  <c r="AF490" i="2"/>
  <c r="AF489" i="2"/>
  <c r="AF488" i="2"/>
  <c r="AF487" i="2"/>
  <c r="AF486" i="2"/>
  <c r="AL485" i="2"/>
  <c r="AK485" i="2"/>
  <c r="AJ485" i="2"/>
  <c r="AI485" i="2"/>
  <c r="AH485" i="2"/>
  <c r="AG485" i="2"/>
  <c r="AF485" i="2"/>
  <c r="AG484" i="2"/>
  <c r="AR479" i="2"/>
  <c r="B1545" i="5" s="1"/>
  <c r="X479" i="2"/>
  <c r="B1542" i="5" s="1"/>
  <c r="D479" i="2"/>
  <c r="B1539" i="5" s="1"/>
  <c r="AF477" i="2"/>
  <c r="AF476" i="2"/>
  <c r="BA475" i="2"/>
  <c r="AQ475" i="2"/>
  <c r="B1536" i="5" s="1"/>
  <c r="AG475" i="2"/>
  <c r="B1535" i="5" s="1"/>
  <c r="AF475" i="2"/>
  <c r="W475" i="2"/>
  <c r="B1533" i="5" s="1"/>
  <c r="M475" i="2"/>
  <c r="B1532" i="5" s="1"/>
  <c r="C475" i="2"/>
  <c r="B1530" i="5" s="1"/>
  <c r="AR474" i="2"/>
  <c r="AR475" i="2" s="1"/>
  <c r="B1537" i="5" s="1"/>
  <c r="AF474" i="2"/>
  <c r="X474" i="2"/>
  <c r="X475" i="2" s="1"/>
  <c r="B1534" i="5" s="1"/>
  <c r="D474" i="2"/>
  <c r="D475" i="2" s="1"/>
  <c r="B1531" i="5" s="1"/>
  <c r="AF473" i="2"/>
  <c r="AF472" i="2"/>
  <c r="AQ471" i="2"/>
  <c r="B1528" i="5" s="1"/>
  <c r="AF471" i="2"/>
  <c r="W471" i="2"/>
  <c r="B1526" i="5" s="1"/>
  <c r="C471" i="2"/>
  <c r="B1524" i="5" s="1"/>
  <c r="AR470" i="2"/>
  <c r="AR471" i="2" s="1"/>
  <c r="B1529" i="5" s="1"/>
  <c r="AF470" i="2"/>
  <c r="X470" i="2"/>
  <c r="X471" i="2" s="1"/>
  <c r="B1527" i="5" s="1"/>
  <c r="D470" i="2"/>
  <c r="D471" i="2" s="1"/>
  <c r="B1525" i="5" s="1"/>
  <c r="AF469" i="2"/>
  <c r="AQ468" i="2"/>
  <c r="AF468" i="2"/>
  <c r="W468" i="2"/>
  <c r="C468" i="2"/>
  <c r="AQ467" i="2"/>
  <c r="AF467" i="2"/>
  <c r="W467" i="2"/>
  <c r="C467" i="2"/>
  <c r="AR466" i="2"/>
  <c r="AF466" i="2"/>
  <c r="X466" i="2"/>
  <c r="D466" i="2"/>
  <c r="AL465" i="2"/>
  <c r="AK465" i="2"/>
  <c r="AJ465" i="2"/>
  <c r="AI465" i="2"/>
  <c r="AH465" i="2"/>
  <c r="AG465" i="2"/>
  <c r="AF465" i="2"/>
  <c r="AG464" i="2"/>
  <c r="AR459" i="2"/>
  <c r="B1523" i="5" s="1"/>
  <c r="X459" i="2"/>
  <c r="B1520" i="5" s="1"/>
  <c r="D459" i="2"/>
  <c r="B1517" i="5" s="1"/>
  <c r="AF456" i="2"/>
  <c r="BA455" i="2"/>
  <c r="AQ455" i="2"/>
  <c r="B1514" i="5" s="1"/>
  <c r="AG455" i="2"/>
  <c r="B1513" i="5" s="1"/>
  <c r="AF455" i="2"/>
  <c r="W455" i="2"/>
  <c r="B1511" i="5" s="1"/>
  <c r="M455" i="2"/>
  <c r="B1510" i="5" s="1"/>
  <c r="C455" i="2"/>
  <c r="B1508" i="5" s="1"/>
  <c r="AR454" i="2"/>
  <c r="AR455" i="2" s="1"/>
  <c r="B1515" i="5" s="1"/>
  <c r="AF454" i="2"/>
  <c r="X454" i="2"/>
  <c r="X455" i="2" s="1"/>
  <c r="B1512" i="5" s="1"/>
  <c r="D454" i="2"/>
  <c r="D455" i="2" s="1"/>
  <c r="B1509" i="5" s="1"/>
  <c r="AF453" i="2"/>
  <c r="AF452" i="2"/>
  <c r="BA451" i="2"/>
  <c r="AQ451" i="2"/>
  <c r="B1506" i="5" s="1"/>
  <c r="AG451" i="2"/>
  <c r="B1505" i="5" s="1"/>
  <c r="AF451" i="2"/>
  <c r="W451" i="2"/>
  <c r="B1503" i="5" s="1"/>
  <c r="M451" i="2"/>
  <c r="B1502" i="5" s="1"/>
  <c r="C451" i="2"/>
  <c r="B1500" i="5" s="1"/>
  <c r="AR450" i="2"/>
  <c r="AR451" i="2" s="1"/>
  <c r="B1507" i="5" s="1"/>
  <c r="AF450" i="2"/>
  <c r="X450" i="2"/>
  <c r="X451" i="2" s="1"/>
  <c r="B1504" i="5" s="1"/>
  <c r="D450" i="2"/>
  <c r="D451" i="2" s="1"/>
  <c r="B1501" i="5" s="1"/>
  <c r="AQ449" i="2"/>
  <c r="AF449" i="2"/>
  <c r="W449" i="2"/>
  <c r="C449" i="2"/>
  <c r="AQ448" i="2"/>
  <c r="AF448" i="2"/>
  <c r="W448" i="2"/>
  <c r="C448" i="2"/>
  <c r="AQ447" i="2"/>
  <c r="AF447" i="2"/>
  <c r="W447" i="2"/>
  <c r="C447" i="2"/>
  <c r="AR446" i="2"/>
  <c r="AF446" i="2"/>
  <c r="X446" i="2"/>
  <c r="D446" i="2"/>
  <c r="AL445" i="2"/>
  <c r="AK445" i="2"/>
  <c r="AJ445" i="2"/>
  <c r="AI445" i="2"/>
  <c r="AH445" i="2"/>
  <c r="AG445" i="2"/>
  <c r="AF445" i="2"/>
  <c r="AG444" i="2"/>
  <c r="AF438" i="2"/>
  <c r="AF437" i="2"/>
  <c r="AF436" i="2"/>
  <c r="AF435" i="2"/>
  <c r="AF434" i="2"/>
  <c r="AF433" i="2"/>
  <c r="AF432" i="2"/>
  <c r="AF431" i="2"/>
  <c r="AF430" i="2"/>
  <c r="AF429" i="2"/>
  <c r="AF428" i="2"/>
  <c r="AF427" i="2"/>
  <c r="AL426" i="2"/>
  <c r="AK426" i="2"/>
  <c r="AJ426" i="2"/>
  <c r="AI426" i="2"/>
  <c r="AH426" i="2"/>
  <c r="AG426" i="2"/>
  <c r="AF426" i="2"/>
  <c r="AG425" i="2"/>
  <c r="AF422" i="2"/>
  <c r="AF421" i="2"/>
  <c r="W421" i="2"/>
  <c r="M421" i="2"/>
  <c r="B1492" i="5" s="1"/>
  <c r="D421" i="2"/>
  <c r="AF420" i="2"/>
  <c r="W420" i="2"/>
  <c r="M420" i="2"/>
  <c r="B1482" i="5" s="1"/>
  <c r="D420" i="2"/>
  <c r="AQ419" i="2"/>
  <c r="AG419" i="2"/>
  <c r="AF419" i="2"/>
  <c r="X419" i="2"/>
  <c r="N419" i="2"/>
  <c r="AF418" i="2"/>
  <c r="AF417" i="2"/>
  <c r="W417" i="2"/>
  <c r="C417" i="2"/>
  <c r="AF416" i="2"/>
  <c r="W416" i="2"/>
  <c r="C416" i="2"/>
  <c r="AG415" i="2"/>
  <c r="AF415" i="2"/>
  <c r="X415" i="2"/>
  <c r="M415" i="2"/>
  <c r="D415" i="2"/>
  <c r="AF414" i="2"/>
  <c r="AF413" i="2"/>
  <c r="AF412" i="2"/>
  <c r="AF411" i="2"/>
  <c r="AL410" i="2"/>
  <c r="AK410" i="2"/>
  <c r="AJ410" i="2"/>
  <c r="AI410" i="2"/>
  <c r="AH410" i="2"/>
  <c r="AG410" i="2"/>
  <c r="AF410" i="2"/>
  <c r="AG409" i="2"/>
  <c r="AF406" i="2"/>
  <c r="AF405" i="2"/>
  <c r="AF404" i="2"/>
  <c r="W404" i="2"/>
  <c r="M404" i="2"/>
  <c r="B1452" i="5" s="1"/>
  <c r="D404" i="2"/>
  <c r="AQ403" i="2"/>
  <c r="AG403" i="2"/>
  <c r="AF403" i="2"/>
  <c r="X403" i="2"/>
  <c r="N403" i="2"/>
  <c r="AF402" i="2"/>
  <c r="AF401" i="2"/>
  <c r="AF400" i="2"/>
  <c r="W400" i="2"/>
  <c r="C400" i="2"/>
  <c r="AG399" i="2"/>
  <c r="AF399" i="2"/>
  <c r="X399" i="2"/>
  <c r="M399" i="2"/>
  <c r="D399" i="2"/>
  <c r="AF398" i="2"/>
  <c r="AF397" i="2"/>
  <c r="AF396" i="2"/>
  <c r="AQ328" i="2"/>
  <c r="B1383" i="5" s="1"/>
  <c r="AF326" i="2"/>
  <c r="AQ324" i="2"/>
  <c r="B1377" i="5" s="1"/>
  <c r="AF324" i="2"/>
  <c r="W324" i="2"/>
  <c r="B1376" i="5" s="1"/>
  <c r="C324" i="2"/>
  <c r="B1375" i="5" s="1"/>
  <c r="AQ323" i="2"/>
  <c r="B1374" i="5" s="1"/>
  <c r="AF323" i="2"/>
  <c r="W323" i="2"/>
  <c r="B1373" i="5" s="1"/>
  <c r="C323" i="2"/>
  <c r="B1372" i="5" s="1"/>
  <c r="AF322" i="2"/>
  <c r="AF321" i="2"/>
  <c r="AF318" i="2"/>
  <c r="AK317" i="2"/>
  <c r="AH317" i="2"/>
  <c r="AF317" i="2"/>
  <c r="D312" i="2"/>
  <c r="B1365" i="5" s="1"/>
  <c r="AR311" i="2"/>
  <c r="B1363" i="5" s="1"/>
  <c r="D311" i="2"/>
  <c r="B1357" i="5" s="1"/>
  <c r="AG308" i="2"/>
  <c r="B1353" i="5" s="1"/>
  <c r="W308" i="2"/>
  <c r="B1351" i="5" s="1"/>
  <c r="M308" i="2"/>
  <c r="B1350" i="5" s="1"/>
  <c r="C308" i="2"/>
  <c r="B1348" i="5" s="1"/>
  <c r="AQ307" i="2"/>
  <c r="B1346" i="5" s="1"/>
  <c r="AR306" i="2"/>
  <c r="AF306" i="2"/>
  <c r="X306" i="2"/>
  <c r="D306" i="2"/>
  <c r="AF305" i="2"/>
  <c r="AQ304" i="2"/>
  <c r="B1338" i="5" s="1"/>
  <c r="AF304" i="2"/>
  <c r="W304" i="2"/>
  <c r="B1336" i="5" s="1"/>
  <c r="C304" i="2"/>
  <c r="B1334" i="5" s="1"/>
  <c r="AQ303" i="2"/>
  <c r="B1332" i="5" s="1"/>
  <c r="AF303" i="2"/>
  <c r="W303" i="2"/>
  <c r="B1330" i="5" s="1"/>
  <c r="C303" i="2"/>
  <c r="B1328" i="5" s="1"/>
  <c r="AR302" i="2"/>
  <c r="AF302" i="2"/>
  <c r="X302" i="2"/>
  <c r="D302" i="2"/>
  <c r="AF301" i="2"/>
  <c r="AQ300" i="2"/>
  <c r="AF300" i="2"/>
  <c r="W300" i="2"/>
  <c r="C300" i="2"/>
  <c r="AQ299" i="2"/>
  <c r="AF299" i="2"/>
  <c r="W299" i="2"/>
  <c r="C299" i="2"/>
  <c r="AR298" i="2"/>
  <c r="AF298" i="2"/>
  <c r="X298" i="2"/>
  <c r="D298" i="2"/>
  <c r="AL297" i="2"/>
  <c r="AK297" i="2"/>
  <c r="AJ297" i="2"/>
  <c r="AI297" i="2"/>
  <c r="AH297" i="2"/>
  <c r="AG297" i="2"/>
  <c r="AF297" i="2"/>
  <c r="AG296" i="2"/>
  <c r="AR292" i="2"/>
  <c r="B1327" i="5" s="1"/>
  <c r="X292" i="2"/>
  <c r="B1324" i="5" s="1"/>
  <c r="D292" i="2"/>
  <c r="B1321" i="5" s="1"/>
  <c r="AR291" i="2"/>
  <c r="B1319" i="5" s="1"/>
  <c r="X291" i="2"/>
  <c r="B1316" i="5" s="1"/>
  <c r="D291" i="2"/>
  <c r="B1313" i="5" s="1"/>
  <c r="AF288" i="2"/>
  <c r="AG58" i="2"/>
  <c r="AF50" i="2"/>
  <c r="AF49" i="2"/>
  <c r="E49" i="2"/>
  <c r="AF46" i="2"/>
  <c r="AF42" i="2"/>
  <c r="W16" i="2"/>
  <c r="B128" i="5" s="1"/>
  <c r="C15" i="2"/>
  <c r="B96" i="5" s="1"/>
  <c r="X13" i="2"/>
  <c r="C12" i="2"/>
  <c r="B50" i="5" s="1"/>
  <c r="AG10" i="2"/>
  <c r="B17" i="5" s="1"/>
  <c r="AF8" i="2"/>
  <c r="K54" i="1"/>
  <c r="K11" i="1"/>
  <c r="K12" i="1" s="1"/>
  <c r="C396" i="2"/>
  <c r="AF395" i="2"/>
  <c r="W395" i="2"/>
  <c r="M395" i="2"/>
  <c r="D395" i="2"/>
  <c r="AL394" i="2"/>
  <c r="AK394" i="2"/>
  <c r="AJ394" i="2"/>
  <c r="AI394" i="2"/>
  <c r="AH394" i="2"/>
  <c r="AG394" i="2"/>
  <c r="AF394" i="2"/>
  <c r="AG393" i="2"/>
  <c r="AF387" i="2"/>
  <c r="AF386" i="2"/>
  <c r="AF385" i="2"/>
  <c r="AF384" i="2"/>
  <c r="AF383" i="2"/>
  <c r="AF382" i="2"/>
  <c r="AF381" i="2"/>
  <c r="AF380" i="2"/>
  <c r="AF379" i="2"/>
  <c r="AF378" i="2"/>
  <c r="AF377" i="2"/>
  <c r="AF376" i="2"/>
  <c r="AL375" i="2"/>
  <c r="AK375" i="2"/>
  <c r="AJ375" i="2"/>
  <c r="AI375" i="2"/>
  <c r="AH375" i="2"/>
  <c r="AG375" i="2"/>
  <c r="AF375" i="2"/>
  <c r="AG374" i="2"/>
  <c r="AF371" i="2"/>
  <c r="AF370" i="2"/>
  <c r="AF369" i="2"/>
  <c r="W369" i="2"/>
  <c r="B1426" i="5" s="1"/>
  <c r="D369" i="2"/>
  <c r="B1425" i="5" s="1"/>
  <c r="AQ368" i="2"/>
  <c r="AF368" i="2"/>
  <c r="X368" i="2"/>
  <c r="X369" i="2" s="1"/>
  <c r="B1427" i="5" s="1"/>
  <c r="AF367" i="2"/>
  <c r="AF366" i="2"/>
  <c r="AF365" i="2"/>
  <c r="W365" i="2"/>
  <c r="B1420" i="5" s="1"/>
  <c r="C365" i="2"/>
  <c r="B1418" i="5" s="1"/>
  <c r="AF364" i="2"/>
  <c r="X364" i="2"/>
  <c r="X365" i="2" s="1"/>
  <c r="B1421" i="5" s="1"/>
  <c r="D364" i="2"/>
  <c r="AF363" i="2"/>
  <c r="AF362" i="2"/>
  <c r="AF361" i="2"/>
  <c r="W361" i="2"/>
  <c r="B1414" i="5" s="1"/>
  <c r="C361" i="2"/>
  <c r="B1412" i="5" s="1"/>
  <c r="AF360" i="2"/>
  <c r="X360" i="2"/>
  <c r="X361" i="2" s="1"/>
  <c r="B1415" i="5" s="1"/>
  <c r="AL359" i="2"/>
  <c r="AK359" i="2"/>
  <c r="AJ359" i="2"/>
  <c r="AI359" i="2"/>
  <c r="AH359" i="2"/>
  <c r="AG359" i="2"/>
  <c r="AF359" i="2"/>
  <c r="AG358" i="2"/>
  <c r="AF355" i="2"/>
  <c r="AF354" i="2"/>
  <c r="AF353" i="2"/>
  <c r="W353" i="2"/>
  <c r="B1408" i="5" s="1"/>
  <c r="D353" i="2"/>
  <c r="B1407" i="5" s="1"/>
  <c r="AQ352" i="2"/>
  <c r="AF352" i="2"/>
  <c r="X352" i="2"/>
  <c r="X353" i="2" s="1"/>
  <c r="B1409" i="5" s="1"/>
  <c r="AF351" i="2"/>
  <c r="AF350" i="2"/>
  <c r="AF349" i="2"/>
  <c r="W349" i="2"/>
  <c r="B1402" i="5" s="1"/>
  <c r="C349" i="2"/>
  <c r="B1400" i="5" s="1"/>
  <c r="AF348" i="2"/>
  <c r="X348" i="2"/>
  <c r="X349" i="2" s="1"/>
  <c r="B1403" i="5" s="1"/>
  <c r="D348" i="2"/>
  <c r="D349" i="2" s="1"/>
  <c r="B1401" i="5" s="1"/>
  <c r="AF347" i="2"/>
  <c r="AF346" i="2"/>
  <c r="AF345" i="2"/>
  <c r="W345" i="2"/>
  <c r="B1396" i="5" s="1"/>
  <c r="C345" i="2"/>
  <c r="B1394" i="5" s="1"/>
  <c r="AF344" i="2"/>
  <c r="X344" i="2"/>
  <c r="X345" i="2" s="1"/>
  <c r="B1397" i="5" s="1"/>
  <c r="D344" i="2"/>
  <c r="D345" i="2" s="1"/>
  <c r="B1395" i="5" s="1"/>
  <c r="AL343" i="2"/>
  <c r="AK343" i="2"/>
  <c r="AJ343" i="2"/>
  <c r="AI343" i="2"/>
  <c r="AH343" i="2"/>
  <c r="AG343" i="2"/>
  <c r="AF343" i="2"/>
  <c r="AG342" i="2"/>
  <c r="AF328" i="2"/>
  <c r="W328" i="2"/>
  <c r="B1382" i="5" s="1"/>
  <c r="C328" i="2"/>
  <c r="B1381" i="5" s="1"/>
  <c r="AQ327" i="2"/>
  <c r="B1380" i="5" s="1"/>
  <c r="AF327" i="2"/>
  <c r="W327" i="2"/>
  <c r="B1379" i="5" s="1"/>
  <c r="C327" i="2"/>
  <c r="B1378" i="5" s="1"/>
  <c r="AF320" i="2"/>
  <c r="AL317" i="2"/>
  <c r="AJ317" i="2"/>
  <c r="AI317" i="2"/>
  <c r="AG317" i="2"/>
  <c r="AG316" i="2"/>
  <c r="AR312" i="2"/>
  <c r="B1371" i="5" s="1"/>
  <c r="X312" i="2"/>
  <c r="B1368" i="5" s="1"/>
  <c r="X311" i="2"/>
  <c r="B1360" i="5" s="1"/>
  <c r="AF309" i="2"/>
  <c r="BA308" i="2"/>
  <c r="AQ308" i="2"/>
  <c r="B1354" i="5" s="1"/>
  <c r="AF308" i="2"/>
  <c r="BA307" i="2"/>
  <c r="AG307" i="2"/>
  <c r="B1345" i="5" s="1"/>
  <c r="AF307" i="2"/>
  <c r="W307" i="2"/>
  <c r="B1343" i="5" s="1"/>
  <c r="M307" i="2"/>
  <c r="B1342" i="5" s="1"/>
  <c r="C307" i="2"/>
  <c r="B1340" i="5" s="1"/>
  <c r="W51" i="2"/>
  <c r="B321" i="5" s="1"/>
  <c r="W50" i="2"/>
  <c r="B312" i="5" s="1"/>
  <c r="X49" i="2"/>
  <c r="AF43" i="2"/>
  <c r="AG16" i="2"/>
  <c r="B133" i="5" s="1"/>
  <c r="AF15" i="2"/>
  <c r="M15" i="2"/>
  <c r="B102" i="5" s="1"/>
  <c r="AF14" i="2"/>
  <c r="W14" i="2"/>
  <c r="B81" i="5" s="1"/>
  <c r="C14" i="2"/>
  <c r="B72" i="5" s="1"/>
  <c r="AG11" i="2"/>
  <c r="B41" i="5" s="1"/>
  <c r="M11" i="2"/>
  <c r="B32" i="5" s="1"/>
  <c r="AF10" i="2"/>
  <c r="M10" i="2"/>
  <c r="B8" i="5" s="1"/>
  <c r="D9" i="2"/>
  <c r="AL8" i="2"/>
  <c r="AI8" i="2"/>
  <c r="AG7" i="2"/>
  <c r="C59" i="1"/>
  <c r="D52" i="1"/>
  <c r="K49" i="1"/>
  <c r="AQ287" i="2"/>
  <c r="B1302" i="5" s="1"/>
  <c r="AG287" i="2"/>
  <c r="B1301" i="5" s="1"/>
  <c r="AF287" i="2"/>
  <c r="W287" i="2"/>
  <c r="B1299" i="5" s="1"/>
  <c r="M287" i="2"/>
  <c r="B1298" i="5" s="1"/>
  <c r="C287" i="2"/>
  <c r="B1296" i="5" s="1"/>
  <c r="AR286" i="2"/>
  <c r="AF286" i="2"/>
  <c r="X286" i="2"/>
  <c r="D286" i="2"/>
  <c r="AF285" i="2"/>
  <c r="BA284" i="2"/>
  <c r="AQ284" i="2"/>
  <c r="B1294" i="5" s="1"/>
  <c r="AG284" i="2"/>
  <c r="B1293" i="5" s="1"/>
  <c r="AF284" i="2"/>
  <c r="W284" i="2"/>
  <c r="B1291" i="5" s="1"/>
  <c r="M284" i="2"/>
  <c r="B1290" i="5" s="1"/>
  <c r="C284" i="2"/>
  <c r="B1288" i="5" s="1"/>
  <c r="BA283" i="2"/>
  <c r="AQ283" i="2"/>
  <c r="B1286" i="5" s="1"/>
  <c r="AG283" i="2"/>
  <c r="B1285" i="5" s="1"/>
  <c r="AF283" i="2"/>
  <c r="W283" i="2"/>
  <c r="B1283" i="5" s="1"/>
  <c r="M283" i="2"/>
  <c r="B1282" i="5" s="1"/>
  <c r="C283" i="2"/>
  <c r="B1280" i="5" s="1"/>
  <c r="AR282" i="2"/>
  <c r="AF282" i="2"/>
  <c r="X282" i="2"/>
  <c r="D282" i="2"/>
  <c r="AF281" i="2"/>
  <c r="AQ280" i="2"/>
  <c r="AF280" i="2"/>
  <c r="W280" i="2"/>
  <c r="C280" i="2"/>
  <c r="AQ279" i="2"/>
  <c r="AF279" i="2"/>
  <c r="W279" i="2"/>
  <c r="C279" i="2"/>
  <c r="AR278" i="2"/>
  <c r="AF278" i="2"/>
  <c r="X278" i="2"/>
  <c r="D278" i="2"/>
  <c r="AL277" i="2"/>
  <c r="AK277" i="2"/>
  <c r="AJ277" i="2"/>
  <c r="AI277" i="2"/>
  <c r="AH277" i="2"/>
  <c r="AG277" i="2"/>
  <c r="AF277" i="2"/>
  <c r="AG276" i="2"/>
  <c r="AF270" i="2"/>
  <c r="AF269" i="2"/>
  <c r="W269" i="2"/>
  <c r="M269" i="2"/>
  <c r="B1272" i="5" s="1"/>
  <c r="D269" i="2"/>
  <c r="AF268" i="2"/>
  <c r="W268" i="2"/>
  <c r="M268" i="2"/>
  <c r="B1262" i="5" s="1"/>
  <c r="D268" i="2"/>
  <c r="AQ267" i="2"/>
  <c r="AG267" i="2"/>
  <c r="AF267" i="2"/>
  <c r="X267" i="2"/>
  <c r="N267" i="2"/>
  <c r="AF266" i="2"/>
  <c r="AF265" i="2"/>
  <c r="AF264" i="2"/>
  <c r="AF263" i="2"/>
  <c r="AF262" i="2"/>
  <c r="AF261" i="2"/>
  <c r="AF260" i="2"/>
  <c r="AF259" i="2"/>
  <c r="AL258" i="2"/>
  <c r="AK258" i="2"/>
  <c r="AJ258" i="2"/>
  <c r="AI258" i="2"/>
  <c r="AH258" i="2"/>
  <c r="AG258" i="2"/>
  <c r="AF258" i="2"/>
  <c r="AG257" i="2"/>
  <c r="AF254" i="2"/>
  <c r="AF253" i="2"/>
  <c r="W253" i="2"/>
  <c r="M253" i="2"/>
  <c r="B1248" i="5" s="1"/>
  <c r="D253" i="2"/>
  <c r="AF252" i="2"/>
  <c r="W252" i="2"/>
  <c r="M252" i="2"/>
  <c r="B1233" i="5" s="1"/>
  <c r="D252" i="2"/>
  <c r="AQ251" i="2"/>
  <c r="AG251" i="2"/>
  <c r="AF251" i="2"/>
  <c r="X251" i="2"/>
  <c r="N251" i="2"/>
  <c r="E251" i="2"/>
  <c r="AF250" i="2"/>
  <c r="AF249" i="2"/>
  <c r="W249" i="2"/>
  <c r="C249" i="2"/>
  <c r="AF248" i="2"/>
  <c r="W248" i="2"/>
  <c r="C248" i="2"/>
  <c r="AG247" i="2"/>
  <c r="AF247" i="2"/>
  <c r="X247" i="2"/>
  <c r="M247" i="2"/>
  <c r="D247" i="2"/>
  <c r="AF246" i="2"/>
  <c r="AF245" i="2"/>
  <c r="AF199" i="2"/>
  <c r="AF162" i="2"/>
  <c r="AQ161" i="2"/>
  <c r="B804" i="5" s="1"/>
  <c r="C161" i="2"/>
  <c r="B802" i="5" s="1"/>
  <c r="AF159" i="2"/>
  <c r="AF157" i="2"/>
  <c r="AF153" i="2"/>
  <c r="AF151" i="2"/>
  <c r="AH150" i="2"/>
  <c r="X145" i="2"/>
  <c r="B789" i="5" s="1"/>
  <c r="AR144" i="2"/>
  <c r="B784" i="5" s="1"/>
  <c r="AF142" i="2"/>
  <c r="BA141" i="2"/>
  <c r="AF141" i="2"/>
  <c r="W141" i="2"/>
  <c r="B772" i="5" s="1"/>
  <c r="BA140" i="2"/>
  <c r="AQ140" i="2"/>
  <c r="B767" i="5" s="1"/>
  <c r="AG140" i="2"/>
  <c r="B766" i="5" s="1"/>
  <c r="W140" i="2"/>
  <c r="B764" i="5" s="1"/>
  <c r="AF139" i="2"/>
  <c r="X139" i="2"/>
  <c r="C136" i="2"/>
  <c r="B749" i="5" s="1"/>
  <c r="AR135" i="2"/>
  <c r="AF135" i="2"/>
  <c r="AF134" i="2"/>
  <c r="AQ133" i="2"/>
  <c r="AF133" i="2"/>
  <c r="C133" i="2"/>
  <c r="AQ132" i="2"/>
  <c r="AR131" i="2"/>
  <c r="X131" i="2"/>
  <c r="AK130" i="2"/>
  <c r="AH130" i="2"/>
  <c r="AF83" i="2"/>
  <c r="M82" i="2"/>
  <c r="B615" i="5" s="1"/>
  <c r="AF81" i="2"/>
  <c r="AF80" i="2"/>
  <c r="AF62" i="2"/>
  <c r="C61" i="2"/>
  <c r="X60" i="2"/>
  <c r="M60" i="2"/>
  <c r="AK59" i="2"/>
  <c r="AI59" i="2"/>
  <c r="AF59" i="2"/>
  <c r="AF51" i="2"/>
  <c r="AF48" i="2"/>
  <c r="AF44" i="2"/>
  <c r="AG15" i="2"/>
  <c r="B111" i="5" s="1"/>
  <c r="W12" i="2"/>
  <c r="B58" i="5" s="1"/>
  <c r="D44" i="1"/>
  <c r="K40" i="1"/>
  <c r="K37" i="1"/>
  <c r="C29" i="1"/>
  <c r="C28" i="1"/>
  <c r="K19" i="1"/>
  <c r="C34" i="1" s="1"/>
  <c r="K17" i="1"/>
  <c r="C32" i="1" s="1"/>
  <c r="AF244" i="2"/>
  <c r="AF243" i="2"/>
  <c r="AL242" i="2"/>
  <c r="AK242" i="2"/>
  <c r="AJ242" i="2"/>
  <c r="AI242" i="2"/>
  <c r="AH242" i="2"/>
  <c r="AG242" i="2"/>
  <c r="AF242" i="2"/>
  <c r="AG241" i="2"/>
  <c r="AF238" i="2"/>
  <c r="AB238" i="2"/>
  <c r="AL238" i="2" s="1"/>
  <c r="AV238" i="2" s="1"/>
  <c r="BF238" i="2" s="1"/>
  <c r="AA238" i="2"/>
  <c r="AK238" i="2" s="1"/>
  <c r="AU238" i="2" s="1"/>
  <c r="BE238" i="2" s="1"/>
  <c r="Z238" i="2"/>
  <c r="AJ238" i="2" s="1"/>
  <c r="AT238" i="2" s="1"/>
  <c r="BD238" i="2" s="1"/>
  <c r="Y238" i="2"/>
  <c r="AI238" i="2" s="1"/>
  <c r="AS238" i="2" s="1"/>
  <c r="BC238" i="2" s="1"/>
  <c r="X238" i="2"/>
  <c r="AH238" i="2" s="1"/>
  <c r="AR238" i="2" s="1"/>
  <c r="BB238" i="2" s="1"/>
  <c r="W238" i="2"/>
  <c r="AG238" i="2" s="1"/>
  <c r="AQ238" i="2" s="1"/>
  <c r="BA238" i="2" s="1"/>
  <c r="AF237" i="2"/>
  <c r="W237" i="2"/>
  <c r="M237" i="2"/>
  <c r="B1176" i="5" s="1"/>
  <c r="D237" i="2"/>
  <c r="AF236" i="2"/>
  <c r="W236" i="2"/>
  <c r="M236" i="2"/>
  <c r="B1146" i="5" s="1"/>
  <c r="D236" i="2"/>
  <c r="AQ235" i="2"/>
  <c r="AG235" i="2"/>
  <c r="AF235" i="2"/>
  <c r="X235" i="2"/>
  <c r="N235" i="2"/>
  <c r="E235" i="2"/>
  <c r="AF234" i="2"/>
  <c r="AB234" i="2"/>
  <c r="AL234" i="2" s="1"/>
  <c r="AV234" i="2" s="1"/>
  <c r="BF234" i="2" s="1"/>
  <c r="AA234" i="2"/>
  <c r="AK234" i="2" s="1"/>
  <c r="AU234" i="2" s="1"/>
  <c r="BE234" i="2" s="1"/>
  <c r="Z234" i="2"/>
  <c r="AJ234" i="2" s="1"/>
  <c r="AT234" i="2" s="1"/>
  <c r="BD234" i="2" s="1"/>
  <c r="Y234" i="2"/>
  <c r="AI234" i="2" s="1"/>
  <c r="AS234" i="2" s="1"/>
  <c r="BC234" i="2" s="1"/>
  <c r="X234" i="2"/>
  <c r="AH234" i="2" s="1"/>
  <c r="AR234" i="2" s="1"/>
  <c r="BB234" i="2" s="1"/>
  <c r="W234" i="2"/>
  <c r="AG234" i="2" s="1"/>
  <c r="AQ234" i="2" s="1"/>
  <c r="BA234" i="2" s="1"/>
  <c r="AF233" i="2"/>
  <c r="W233" i="2"/>
  <c r="D233" i="2"/>
  <c r="C233" i="2"/>
  <c r="AF232" i="2"/>
  <c r="W232" i="2"/>
  <c r="D232" i="2"/>
  <c r="C232" i="2"/>
  <c r="AG231" i="2"/>
  <c r="AF231" i="2"/>
  <c r="X231" i="2"/>
  <c r="N231" i="2"/>
  <c r="M231" i="2"/>
  <c r="E231" i="2"/>
  <c r="AF230" i="2"/>
  <c r="AB230" i="2"/>
  <c r="AL230" i="2" s="1"/>
  <c r="AV230" i="2" s="1"/>
  <c r="BF230" i="2" s="1"/>
  <c r="AA230" i="2"/>
  <c r="AK230" i="2" s="1"/>
  <c r="AU230" i="2" s="1"/>
  <c r="BE230" i="2" s="1"/>
  <c r="Z230" i="2"/>
  <c r="AJ230" i="2" s="1"/>
  <c r="AT230" i="2" s="1"/>
  <c r="BD230" i="2" s="1"/>
  <c r="Y230" i="2"/>
  <c r="AI230" i="2" s="1"/>
  <c r="AS230" i="2" s="1"/>
  <c r="BC230" i="2" s="1"/>
  <c r="X230" i="2"/>
  <c r="AH230" i="2" s="1"/>
  <c r="AR230" i="2" s="1"/>
  <c r="BB230" i="2" s="1"/>
  <c r="W230" i="2"/>
  <c r="AG230" i="2" s="1"/>
  <c r="AQ230" i="2" s="1"/>
  <c r="BA230" i="2" s="1"/>
  <c r="AF229" i="2"/>
  <c r="AB229" i="2"/>
  <c r="AL229" i="2" s="1"/>
  <c r="AV229" i="2" s="1"/>
  <c r="BF229" i="2" s="1"/>
  <c r="W229" i="2"/>
  <c r="C229" i="2"/>
  <c r="AF228" i="2"/>
  <c r="W228" i="2"/>
  <c r="C228" i="2"/>
  <c r="AG227" i="2"/>
  <c r="AF227" i="2"/>
  <c r="X227" i="2"/>
  <c r="M227" i="2"/>
  <c r="D227" i="2"/>
  <c r="AL226" i="2"/>
  <c r="AK226" i="2"/>
  <c r="AJ226" i="2"/>
  <c r="AI226" i="2"/>
  <c r="AH226" i="2"/>
  <c r="AG226" i="2"/>
  <c r="AF226" i="2"/>
  <c r="AG225" i="2"/>
  <c r="AF219" i="2"/>
  <c r="AF218" i="2"/>
  <c r="AF217" i="2"/>
  <c r="AF216" i="2"/>
  <c r="AF215" i="2"/>
  <c r="AF214" i="2"/>
  <c r="AF213" i="2"/>
  <c r="AF212" i="2"/>
  <c r="AF211" i="2"/>
  <c r="AF210" i="2"/>
  <c r="AF209" i="2"/>
  <c r="AF208" i="2"/>
  <c r="AL207" i="2"/>
  <c r="AK207" i="2"/>
  <c r="AJ207" i="2"/>
  <c r="AI207" i="2"/>
  <c r="AH207" i="2"/>
  <c r="AG207" i="2"/>
  <c r="AF207" i="2"/>
  <c r="AG206" i="2"/>
  <c r="AF203" i="2"/>
  <c r="AF202" i="2"/>
  <c r="W202" i="2"/>
  <c r="B1018" i="5" s="1"/>
  <c r="N202" i="2"/>
  <c r="B1017" i="5" s="1"/>
  <c r="D202" i="2"/>
  <c r="B1011" i="5" s="1"/>
  <c r="AF201" i="2"/>
  <c r="W201" i="2"/>
  <c r="B998" i="5" s="1"/>
  <c r="N201" i="2"/>
  <c r="B997" i="5" s="1"/>
  <c r="D201" i="2"/>
  <c r="B991" i="5" s="1"/>
  <c r="AQ200" i="2"/>
  <c r="AF200" i="2"/>
  <c r="X200" i="2"/>
  <c r="E200" i="2"/>
  <c r="AF161" i="2"/>
  <c r="W161" i="2"/>
  <c r="B803" i="5" s="1"/>
  <c r="AQ160" i="2"/>
  <c r="B801" i="5" s="1"/>
  <c r="W160" i="2"/>
  <c r="B800" i="5" s="1"/>
  <c r="C160" i="2"/>
  <c r="B799" i="5" s="1"/>
  <c r="AQ157" i="2"/>
  <c r="B798" i="5" s="1"/>
  <c r="C157" i="2"/>
  <c r="B796" i="5" s="1"/>
  <c r="AQ156" i="2"/>
  <c r="B795" i="5" s="1"/>
  <c r="AF156" i="2"/>
  <c r="W156" i="2"/>
  <c r="B794" i="5" s="1"/>
  <c r="C156" i="2"/>
  <c r="B793" i="5" s="1"/>
  <c r="AF155" i="2"/>
  <c r="AF152" i="2"/>
  <c r="AG150" i="2"/>
  <c r="AG149" i="2"/>
  <c r="AR145" i="2"/>
  <c r="B792" i="5" s="1"/>
  <c r="D145" i="2"/>
  <c r="B786" i="5" s="1"/>
  <c r="X144" i="2"/>
  <c r="B781" i="5" s="1"/>
  <c r="D144" i="2"/>
  <c r="B778" i="5" s="1"/>
  <c r="AQ141" i="2"/>
  <c r="B775" i="5" s="1"/>
  <c r="M141" i="2"/>
  <c r="B771" i="5" s="1"/>
  <c r="C141" i="2"/>
  <c r="B769" i="5" s="1"/>
  <c r="AF140" i="2"/>
  <c r="M140" i="2"/>
  <c r="B763" i="5" s="1"/>
  <c r="C140" i="2"/>
  <c r="B761" i="5" s="1"/>
  <c r="AR139" i="2"/>
  <c r="D139" i="2"/>
  <c r="AQ137" i="2"/>
  <c r="B759" i="5" s="1"/>
  <c r="AF137" i="2"/>
  <c r="W137" i="2"/>
  <c r="B757" i="5" s="1"/>
  <c r="AF136" i="2"/>
  <c r="W136" i="2"/>
  <c r="B751" i="5" s="1"/>
  <c r="W133" i="2"/>
  <c r="W132" i="2"/>
  <c r="D131" i="2"/>
  <c r="AJ130" i="2"/>
  <c r="AG130" i="2"/>
  <c r="E84" i="2"/>
  <c r="AF82" i="2"/>
  <c r="X81" i="2"/>
  <c r="M81" i="2"/>
  <c r="B600" i="5" s="1"/>
  <c r="AH80" i="2"/>
  <c r="Y80" i="2"/>
  <c r="AF61" i="2"/>
  <c r="AF60" i="2"/>
  <c r="AG59" i="2"/>
  <c r="AF52" i="2"/>
  <c r="D50" i="2"/>
  <c r="B310" i="5" s="1"/>
  <c r="AH13" i="2"/>
  <c r="N13" i="2"/>
  <c r="M12" i="2"/>
  <c r="B55" i="5" s="1"/>
  <c r="C11" i="2"/>
  <c r="B26" i="5" s="1"/>
  <c r="AH9" i="2"/>
  <c r="X9" i="2"/>
  <c r="AJ8" i="2"/>
  <c r="M198" i="2"/>
  <c r="B978" i="5" s="1"/>
  <c r="C198" i="2"/>
  <c r="B973" i="5" s="1"/>
  <c r="AF197" i="2"/>
  <c r="M197" i="2"/>
  <c r="B959" i="5" s="1"/>
  <c r="C197" i="2"/>
  <c r="B953" i="5" s="1"/>
  <c r="AF196" i="2"/>
  <c r="W196" i="2"/>
  <c r="N196" i="2"/>
  <c r="D196" i="2"/>
  <c r="AF195" i="2"/>
  <c r="AF194" i="2"/>
  <c r="AF193" i="2"/>
  <c r="AF192" i="2"/>
  <c r="AL191" i="2"/>
  <c r="AK191" i="2"/>
  <c r="AJ191" i="2"/>
  <c r="AI191" i="2"/>
  <c r="AH191" i="2"/>
  <c r="AG191" i="2"/>
  <c r="AF191" i="2"/>
  <c r="AG190" i="2"/>
  <c r="AF187" i="2"/>
  <c r="AG186" i="2"/>
  <c r="B944" i="5" s="1"/>
  <c r="AF186" i="2"/>
  <c r="W186" i="2"/>
  <c r="B938" i="5" s="1"/>
  <c r="N186" i="2"/>
  <c r="B936" i="5" s="1"/>
  <c r="D186" i="2"/>
  <c r="B930" i="5" s="1"/>
  <c r="AG185" i="2"/>
  <c r="B920" i="5" s="1"/>
  <c r="AF185" i="2"/>
  <c r="W185" i="2"/>
  <c r="B914" i="5" s="1"/>
  <c r="N185" i="2"/>
  <c r="B912" i="5" s="1"/>
  <c r="D185" i="2"/>
  <c r="B906" i="5" s="1"/>
  <c r="AQ184" i="2"/>
  <c r="AH184" i="2"/>
  <c r="AF184" i="2"/>
  <c r="X184" i="2"/>
  <c r="O184" i="2"/>
  <c r="E184" i="2"/>
  <c r="AF183" i="2"/>
  <c r="AG182" i="2"/>
  <c r="B897" i="5" s="1"/>
  <c r="AF182" i="2"/>
  <c r="W182" i="2"/>
  <c r="B892" i="5" s="1"/>
  <c r="M182" i="2"/>
  <c r="B889" i="5" s="1"/>
  <c r="C182" i="2"/>
  <c r="B884" i="5" s="1"/>
  <c r="AG181" i="2"/>
  <c r="B875" i="5" s="1"/>
  <c r="AF181" i="2"/>
  <c r="W181" i="2"/>
  <c r="B869" i="5" s="1"/>
  <c r="M181" i="2"/>
  <c r="B866" i="5" s="1"/>
  <c r="C181" i="2"/>
  <c r="B860" i="5" s="1"/>
  <c r="AH180" i="2"/>
  <c r="AF180" i="2"/>
  <c r="X180" i="2"/>
  <c r="N180" i="2"/>
  <c r="D180" i="2"/>
  <c r="AF179" i="2"/>
  <c r="AG178" i="2"/>
  <c r="B852" i="5" s="1"/>
  <c r="AF178" i="2"/>
  <c r="W178" i="2"/>
  <c r="B847" i="5" s="1"/>
  <c r="M178" i="2"/>
  <c r="B844" i="5" s="1"/>
  <c r="C178" i="2"/>
  <c r="B839" i="5" s="1"/>
  <c r="AG177" i="2"/>
  <c r="B830" i="5" s="1"/>
  <c r="AF177" i="2"/>
  <c r="W177" i="2"/>
  <c r="B824" i="5" s="1"/>
  <c r="M177" i="2"/>
  <c r="B821" i="5" s="1"/>
  <c r="C177" i="2"/>
  <c r="B815" i="5" s="1"/>
  <c r="AH176" i="2"/>
  <c r="AF176" i="2"/>
  <c r="X176" i="2"/>
  <c r="N176" i="2"/>
  <c r="D176" i="2"/>
  <c r="AL175" i="2"/>
  <c r="AK175" i="2"/>
  <c r="AJ175" i="2"/>
  <c r="AI175" i="2"/>
  <c r="AH175" i="2"/>
  <c r="AG175" i="2"/>
  <c r="AF175" i="2"/>
  <c r="AG174" i="2"/>
  <c r="AF158" i="2"/>
  <c r="W157" i="2"/>
  <c r="B797" i="5" s="1"/>
  <c r="AL150" i="2"/>
  <c r="AK150" i="2"/>
  <c r="AJ150" i="2"/>
  <c r="AI150" i="2"/>
  <c r="AF150" i="2"/>
  <c r="AG141" i="2"/>
  <c r="B774" i="5" s="1"/>
  <c r="AF138" i="2"/>
  <c r="C137" i="2"/>
  <c r="B755" i="5" s="1"/>
  <c r="AQ136" i="2"/>
  <c r="B753" i="5" s="1"/>
  <c r="X135" i="2"/>
  <c r="D135" i="2"/>
  <c r="AF132" i="2"/>
  <c r="C132" i="2"/>
  <c r="AF131" i="2"/>
  <c r="AL130" i="2"/>
  <c r="AI130" i="2"/>
  <c r="AF130" i="2"/>
  <c r="AG84" i="2"/>
  <c r="W82" i="2"/>
  <c r="W81" i="2"/>
  <c r="AG80" i="2"/>
  <c r="W62" i="2"/>
  <c r="W61" i="2"/>
  <c r="AG60" i="2"/>
  <c r="D60" i="2"/>
  <c r="AJ59" i="2"/>
  <c r="D51" i="2"/>
  <c r="B319" i="5" s="1"/>
  <c r="AF47" i="2"/>
  <c r="AF16" i="2"/>
  <c r="C10" i="2"/>
  <c r="B2" i="5" s="1"/>
  <c r="AF9" i="2"/>
  <c r="AH8" i="2"/>
  <c r="K55" i="1"/>
  <c r="K56" i="1" s="1"/>
  <c r="K38" i="1"/>
  <c r="K35" i="1"/>
  <c r="C30" i="1"/>
  <c r="K29" i="1"/>
  <c r="C27" i="1"/>
  <c r="D124" i="2"/>
  <c r="B726" i="5" s="1"/>
  <c r="BA122" i="2"/>
  <c r="AQ122" i="2"/>
  <c r="B723" i="5" s="1"/>
  <c r="AG122" i="2"/>
  <c r="B722" i="5" s="1"/>
  <c r="AF122" i="2"/>
  <c r="W122" i="2"/>
  <c r="B720" i="5" s="1"/>
  <c r="M122" i="2"/>
  <c r="B719" i="5" s="1"/>
  <c r="C122" i="2"/>
  <c r="B717" i="5" s="1"/>
  <c r="BA121" i="2"/>
  <c r="AQ121" i="2"/>
  <c r="B715" i="5" s="1"/>
  <c r="AG121" i="2"/>
  <c r="B714" i="5" s="1"/>
  <c r="AF121" i="2"/>
  <c r="W121" i="2"/>
  <c r="B712" i="5" s="1"/>
  <c r="M121" i="2"/>
  <c r="B711" i="5" s="1"/>
  <c r="C121" i="2"/>
  <c r="B709" i="5" s="1"/>
  <c r="BA120" i="2"/>
  <c r="AQ120" i="2"/>
  <c r="B707" i="5" s="1"/>
  <c r="AG120" i="2"/>
  <c r="B706" i="5" s="1"/>
  <c r="AF120" i="2"/>
  <c r="W120" i="2"/>
  <c r="B704" i="5" s="1"/>
  <c r="M120" i="2"/>
  <c r="B703" i="5" s="1"/>
  <c r="C120" i="2"/>
  <c r="B701" i="5" s="1"/>
  <c r="AR119" i="2"/>
  <c r="AF119" i="2"/>
  <c r="X119" i="2"/>
  <c r="D119" i="2"/>
  <c r="BA118" i="2"/>
  <c r="AQ118" i="2"/>
  <c r="B699" i="5" s="1"/>
  <c r="AG118" i="2"/>
  <c r="B698" i="5" s="1"/>
  <c r="AF118" i="2"/>
  <c r="W118" i="2"/>
  <c r="B696" i="5" s="1"/>
  <c r="M118" i="2"/>
  <c r="B695" i="5" s="1"/>
  <c r="C118" i="2"/>
  <c r="B693" i="5" s="1"/>
  <c r="BA117" i="2"/>
  <c r="AQ117" i="2"/>
  <c r="B691" i="5" s="1"/>
  <c r="AG117" i="2"/>
  <c r="B690" i="5" s="1"/>
  <c r="AF117" i="2"/>
  <c r="W117" i="2"/>
  <c r="B688" i="5" s="1"/>
  <c r="M117" i="2"/>
  <c r="B687" i="5" s="1"/>
  <c r="C117" i="2"/>
  <c r="B685" i="5" s="1"/>
  <c r="BA116" i="2"/>
  <c r="AQ116" i="2"/>
  <c r="B683" i="5" s="1"/>
  <c r="AG116" i="2"/>
  <c r="B682" i="5" s="1"/>
  <c r="AF116" i="2"/>
  <c r="W116" i="2"/>
  <c r="B680" i="5" s="1"/>
  <c r="M116" i="2"/>
  <c r="B679" i="5" s="1"/>
  <c r="C116" i="2"/>
  <c r="B677" i="5" s="1"/>
  <c r="AR115" i="2"/>
  <c r="AF115" i="2"/>
  <c r="X115" i="2"/>
  <c r="D115" i="2"/>
  <c r="AQ114" i="2"/>
  <c r="AF114" i="2"/>
  <c r="W114" i="2"/>
  <c r="C114" i="2"/>
  <c r="AQ113" i="2"/>
  <c r="AF113" i="2"/>
  <c r="W113" i="2"/>
  <c r="C113" i="2"/>
  <c r="AQ112" i="2"/>
  <c r="AF112" i="2"/>
  <c r="W112" i="2"/>
  <c r="C112" i="2"/>
  <c r="AR111" i="2"/>
  <c r="AF111" i="2"/>
  <c r="X111" i="2"/>
  <c r="D111" i="2"/>
  <c r="AL110" i="2"/>
  <c r="AK110" i="2"/>
  <c r="AJ110" i="2"/>
  <c r="AI110" i="2"/>
  <c r="AH110" i="2"/>
  <c r="AG110" i="2"/>
  <c r="AF110" i="2"/>
  <c r="AG109" i="2"/>
  <c r="AF103" i="2"/>
  <c r="AF102" i="2"/>
  <c r="W102" i="2"/>
  <c r="M102" i="2"/>
  <c r="B669" i="5" s="1"/>
  <c r="D102" i="2"/>
  <c r="AF101" i="2"/>
  <c r="W101" i="2"/>
  <c r="M101" i="2"/>
  <c r="B659" i="5" s="1"/>
  <c r="D101" i="2"/>
  <c r="AQ100" i="2"/>
  <c r="AG100" i="2"/>
  <c r="AF100" i="2"/>
  <c r="X100" i="2"/>
  <c r="N100" i="2"/>
  <c r="AF99" i="2"/>
  <c r="AF98" i="2"/>
  <c r="AF97" i="2"/>
  <c r="AF96" i="2"/>
  <c r="AF95" i="2"/>
  <c r="AF94" i="2"/>
  <c r="AF93" i="2"/>
  <c r="AF92" i="2"/>
  <c r="AL91" i="2"/>
  <c r="AK91" i="2"/>
  <c r="AJ91" i="2"/>
  <c r="AI91" i="2"/>
  <c r="AH91" i="2"/>
  <c r="AG91" i="2"/>
  <c r="AF91" i="2"/>
  <c r="AG90" i="2"/>
  <c r="AF87" i="2"/>
  <c r="AF86" i="2"/>
  <c r="W86" i="2"/>
  <c r="M86" i="2"/>
  <c r="B645" i="5" s="1"/>
  <c r="D86" i="2"/>
  <c r="AF85" i="2"/>
  <c r="W85" i="2"/>
  <c r="M85" i="2"/>
  <c r="B630" i="5" s="1"/>
  <c r="D85" i="2"/>
  <c r="AQ84" i="2"/>
  <c r="AF84" i="2"/>
  <c r="X84" i="2"/>
  <c r="N84" i="2"/>
  <c r="X82" i="2"/>
  <c r="C62" i="2"/>
  <c r="AL59" i="2"/>
  <c r="AH59" i="2"/>
  <c r="AQ49" i="2"/>
  <c r="AF45" i="2"/>
  <c r="W15" i="2"/>
  <c r="B105" i="5" s="1"/>
  <c r="AG14" i="2"/>
  <c r="B87" i="5" s="1"/>
  <c r="AF13" i="2"/>
  <c r="D13" i="2"/>
  <c r="AF12" i="2"/>
  <c r="AF11" i="2"/>
  <c r="W11" i="2"/>
  <c r="B35" i="5" s="1"/>
  <c r="W10" i="2"/>
  <c r="B11" i="5" s="1"/>
  <c r="AK8" i="2"/>
  <c r="C63" i="1"/>
  <c r="C60" i="1"/>
  <c r="D54" i="1"/>
  <c r="K53" i="1"/>
  <c r="M80" i="2"/>
  <c r="D80" i="2"/>
  <c r="AF79" i="2"/>
  <c r="AF78" i="2"/>
  <c r="AF77" i="2"/>
  <c r="AF76" i="2"/>
  <c r="AL75" i="2"/>
  <c r="AK75" i="2"/>
  <c r="AJ75" i="2"/>
  <c r="AI75" i="2"/>
  <c r="AH75" i="2"/>
  <c r="AG75" i="2"/>
  <c r="AF75" i="2"/>
  <c r="AG74" i="2"/>
  <c r="AF71" i="2"/>
  <c r="W71" i="2"/>
  <c r="M71" i="2"/>
  <c r="B573" i="5" s="1"/>
  <c r="D71" i="2"/>
  <c r="AF70" i="2"/>
  <c r="W70" i="2"/>
  <c r="M70" i="2"/>
  <c r="B543" i="5" s="1"/>
  <c r="D70" i="2"/>
  <c r="AF69" i="2"/>
  <c r="W69" i="2"/>
  <c r="M69" i="2"/>
  <c r="B513" i="5" s="1"/>
  <c r="D69" i="2"/>
  <c r="AQ68" i="2"/>
  <c r="AG68" i="2"/>
  <c r="AF68" i="2"/>
  <c r="X68" i="2"/>
  <c r="N68" i="2"/>
  <c r="E68" i="2"/>
  <c r="AF67" i="2"/>
  <c r="W67" i="2"/>
  <c r="C67" i="2"/>
  <c r="AF66" i="2"/>
  <c r="W66" i="2"/>
  <c r="C66" i="2"/>
  <c r="AF65" i="2"/>
  <c r="W65" i="2"/>
  <c r="C65" i="2"/>
  <c r="AG64" i="2"/>
  <c r="AF64" i="2"/>
  <c r="X64" i="2"/>
  <c r="M64" i="2"/>
  <c r="D64" i="2"/>
  <c r="AF63" i="2"/>
  <c r="W63" i="2"/>
  <c r="C63" i="2"/>
  <c r="AK40" i="2"/>
  <c r="AJ40" i="2"/>
  <c r="AI40" i="2"/>
  <c r="AH40" i="2"/>
  <c r="AG40" i="2"/>
  <c r="AF40" i="2"/>
  <c r="AG39" i="2"/>
  <c r="AF36" i="2"/>
  <c r="AF35" i="2"/>
  <c r="W35" i="2"/>
  <c r="B297" i="5" s="1"/>
  <c r="N35" i="2"/>
  <c r="B296" i="5" s="1"/>
  <c r="D35" i="2"/>
  <c r="B290" i="5" s="1"/>
  <c r="AF34" i="2"/>
  <c r="W34" i="2"/>
  <c r="B277" i="5" s="1"/>
  <c r="N34" i="2"/>
  <c r="B276" i="5" s="1"/>
  <c r="D34" i="2"/>
  <c r="B270" i="5" s="1"/>
  <c r="AQ33" i="2"/>
  <c r="AF33" i="2"/>
  <c r="X33" i="2"/>
  <c r="E33" i="2"/>
  <c r="AF32" i="2"/>
  <c r="AF31" i="2"/>
  <c r="W31" i="2"/>
  <c r="B257" i="5" s="1"/>
  <c r="M31" i="2"/>
  <c r="B255" i="5" s="1"/>
  <c r="C31" i="2"/>
  <c r="B249" i="5" s="1"/>
  <c r="AF30" i="2"/>
  <c r="W30" i="2"/>
  <c r="B237" i="5" s="1"/>
  <c r="M30" i="2"/>
  <c r="B235" i="5" s="1"/>
  <c r="C30" i="2"/>
  <c r="B229" i="5" s="1"/>
  <c r="AF29" i="2"/>
  <c r="X29" i="2"/>
  <c r="N29" i="2"/>
  <c r="D29" i="2"/>
  <c r="AF28" i="2"/>
  <c r="AF27" i="2"/>
  <c r="AF26" i="2"/>
  <c r="W26" i="2"/>
  <c r="B219" i="5" s="1"/>
  <c r="C26" i="2"/>
  <c r="B214" i="5" s="1"/>
  <c r="AF25" i="2"/>
  <c r="X25" i="2"/>
  <c r="AL24" i="2"/>
  <c r="AK24" i="2"/>
  <c r="AJ24" i="2"/>
  <c r="AI24" i="2"/>
  <c r="AH24" i="2"/>
  <c r="AG24" i="2"/>
  <c r="AF24" i="2"/>
  <c r="AG23" i="2"/>
  <c r="AG20" i="2"/>
  <c r="B205" i="5" s="1"/>
  <c r="AF20" i="2"/>
  <c r="W20" i="2"/>
  <c r="B199" i="5" s="1"/>
  <c r="N20" i="2"/>
  <c r="B197" i="5" s="1"/>
  <c r="D20" i="2"/>
  <c r="B191" i="5" s="1"/>
  <c r="AG19" i="2"/>
  <c r="B181" i="5" s="1"/>
  <c r="AF19" i="2"/>
  <c r="W19" i="2"/>
  <c r="B175" i="5" s="1"/>
  <c r="N19" i="2"/>
  <c r="B173" i="5" s="1"/>
  <c r="D19" i="2"/>
  <c r="B167" i="5" s="1"/>
  <c r="AG18" i="2"/>
  <c r="B157" i="5" s="1"/>
  <c r="AF18" i="2"/>
  <c r="W18" i="2"/>
  <c r="B151" i="5" s="1"/>
  <c r="N18" i="2"/>
  <c r="B149" i="5" s="1"/>
  <c r="D18" i="2"/>
  <c r="B143" i="5" s="1"/>
  <c r="AQ17" i="2"/>
  <c r="AH17" i="2"/>
  <c r="AF17" i="2"/>
  <c r="X17" i="2"/>
  <c r="O17" i="2"/>
  <c r="E17" i="2"/>
  <c r="M16" i="2"/>
  <c r="B125" i="5" s="1"/>
  <c r="C16" i="2"/>
  <c r="B120" i="5" s="1"/>
  <c r="M14" i="2"/>
  <c r="B78" i="5" s="1"/>
  <c r="AG12" i="2"/>
  <c r="B63" i="5" s="1"/>
  <c r="N9" i="2"/>
  <c r="AG8" i="2"/>
  <c r="D53" i="1"/>
  <c r="C31" i="1" l="1"/>
  <c r="K18" i="1"/>
  <c r="C33" i="1" s="1"/>
  <c r="AR467" i="2"/>
  <c r="AR468" i="2"/>
  <c r="X467" i="2"/>
  <c r="X468" i="2"/>
  <c r="D467" i="2"/>
  <c r="D468" i="2"/>
  <c r="AR447" i="2"/>
  <c r="AR448" i="2"/>
  <c r="AR449" i="2"/>
  <c r="X447" i="2"/>
  <c r="X448" i="2"/>
  <c r="X449" i="2"/>
  <c r="D447" i="2"/>
  <c r="D448" i="2"/>
  <c r="D449" i="2"/>
  <c r="AG421" i="2"/>
  <c r="B1496" i="5" s="1"/>
  <c r="B1494" i="5"/>
  <c r="N421" i="2"/>
  <c r="B1493" i="5" s="1"/>
  <c r="B1491" i="5"/>
  <c r="AG420" i="2"/>
  <c r="B1486" i="5" s="1"/>
  <c r="B1484" i="5"/>
  <c r="N420" i="2"/>
  <c r="B1483" i="5" s="1"/>
  <c r="B1481" i="5"/>
  <c r="AR419" i="2"/>
  <c r="BA419" i="2"/>
  <c r="AQ420" i="2"/>
  <c r="AQ421" i="2"/>
  <c r="AQ415" i="2"/>
  <c r="AH419" i="2"/>
  <c r="X420" i="2"/>
  <c r="X421" i="2"/>
  <c r="AG417" i="2"/>
  <c r="B1476" i="5" s="1"/>
  <c r="B1474" i="5"/>
  <c r="M417" i="2"/>
  <c r="B1472" i="5" s="1"/>
  <c r="B1470" i="5"/>
  <c r="AG416" i="2"/>
  <c r="B1466" i="5" s="1"/>
  <c r="B1464" i="5"/>
  <c r="M416" i="2"/>
  <c r="B1462" i="5" s="1"/>
  <c r="B1460" i="5"/>
  <c r="AH415" i="2"/>
  <c r="X416" i="2"/>
  <c r="X417" i="2"/>
  <c r="N415" i="2"/>
  <c r="D416" i="2"/>
  <c r="D417" i="2"/>
  <c r="AG404" i="2"/>
  <c r="B1456" i="5" s="1"/>
  <c r="B1454" i="5"/>
  <c r="N404" i="2"/>
  <c r="B1453" i="5" s="1"/>
  <c r="B1451" i="5"/>
  <c r="AR403" i="2"/>
  <c r="BA403" i="2"/>
  <c r="AQ404" i="2"/>
  <c r="AQ395" i="2"/>
  <c r="AQ399" i="2"/>
  <c r="AH403" i="2"/>
  <c r="X404" i="2"/>
  <c r="AG400" i="2"/>
  <c r="B1446" i="5" s="1"/>
  <c r="B1444" i="5"/>
  <c r="M400" i="2"/>
  <c r="B1442" i="5" s="1"/>
  <c r="B1440" i="5"/>
  <c r="AH399" i="2"/>
  <c r="X400" i="2"/>
  <c r="N399" i="2"/>
  <c r="D400" i="2"/>
  <c r="AR307" i="2"/>
  <c r="B1347" i="5" s="1"/>
  <c r="AR308" i="2"/>
  <c r="B1355" i="5" s="1"/>
  <c r="X307" i="2"/>
  <c r="B1344" i="5" s="1"/>
  <c r="X308" i="2"/>
  <c r="B1352" i="5" s="1"/>
  <c r="D307" i="2"/>
  <c r="B1341" i="5" s="1"/>
  <c r="D308" i="2"/>
  <c r="B1349" i="5" s="1"/>
  <c r="AR303" i="2"/>
  <c r="B1333" i="5" s="1"/>
  <c r="AR304" i="2"/>
  <c r="B1339" i="5" s="1"/>
  <c r="X303" i="2"/>
  <c r="B1331" i="5" s="1"/>
  <c r="X304" i="2"/>
  <c r="B1337" i="5" s="1"/>
  <c r="D303" i="2"/>
  <c r="B1329" i="5" s="1"/>
  <c r="D304" i="2"/>
  <c r="B1335" i="5" s="1"/>
  <c r="AR299" i="2"/>
  <c r="AR300" i="2"/>
  <c r="X299" i="2"/>
  <c r="X300" i="2"/>
  <c r="D299" i="2"/>
  <c r="D300" i="2"/>
  <c r="E51" i="2"/>
  <c r="B320" i="5" s="1"/>
  <c r="E50" i="2"/>
  <c r="B311" i="5" s="1"/>
  <c r="Y13" i="2"/>
  <c r="X16" i="2"/>
  <c r="B129" i="5" s="1"/>
  <c r="X14" i="2"/>
  <c r="B82" i="5" s="1"/>
  <c r="X15" i="2"/>
  <c r="B106" i="5" s="1"/>
  <c r="M396" i="2"/>
  <c r="B1432" i="5" s="1"/>
  <c r="B1430" i="5"/>
  <c r="X395" i="2"/>
  <c r="AG395" i="2"/>
  <c r="W396" i="2"/>
  <c r="N395" i="2"/>
  <c r="D396" i="2"/>
  <c r="AR368" i="2"/>
  <c r="AR369" i="2" s="1"/>
  <c r="B1429" i="5" s="1"/>
  <c r="AQ369" i="2"/>
  <c r="B1428" i="5" s="1"/>
  <c r="AQ364" i="2"/>
  <c r="D365" i="2"/>
  <c r="B1419" i="5" s="1"/>
  <c r="D360" i="2"/>
  <c r="D361" i="2" s="1"/>
  <c r="B1413" i="5" s="1"/>
  <c r="AR352" i="2"/>
  <c r="AR353" i="2" s="1"/>
  <c r="B1411" i="5" s="1"/>
  <c r="AQ353" i="2"/>
  <c r="B1410" i="5" s="1"/>
  <c r="AQ344" i="2"/>
  <c r="AQ348" i="2"/>
  <c r="Y49" i="2"/>
  <c r="X50" i="2"/>
  <c r="B313" i="5" s="1"/>
  <c r="X51" i="2"/>
  <c r="B322" i="5" s="1"/>
  <c r="D11" i="2"/>
  <c r="B27" i="5" s="1"/>
  <c r="E9" i="2"/>
  <c r="D12" i="2"/>
  <c r="B51" i="5" s="1"/>
  <c r="D10" i="2"/>
  <c r="B3" i="5" s="1"/>
  <c r="AR287" i="2"/>
  <c r="B1303" i="5" s="1"/>
  <c r="AR288" i="2"/>
  <c r="B1311" i="5" s="1"/>
  <c r="X287" i="2"/>
  <c r="B1300" i="5" s="1"/>
  <c r="X288" i="2"/>
  <c r="B1308" i="5" s="1"/>
  <c r="D287" i="2"/>
  <c r="B1297" i="5" s="1"/>
  <c r="D288" i="2"/>
  <c r="B1305" i="5" s="1"/>
  <c r="AR283" i="2"/>
  <c r="B1287" i="5" s="1"/>
  <c r="AR284" i="2"/>
  <c r="B1295" i="5" s="1"/>
  <c r="X283" i="2"/>
  <c r="B1284" i="5" s="1"/>
  <c r="X284" i="2"/>
  <c r="B1292" i="5" s="1"/>
  <c r="D283" i="2"/>
  <c r="B1281" i="5" s="1"/>
  <c r="D284" i="2"/>
  <c r="B1289" i="5" s="1"/>
  <c r="AR279" i="2"/>
  <c r="AR280" i="2"/>
  <c r="X279" i="2"/>
  <c r="X280" i="2"/>
  <c r="D279" i="2"/>
  <c r="D280" i="2"/>
  <c r="AG269" i="2"/>
  <c r="B1276" i="5" s="1"/>
  <c r="B1274" i="5"/>
  <c r="N269" i="2"/>
  <c r="B1273" i="5" s="1"/>
  <c r="B1271" i="5"/>
  <c r="AG268" i="2"/>
  <c r="B1266" i="5" s="1"/>
  <c r="B1264" i="5"/>
  <c r="N268" i="2"/>
  <c r="B1263" i="5" s="1"/>
  <c r="B1261" i="5"/>
  <c r="AR267" i="2"/>
  <c r="BA267" i="2"/>
  <c r="AQ268" i="2"/>
  <c r="AQ269" i="2"/>
  <c r="AH267" i="2"/>
  <c r="X268" i="2"/>
  <c r="X269" i="2"/>
  <c r="AG253" i="2"/>
  <c r="B1254" i="5" s="1"/>
  <c r="B1251" i="5"/>
  <c r="N253" i="2"/>
  <c r="B1249" i="5" s="1"/>
  <c r="B1246" i="5"/>
  <c r="AG252" i="2"/>
  <c r="B1239" i="5" s="1"/>
  <c r="B1236" i="5"/>
  <c r="N252" i="2"/>
  <c r="B1234" i="5" s="1"/>
  <c r="B1231" i="5"/>
  <c r="AR251" i="2"/>
  <c r="BA251" i="2"/>
  <c r="AQ252" i="2"/>
  <c r="AQ253" i="2"/>
  <c r="AQ247" i="2"/>
  <c r="Y251" i="2"/>
  <c r="AH251" i="2"/>
  <c r="X252" i="2"/>
  <c r="X253" i="2"/>
  <c r="O251" i="2"/>
  <c r="E252" i="2"/>
  <c r="E253" i="2"/>
  <c r="AG249" i="2"/>
  <c r="B1224" i="5" s="1"/>
  <c r="B1221" i="5"/>
  <c r="M249" i="2"/>
  <c r="B1218" i="5" s="1"/>
  <c r="B1215" i="5"/>
  <c r="AG248" i="2"/>
  <c r="B1209" i="5" s="1"/>
  <c r="B1206" i="5"/>
  <c r="M248" i="2"/>
  <c r="B1203" i="5" s="1"/>
  <c r="B1200" i="5"/>
  <c r="Y247" i="2"/>
  <c r="AH247" i="2"/>
  <c r="X248" i="2"/>
  <c r="X249" i="2"/>
  <c r="E247" i="2"/>
  <c r="N247" i="2"/>
  <c r="D248" i="2"/>
  <c r="D249" i="2"/>
  <c r="X140" i="2"/>
  <c r="B765" i="5" s="1"/>
  <c r="X141" i="2"/>
  <c r="B773" i="5" s="1"/>
  <c r="AR136" i="2"/>
  <c r="B754" i="5" s="1"/>
  <c r="AR137" i="2"/>
  <c r="B760" i="5" s="1"/>
  <c r="AR132" i="2"/>
  <c r="AR133" i="2"/>
  <c r="X132" i="2"/>
  <c r="X133" i="2"/>
  <c r="M61" i="2"/>
  <c r="B333" i="5" s="1"/>
  <c r="B327" i="5"/>
  <c r="Y60" i="2"/>
  <c r="AH60" i="2"/>
  <c r="X61" i="2"/>
  <c r="X63" i="2"/>
  <c r="X62" i="2"/>
  <c r="C54" i="1"/>
  <c r="E54" i="1"/>
  <c r="C52" i="1"/>
  <c r="E52" i="1"/>
  <c r="AG237" i="2"/>
  <c r="B1188" i="5" s="1"/>
  <c r="B1182" i="5"/>
  <c r="N237" i="2"/>
  <c r="B1177" i="5" s="1"/>
  <c r="B1171" i="5"/>
  <c r="AG236" i="2"/>
  <c r="B1158" i="5" s="1"/>
  <c r="B1152" i="5"/>
  <c r="N236" i="2"/>
  <c r="B1147" i="5" s="1"/>
  <c r="B1141" i="5"/>
  <c r="AR235" i="2"/>
  <c r="BA235" i="2"/>
  <c r="AQ236" i="2"/>
  <c r="AQ237" i="2"/>
  <c r="AQ227" i="2"/>
  <c r="AQ231" i="2"/>
  <c r="Y235" i="2"/>
  <c r="AH235" i="2"/>
  <c r="X236" i="2"/>
  <c r="X237" i="2"/>
  <c r="F235" i="2"/>
  <c r="O235" i="2"/>
  <c r="E236" i="2"/>
  <c r="E237" i="2"/>
  <c r="AG233" i="2"/>
  <c r="B1130" i="5" s="1"/>
  <c r="B1125" i="5"/>
  <c r="N233" i="2"/>
  <c r="B1121" i="5" s="1"/>
  <c r="B1116" i="5"/>
  <c r="M233" i="2"/>
  <c r="B1120" i="5" s="1"/>
  <c r="B1115" i="5"/>
  <c r="AG232" i="2"/>
  <c r="B1103" i="5" s="1"/>
  <c r="B1097" i="5"/>
  <c r="N232" i="2"/>
  <c r="B1092" i="5" s="1"/>
  <c r="B1086" i="5"/>
  <c r="M232" i="2"/>
  <c r="B1091" i="5" s="1"/>
  <c r="B1085" i="5"/>
  <c r="Y231" i="2"/>
  <c r="AH231" i="2"/>
  <c r="X232" i="2"/>
  <c r="X233" i="2"/>
  <c r="F231" i="2"/>
  <c r="O231" i="2"/>
  <c r="E232" i="2"/>
  <c r="E233" i="2"/>
  <c r="AG229" i="2"/>
  <c r="B1075" i="5" s="1"/>
  <c r="B1070" i="5"/>
  <c r="M229" i="2"/>
  <c r="B1065" i="5" s="1"/>
  <c r="B1060" i="5"/>
  <c r="AG228" i="2"/>
  <c r="B1048" i="5" s="1"/>
  <c r="B1042" i="5"/>
  <c r="M228" i="2"/>
  <c r="B1036" i="5" s="1"/>
  <c r="B1030" i="5"/>
  <c r="Y227" i="2"/>
  <c r="AH227" i="2"/>
  <c r="X228" i="2"/>
  <c r="X229" i="2"/>
  <c r="E227" i="2"/>
  <c r="N227" i="2"/>
  <c r="D228" i="2"/>
  <c r="D229" i="2"/>
  <c r="AR200" i="2"/>
  <c r="AQ201" i="2"/>
  <c r="B1004" i="5" s="1"/>
  <c r="AQ202" i="2"/>
  <c r="B1024" i="5" s="1"/>
  <c r="AQ196" i="2"/>
  <c r="Y200" i="2"/>
  <c r="X201" i="2"/>
  <c r="B999" i="5" s="1"/>
  <c r="X202" i="2"/>
  <c r="B1019" i="5" s="1"/>
  <c r="F200" i="2"/>
  <c r="E201" i="2"/>
  <c r="B992" i="5" s="1"/>
  <c r="E202" i="2"/>
  <c r="B1012" i="5" s="1"/>
  <c r="AR140" i="2"/>
  <c r="B768" i="5" s="1"/>
  <c r="AR141" i="2"/>
  <c r="B776" i="5" s="1"/>
  <c r="D141" i="2"/>
  <c r="B770" i="5" s="1"/>
  <c r="D140" i="2"/>
  <c r="B762" i="5" s="1"/>
  <c r="D132" i="2"/>
  <c r="D133" i="2"/>
  <c r="O84" i="2"/>
  <c r="E85" i="2"/>
  <c r="E86" i="2"/>
  <c r="B604" i="5"/>
  <c r="AH81" i="2"/>
  <c r="B607" i="5" s="1"/>
  <c r="Y81" i="2"/>
  <c r="Y82" i="2"/>
  <c r="AI80" i="2"/>
  <c r="AH14" i="2"/>
  <c r="B88" i="5" s="1"/>
  <c r="AH15" i="2"/>
  <c r="B112" i="5" s="1"/>
  <c r="AH16" i="2"/>
  <c r="B134" i="5" s="1"/>
  <c r="AI13" i="2"/>
  <c r="N14" i="2"/>
  <c r="B79" i="5" s="1"/>
  <c r="N16" i="2"/>
  <c r="B126" i="5" s="1"/>
  <c r="O13" i="2"/>
  <c r="N15" i="2"/>
  <c r="B103" i="5" s="1"/>
  <c r="AH11" i="2"/>
  <c r="B42" i="5" s="1"/>
  <c r="AH12" i="2"/>
  <c r="B64" i="5" s="1"/>
  <c r="AH10" i="2"/>
  <c r="B18" i="5" s="1"/>
  <c r="AI9" i="2"/>
  <c r="X10" i="2"/>
  <c r="B12" i="5" s="1"/>
  <c r="X11" i="2"/>
  <c r="B36" i="5" s="1"/>
  <c r="Y9" i="2"/>
  <c r="X12" i="2"/>
  <c r="B59" i="5" s="1"/>
  <c r="X196" i="2"/>
  <c r="W197" i="2"/>
  <c r="B961" i="5" s="1"/>
  <c r="W198" i="2"/>
  <c r="B980" i="5" s="1"/>
  <c r="N197" i="2"/>
  <c r="B960" i="5" s="1"/>
  <c r="N198" i="2"/>
  <c r="B979" i="5" s="1"/>
  <c r="E196" i="2"/>
  <c r="D197" i="2"/>
  <c r="B954" i="5" s="1"/>
  <c r="D198" i="2"/>
  <c r="B974" i="5" s="1"/>
  <c r="AR184" i="2"/>
  <c r="AQ185" i="2"/>
  <c r="B923" i="5" s="1"/>
  <c r="AQ186" i="2"/>
  <c r="B947" i="5" s="1"/>
  <c r="AQ176" i="2"/>
  <c r="AQ180" i="2"/>
  <c r="AI184" i="2"/>
  <c r="AH185" i="2"/>
  <c r="B921" i="5" s="1"/>
  <c r="AH186" i="2"/>
  <c r="B945" i="5" s="1"/>
  <c r="Y184" i="2"/>
  <c r="X185" i="2"/>
  <c r="B915" i="5" s="1"/>
  <c r="X186" i="2"/>
  <c r="B939" i="5" s="1"/>
  <c r="O185" i="2"/>
  <c r="B913" i="5" s="1"/>
  <c r="O186" i="2"/>
  <c r="B937" i="5" s="1"/>
  <c r="F184" i="2"/>
  <c r="E185" i="2"/>
  <c r="B907" i="5" s="1"/>
  <c r="E186" i="2"/>
  <c r="B931" i="5" s="1"/>
  <c r="AI180" i="2"/>
  <c r="AH181" i="2"/>
  <c r="B876" i="5" s="1"/>
  <c r="AH182" i="2"/>
  <c r="B898" i="5" s="1"/>
  <c r="Y180" i="2"/>
  <c r="X181" i="2"/>
  <c r="B870" i="5" s="1"/>
  <c r="X182" i="2"/>
  <c r="B893" i="5" s="1"/>
  <c r="O180" i="2"/>
  <c r="N181" i="2"/>
  <c r="B867" i="5" s="1"/>
  <c r="N182" i="2"/>
  <c r="B890" i="5" s="1"/>
  <c r="E180" i="2"/>
  <c r="D181" i="2"/>
  <c r="B861" i="5" s="1"/>
  <c r="D182" i="2"/>
  <c r="B885" i="5" s="1"/>
  <c r="AI176" i="2"/>
  <c r="AH177" i="2"/>
  <c r="B831" i="5" s="1"/>
  <c r="AH178" i="2"/>
  <c r="B853" i="5" s="1"/>
  <c r="Y176" i="2"/>
  <c r="X177" i="2"/>
  <c r="B825" i="5" s="1"/>
  <c r="X178" i="2"/>
  <c r="B848" i="5" s="1"/>
  <c r="O176" i="2"/>
  <c r="N177" i="2"/>
  <c r="B822" i="5" s="1"/>
  <c r="N178" i="2"/>
  <c r="B845" i="5" s="1"/>
  <c r="E176" i="2"/>
  <c r="D177" i="2"/>
  <c r="B816" i="5" s="1"/>
  <c r="D178" i="2"/>
  <c r="B840" i="5" s="1"/>
  <c r="X136" i="2"/>
  <c r="B752" i="5" s="1"/>
  <c r="X137" i="2"/>
  <c r="B758" i="5" s="1"/>
  <c r="D136" i="2"/>
  <c r="B750" i="5" s="1"/>
  <c r="D137" i="2"/>
  <c r="B756" i="5" s="1"/>
  <c r="AG82" i="2"/>
  <c r="B621" i="5" s="1"/>
  <c r="B618" i="5"/>
  <c r="AG81" i="2"/>
  <c r="B606" i="5" s="1"/>
  <c r="B603" i="5"/>
  <c r="B369" i="5"/>
  <c r="AG62" i="2"/>
  <c r="B375" i="5" s="1"/>
  <c r="AG61" i="2"/>
  <c r="B345" i="5" s="1"/>
  <c r="B339" i="5"/>
  <c r="E60" i="2"/>
  <c r="D61" i="2"/>
  <c r="D62" i="2"/>
  <c r="D63" i="2"/>
  <c r="N60" i="2"/>
  <c r="K57" i="1"/>
  <c r="C53" i="1"/>
  <c r="E53" i="1"/>
  <c r="C50" i="1"/>
  <c r="E50" i="1"/>
  <c r="C67" i="1"/>
  <c r="C44" i="1"/>
  <c r="E44" i="1"/>
  <c r="AR120" i="2"/>
  <c r="B708" i="5" s="1"/>
  <c r="AR121" i="2"/>
  <c r="B716" i="5" s="1"/>
  <c r="AR122" i="2"/>
  <c r="B724" i="5" s="1"/>
  <c r="X120" i="2"/>
  <c r="B705" i="5" s="1"/>
  <c r="X121" i="2"/>
  <c r="B713" i="5" s="1"/>
  <c r="X122" i="2"/>
  <c r="B721" i="5" s="1"/>
  <c r="D120" i="2"/>
  <c r="B702" i="5" s="1"/>
  <c r="D121" i="2"/>
  <c r="B710" i="5" s="1"/>
  <c r="D122" i="2"/>
  <c r="B718" i="5" s="1"/>
  <c r="AR116" i="2"/>
  <c r="B684" i="5" s="1"/>
  <c r="AR117" i="2"/>
  <c r="B692" i="5" s="1"/>
  <c r="AR118" i="2"/>
  <c r="B700" i="5" s="1"/>
  <c r="X116" i="2"/>
  <c r="B681" i="5" s="1"/>
  <c r="X117" i="2"/>
  <c r="B689" i="5" s="1"/>
  <c r="X118" i="2"/>
  <c r="B697" i="5" s="1"/>
  <c r="D116" i="2"/>
  <c r="B678" i="5" s="1"/>
  <c r="D117" i="2"/>
  <c r="B686" i="5" s="1"/>
  <c r="D118" i="2"/>
  <c r="B694" i="5" s="1"/>
  <c r="AR112" i="2"/>
  <c r="AR113" i="2"/>
  <c r="AR114" i="2"/>
  <c r="X112" i="2"/>
  <c r="X113" i="2"/>
  <c r="X114" i="2"/>
  <c r="D112" i="2"/>
  <c r="D113" i="2"/>
  <c r="D114" i="2"/>
  <c r="AG102" i="2"/>
  <c r="B673" i="5" s="1"/>
  <c r="B671" i="5"/>
  <c r="N102" i="2"/>
  <c r="B670" i="5" s="1"/>
  <c r="B668" i="5"/>
  <c r="AG101" i="2"/>
  <c r="B663" i="5" s="1"/>
  <c r="B661" i="5"/>
  <c r="N101" i="2"/>
  <c r="B660" i="5" s="1"/>
  <c r="B658" i="5"/>
  <c r="AR100" i="2"/>
  <c r="BA100" i="2"/>
  <c r="AQ101" i="2"/>
  <c r="AQ102" i="2"/>
  <c r="AH100" i="2"/>
  <c r="X101" i="2"/>
  <c r="X102" i="2"/>
  <c r="AG86" i="2"/>
  <c r="B651" i="5" s="1"/>
  <c r="B648" i="5"/>
  <c r="N86" i="2"/>
  <c r="B646" i="5" s="1"/>
  <c r="B643" i="5"/>
  <c r="AG85" i="2"/>
  <c r="B636" i="5" s="1"/>
  <c r="B633" i="5"/>
  <c r="N85" i="2"/>
  <c r="B631" i="5" s="1"/>
  <c r="B628" i="5"/>
  <c r="AR84" i="2"/>
  <c r="BA84" i="2"/>
  <c r="AQ85" i="2"/>
  <c r="AQ86" i="2"/>
  <c r="AQ80" i="2"/>
  <c r="AH84" i="2"/>
  <c r="X85" i="2"/>
  <c r="X86" i="2"/>
  <c r="Y84" i="2"/>
  <c r="AH82" i="2"/>
  <c r="B622" i="5" s="1"/>
  <c r="B619" i="5"/>
  <c r="M62" i="2"/>
  <c r="B363" i="5" s="1"/>
  <c r="B357" i="5"/>
  <c r="AR49" i="2"/>
  <c r="AQ51" i="2"/>
  <c r="B324" i="5" s="1"/>
  <c r="AQ50" i="2"/>
  <c r="B315" i="5" s="1"/>
  <c r="D14" i="2"/>
  <c r="B73" i="5" s="1"/>
  <c r="E13" i="2"/>
  <c r="D16" i="2"/>
  <c r="B121" i="5" s="1"/>
  <c r="D15" i="2"/>
  <c r="B97" i="5" s="1"/>
  <c r="E80" i="2"/>
  <c r="N80" i="2"/>
  <c r="D82" i="2"/>
  <c r="D81" i="2"/>
  <c r="AG71" i="2"/>
  <c r="B585" i="5" s="1"/>
  <c r="B579" i="5"/>
  <c r="N71" i="2"/>
  <c r="B574" i="5" s="1"/>
  <c r="B568" i="5"/>
  <c r="AG70" i="2"/>
  <c r="B555" i="5" s="1"/>
  <c r="B549" i="5"/>
  <c r="N70" i="2"/>
  <c r="B544" i="5" s="1"/>
  <c r="B538" i="5"/>
  <c r="AG69" i="2"/>
  <c r="B525" i="5" s="1"/>
  <c r="B519" i="5"/>
  <c r="N69" i="2"/>
  <c r="B514" i="5" s="1"/>
  <c r="B508" i="5"/>
  <c r="AR68" i="2"/>
  <c r="BA68" i="2"/>
  <c r="AQ69" i="2"/>
  <c r="AQ70" i="2"/>
  <c r="AQ71" i="2"/>
  <c r="AQ60" i="2"/>
  <c r="AQ64" i="2"/>
  <c r="Y68" i="2"/>
  <c r="AH68" i="2"/>
  <c r="X69" i="2"/>
  <c r="X70" i="2"/>
  <c r="X71" i="2"/>
  <c r="F68" i="2"/>
  <c r="O68" i="2"/>
  <c r="E69" i="2"/>
  <c r="E70" i="2"/>
  <c r="E71" i="2"/>
  <c r="AG67" i="2"/>
  <c r="B495" i="5" s="1"/>
  <c r="B489" i="5"/>
  <c r="M67" i="2"/>
  <c r="B483" i="5" s="1"/>
  <c r="B477" i="5"/>
  <c r="AG66" i="2"/>
  <c r="B465" i="5" s="1"/>
  <c r="B459" i="5"/>
  <c r="M66" i="2"/>
  <c r="B453" i="5" s="1"/>
  <c r="B447" i="5"/>
  <c r="AG65" i="2"/>
  <c r="B435" i="5" s="1"/>
  <c r="B429" i="5"/>
  <c r="M65" i="2"/>
  <c r="B423" i="5" s="1"/>
  <c r="B417" i="5"/>
  <c r="Y64" i="2"/>
  <c r="AH64" i="2"/>
  <c r="X65" i="2"/>
  <c r="X66" i="2"/>
  <c r="X67" i="2"/>
  <c r="E64" i="2"/>
  <c r="N64" i="2"/>
  <c r="D65" i="2"/>
  <c r="D66" i="2"/>
  <c r="D67" i="2"/>
  <c r="AG63" i="2"/>
  <c r="B405" i="5" s="1"/>
  <c r="B399" i="5"/>
  <c r="M63" i="2"/>
  <c r="B393" i="5" s="1"/>
  <c r="B387" i="5"/>
  <c r="AR33" i="2"/>
  <c r="AQ34" i="2"/>
  <c r="B283" i="5" s="1"/>
  <c r="AQ35" i="2"/>
  <c r="B303" i="5" s="1"/>
  <c r="AQ29" i="2"/>
  <c r="Y33" i="2"/>
  <c r="X34" i="2"/>
  <c r="B278" i="5" s="1"/>
  <c r="X35" i="2"/>
  <c r="B298" i="5" s="1"/>
  <c r="F33" i="2"/>
  <c r="E34" i="2"/>
  <c r="B271" i="5" s="1"/>
  <c r="E35" i="2"/>
  <c r="B291" i="5" s="1"/>
  <c r="Y29" i="2"/>
  <c r="X30" i="2"/>
  <c r="B238" i="5" s="1"/>
  <c r="X31" i="2"/>
  <c r="B258" i="5" s="1"/>
  <c r="N30" i="2"/>
  <c r="B236" i="5" s="1"/>
  <c r="N31" i="2"/>
  <c r="B256" i="5" s="1"/>
  <c r="E29" i="2"/>
  <c r="D30" i="2"/>
  <c r="B230" i="5" s="1"/>
  <c r="D31" i="2"/>
  <c r="B250" i="5" s="1"/>
  <c r="D25" i="2"/>
  <c r="D26" i="2" s="1"/>
  <c r="B215" i="5" s="1"/>
  <c r="Y25" i="2"/>
  <c r="X26" i="2"/>
  <c r="B220" i="5" s="1"/>
  <c r="AR17" i="2"/>
  <c r="AQ18" i="2"/>
  <c r="B160" i="5" s="1"/>
  <c r="AQ19" i="2"/>
  <c r="B184" i="5" s="1"/>
  <c r="AQ20" i="2"/>
  <c r="B208" i="5" s="1"/>
  <c r="AQ9" i="2"/>
  <c r="AQ13" i="2"/>
  <c r="AI17" i="2"/>
  <c r="AH18" i="2"/>
  <c r="B158" i="5" s="1"/>
  <c r="AH19" i="2"/>
  <c r="B182" i="5" s="1"/>
  <c r="AH20" i="2"/>
  <c r="B206" i="5" s="1"/>
  <c r="Y17" i="2"/>
  <c r="X18" i="2"/>
  <c r="B152" i="5" s="1"/>
  <c r="X19" i="2"/>
  <c r="B176" i="5" s="1"/>
  <c r="X20" i="2"/>
  <c r="B200" i="5" s="1"/>
  <c r="O18" i="2"/>
  <c r="B150" i="5" s="1"/>
  <c r="O19" i="2"/>
  <c r="B174" i="5" s="1"/>
  <c r="O20" i="2"/>
  <c r="B198" i="5" s="1"/>
  <c r="F17" i="2"/>
  <c r="E18" i="2"/>
  <c r="B144" i="5" s="1"/>
  <c r="E19" i="2"/>
  <c r="B168" i="5" s="1"/>
  <c r="E20" i="2"/>
  <c r="B192" i="5" s="1"/>
  <c r="N12" i="2"/>
  <c r="B56" i="5" s="1"/>
  <c r="N11" i="2"/>
  <c r="B33" i="5" s="1"/>
  <c r="O9" i="2"/>
  <c r="N10" i="2"/>
  <c r="B9" i="5" s="1"/>
  <c r="K13" i="1"/>
  <c r="BB419" i="2" l="1"/>
  <c r="AR420" i="2"/>
  <c r="AR421" i="2"/>
  <c r="BA420" i="2"/>
  <c r="B1488" i="5"/>
  <c r="BA421" i="2"/>
  <c r="B1498" i="5"/>
  <c r="AR415" i="2"/>
  <c r="BA415" i="2"/>
  <c r="AQ416" i="2"/>
  <c r="AQ417" i="2"/>
  <c r="AH420" i="2"/>
  <c r="B1487" i="5" s="1"/>
  <c r="B1485" i="5"/>
  <c r="AH421" i="2"/>
  <c r="B1497" i="5" s="1"/>
  <c r="B1495" i="5"/>
  <c r="AH416" i="2"/>
  <c r="B1467" i="5" s="1"/>
  <c r="B1465" i="5"/>
  <c r="AH417" i="2"/>
  <c r="B1477" i="5" s="1"/>
  <c r="B1475" i="5"/>
  <c r="N416" i="2"/>
  <c r="B1463" i="5" s="1"/>
  <c r="B1461" i="5"/>
  <c r="N417" i="2"/>
  <c r="B1473" i="5" s="1"/>
  <c r="B1471" i="5"/>
  <c r="BB403" i="2"/>
  <c r="AR404" i="2"/>
  <c r="BA404" i="2"/>
  <c r="B1458" i="5"/>
  <c r="AR395" i="2"/>
  <c r="BA395" i="2"/>
  <c r="AQ396" i="2"/>
  <c r="AR399" i="2"/>
  <c r="BA399" i="2"/>
  <c r="AQ400" i="2"/>
  <c r="AH404" i="2"/>
  <c r="B1457" i="5" s="1"/>
  <c r="B1455" i="5"/>
  <c r="AH400" i="2"/>
  <c r="B1447" i="5" s="1"/>
  <c r="B1445" i="5"/>
  <c r="N400" i="2"/>
  <c r="B1443" i="5" s="1"/>
  <c r="B1441" i="5"/>
  <c r="Z13" i="2"/>
  <c r="Y15" i="2"/>
  <c r="B107" i="5" s="1"/>
  <c r="Y16" i="2"/>
  <c r="B130" i="5" s="1"/>
  <c r="Y14" i="2"/>
  <c r="B83" i="5" s="1"/>
  <c r="AH395" i="2"/>
  <c r="X396" i="2"/>
  <c r="AG396" i="2"/>
  <c r="B1436" i="5" s="1"/>
  <c r="B1434" i="5"/>
  <c r="N396" i="2"/>
  <c r="B1433" i="5" s="1"/>
  <c r="B1431" i="5"/>
  <c r="AR364" i="2"/>
  <c r="AR365" i="2" s="1"/>
  <c r="B1423" i="5" s="1"/>
  <c r="AQ365" i="2"/>
  <c r="B1422" i="5" s="1"/>
  <c r="AQ360" i="2"/>
  <c r="AR344" i="2"/>
  <c r="AR345" i="2" s="1"/>
  <c r="B1399" i="5" s="1"/>
  <c r="AQ345" i="2"/>
  <c r="B1398" i="5" s="1"/>
  <c r="AR348" i="2"/>
  <c r="AR349" i="2" s="1"/>
  <c r="B1405" i="5" s="1"/>
  <c r="AQ349" i="2"/>
  <c r="B1404" i="5" s="1"/>
  <c r="Y50" i="2"/>
  <c r="B314" i="5" s="1"/>
  <c r="Y51" i="2"/>
  <c r="B323" i="5" s="1"/>
  <c r="E11" i="2"/>
  <c r="B28" i="5" s="1"/>
  <c r="F9" i="2"/>
  <c r="E10" i="2"/>
  <c r="B4" i="5" s="1"/>
  <c r="E12" i="2"/>
  <c r="B52" i="5" s="1"/>
  <c r="BB267" i="2"/>
  <c r="AR268" i="2"/>
  <c r="AR269" i="2"/>
  <c r="BA268" i="2"/>
  <c r="B1268" i="5"/>
  <c r="BA269" i="2"/>
  <c r="B1278" i="5"/>
  <c r="AH268" i="2"/>
  <c r="B1267" i="5" s="1"/>
  <c r="B1265" i="5"/>
  <c r="AH269" i="2"/>
  <c r="B1277" i="5" s="1"/>
  <c r="B1275" i="5"/>
  <c r="AS251" i="2"/>
  <c r="BB251" i="2"/>
  <c r="AR252" i="2"/>
  <c r="AR253" i="2"/>
  <c r="BA252" i="2"/>
  <c r="B1242" i="5"/>
  <c r="BA253" i="2"/>
  <c r="B1257" i="5"/>
  <c r="AR247" i="2"/>
  <c r="BA247" i="2"/>
  <c r="AQ248" i="2"/>
  <c r="AQ249" i="2"/>
  <c r="AI251" i="2"/>
  <c r="Y252" i="2"/>
  <c r="Y253" i="2"/>
  <c r="AH252" i="2"/>
  <c r="B1240" i="5" s="1"/>
  <c r="B1237" i="5"/>
  <c r="AH253" i="2"/>
  <c r="B1255" i="5" s="1"/>
  <c r="B1252" i="5"/>
  <c r="O252" i="2"/>
  <c r="B1235" i="5" s="1"/>
  <c r="B1232" i="5"/>
  <c r="O253" i="2"/>
  <c r="B1250" i="5" s="1"/>
  <c r="B1247" i="5"/>
  <c r="AI247" i="2"/>
  <c r="Y248" i="2"/>
  <c r="Y249" i="2"/>
  <c r="AH248" i="2"/>
  <c r="B1210" i="5" s="1"/>
  <c r="B1207" i="5"/>
  <c r="AH249" i="2"/>
  <c r="B1225" i="5" s="1"/>
  <c r="B1222" i="5"/>
  <c r="O247" i="2"/>
  <c r="E248" i="2"/>
  <c r="E249" i="2"/>
  <c r="N248" i="2"/>
  <c r="B1204" i="5" s="1"/>
  <c r="B1201" i="5"/>
  <c r="N249" i="2"/>
  <c r="B1219" i="5" s="1"/>
  <c r="B1216" i="5"/>
  <c r="Y62" i="2"/>
  <c r="Y63" i="2"/>
  <c r="Z60" i="2"/>
  <c r="Y61" i="2"/>
  <c r="AI60" i="2"/>
  <c r="B340" i="5"/>
  <c r="AH61" i="2"/>
  <c r="B346" i="5" s="1"/>
  <c r="AH63" i="2"/>
  <c r="B406" i="5" s="1"/>
  <c r="B400" i="5"/>
  <c r="AH62" i="2"/>
  <c r="B376" i="5" s="1"/>
  <c r="B370" i="5"/>
  <c r="AS235" i="2"/>
  <c r="BB235" i="2"/>
  <c r="AR236" i="2"/>
  <c r="AR237" i="2"/>
  <c r="BA236" i="2"/>
  <c r="B1164" i="5"/>
  <c r="BA237" i="2"/>
  <c r="B1194" i="5"/>
  <c r="AR227" i="2"/>
  <c r="BA227" i="2"/>
  <c r="AQ228" i="2"/>
  <c r="AQ229" i="2"/>
  <c r="AR231" i="2"/>
  <c r="BA231" i="2"/>
  <c r="AQ232" i="2"/>
  <c r="AQ233" i="2"/>
  <c r="Z235" i="2"/>
  <c r="AI235" i="2"/>
  <c r="Y236" i="2"/>
  <c r="Y237" i="2"/>
  <c r="AH236" i="2"/>
  <c r="B1159" i="5" s="1"/>
  <c r="B1153" i="5"/>
  <c r="AH237" i="2"/>
  <c r="B1189" i="5" s="1"/>
  <c r="B1183" i="5"/>
  <c r="G235" i="2"/>
  <c r="P235" i="2"/>
  <c r="F236" i="2"/>
  <c r="F237" i="2"/>
  <c r="O236" i="2"/>
  <c r="B1148" i="5" s="1"/>
  <c r="B1142" i="5"/>
  <c r="O237" i="2"/>
  <c r="B1178" i="5" s="1"/>
  <c r="B1172" i="5"/>
  <c r="Z231" i="2"/>
  <c r="AI231" i="2"/>
  <c r="Y232" i="2"/>
  <c r="Y233" i="2"/>
  <c r="AH232" i="2"/>
  <c r="B1104" i="5" s="1"/>
  <c r="B1098" i="5"/>
  <c r="AH233" i="2"/>
  <c r="B1131" i="5" s="1"/>
  <c r="B1126" i="5"/>
  <c r="G231" i="2"/>
  <c r="P231" i="2"/>
  <c r="F232" i="2"/>
  <c r="F233" i="2"/>
  <c r="O232" i="2"/>
  <c r="B1093" i="5" s="1"/>
  <c r="B1087" i="5"/>
  <c r="O233" i="2"/>
  <c r="B1122" i="5" s="1"/>
  <c r="B1117" i="5"/>
  <c r="Z227" i="2"/>
  <c r="AI227" i="2"/>
  <c r="Y228" i="2"/>
  <c r="Y229" i="2"/>
  <c r="AH228" i="2"/>
  <c r="B1049" i="5" s="1"/>
  <c r="B1043" i="5"/>
  <c r="AH229" i="2"/>
  <c r="B1076" i="5" s="1"/>
  <c r="B1071" i="5"/>
  <c r="F227" i="2"/>
  <c r="O227" i="2"/>
  <c r="E228" i="2"/>
  <c r="E229" i="2"/>
  <c r="N228" i="2"/>
  <c r="B1037" i="5" s="1"/>
  <c r="B1031" i="5"/>
  <c r="N229" i="2"/>
  <c r="B1066" i="5" s="1"/>
  <c r="B1061" i="5"/>
  <c r="AS200" i="2"/>
  <c r="AR201" i="2"/>
  <c r="B1005" i="5" s="1"/>
  <c r="AR202" i="2"/>
  <c r="B1025" i="5" s="1"/>
  <c r="AR196" i="2"/>
  <c r="AQ197" i="2"/>
  <c r="B967" i="5" s="1"/>
  <c r="AQ198" i="2"/>
  <c r="B985" i="5" s="1"/>
  <c r="Z200" i="2"/>
  <c r="Y201" i="2"/>
  <c r="B1000" i="5" s="1"/>
  <c r="Y202" i="2"/>
  <c r="B1020" i="5" s="1"/>
  <c r="G200" i="2"/>
  <c r="F201" i="2"/>
  <c r="B993" i="5" s="1"/>
  <c r="F202" i="2"/>
  <c r="B1013" i="5" s="1"/>
  <c r="O85" i="2"/>
  <c r="B632" i="5" s="1"/>
  <c r="B629" i="5"/>
  <c r="O86" i="2"/>
  <c r="B647" i="5" s="1"/>
  <c r="B644" i="5"/>
  <c r="B605" i="5"/>
  <c r="AI81" i="2"/>
  <c r="B608" i="5" s="1"/>
  <c r="B620" i="5"/>
  <c r="AI82" i="2"/>
  <c r="B623" i="5" s="1"/>
  <c r="AI16" i="2"/>
  <c r="B135" i="5" s="1"/>
  <c r="AI14" i="2"/>
  <c r="B89" i="5" s="1"/>
  <c r="AI15" i="2"/>
  <c r="B113" i="5" s="1"/>
  <c r="O16" i="2"/>
  <c r="B127" i="5" s="1"/>
  <c r="O14" i="2"/>
  <c r="B80" i="5" s="1"/>
  <c r="O15" i="2"/>
  <c r="B104" i="5" s="1"/>
  <c r="AI10" i="2"/>
  <c r="B19" i="5" s="1"/>
  <c r="AI12" i="2"/>
  <c r="B65" i="5" s="1"/>
  <c r="AI11" i="2"/>
  <c r="B43" i="5" s="1"/>
  <c r="Z9" i="2"/>
  <c r="Y11" i="2"/>
  <c r="B37" i="5" s="1"/>
  <c r="Y12" i="2"/>
  <c r="B60" i="5" s="1"/>
  <c r="Y10" i="2"/>
  <c r="B13" i="5" s="1"/>
  <c r="Y196" i="2"/>
  <c r="X197" i="2"/>
  <c r="B962" i="5" s="1"/>
  <c r="X198" i="2"/>
  <c r="B981" i="5" s="1"/>
  <c r="F196" i="2"/>
  <c r="E197" i="2"/>
  <c r="B955" i="5" s="1"/>
  <c r="E198" i="2"/>
  <c r="B975" i="5" s="1"/>
  <c r="AS184" i="2"/>
  <c r="AR185" i="2"/>
  <c r="B924" i="5" s="1"/>
  <c r="AR186" i="2"/>
  <c r="B948" i="5" s="1"/>
  <c r="AR176" i="2"/>
  <c r="AQ177" i="2"/>
  <c r="B833" i="5" s="1"/>
  <c r="AQ178" i="2"/>
  <c r="B855" i="5" s="1"/>
  <c r="AR180" i="2"/>
  <c r="AQ181" i="2"/>
  <c r="B878" i="5" s="1"/>
  <c r="AQ182" i="2"/>
  <c r="B900" i="5" s="1"/>
  <c r="AI185" i="2"/>
  <c r="B922" i="5" s="1"/>
  <c r="AI186" i="2"/>
  <c r="B946" i="5" s="1"/>
  <c r="Z184" i="2"/>
  <c r="Y185" i="2"/>
  <c r="B916" i="5" s="1"/>
  <c r="Y186" i="2"/>
  <c r="B940" i="5" s="1"/>
  <c r="G184" i="2"/>
  <c r="F185" i="2"/>
  <c r="B908" i="5" s="1"/>
  <c r="F186" i="2"/>
  <c r="B932" i="5" s="1"/>
  <c r="AI181" i="2"/>
  <c r="B877" i="5" s="1"/>
  <c r="AI182" i="2"/>
  <c r="B899" i="5" s="1"/>
  <c r="Z180" i="2"/>
  <c r="Y181" i="2"/>
  <c r="B871" i="5" s="1"/>
  <c r="Y182" i="2"/>
  <c r="B894" i="5" s="1"/>
  <c r="O181" i="2"/>
  <c r="B868" i="5" s="1"/>
  <c r="O182" i="2"/>
  <c r="B891" i="5" s="1"/>
  <c r="F180" i="2"/>
  <c r="E181" i="2"/>
  <c r="B862" i="5" s="1"/>
  <c r="E182" i="2"/>
  <c r="B886" i="5" s="1"/>
  <c r="AI177" i="2"/>
  <c r="B832" i="5" s="1"/>
  <c r="AI178" i="2"/>
  <c r="B854" i="5" s="1"/>
  <c r="Z176" i="2"/>
  <c r="Y177" i="2"/>
  <c r="B826" i="5" s="1"/>
  <c r="Y178" i="2"/>
  <c r="B849" i="5" s="1"/>
  <c r="O177" i="2"/>
  <c r="B823" i="5" s="1"/>
  <c r="O178" i="2"/>
  <c r="B846" i="5" s="1"/>
  <c r="F176" i="2"/>
  <c r="E177" i="2"/>
  <c r="B817" i="5" s="1"/>
  <c r="E178" i="2"/>
  <c r="B841" i="5" s="1"/>
  <c r="O60" i="2"/>
  <c r="E62" i="2"/>
  <c r="F60" i="2"/>
  <c r="E63" i="2"/>
  <c r="E61" i="2"/>
  <c r="B328" i="5"/>
  <c r="N61" i="2"/>
  <c r="B334" i="5" s="1"/>
  <c r="N62" i="2"/>
  <c r="B364" i="5" s="1"/>
  <c r="B358" i="5"/>
  <c r="N63" i="2"/>
  <c r="B394" i="5" s="1"/>
  <c r="B388" i="5"/>
  <c r="BB100" i="2"/>
  <c r="AR101" i="2"/>
  <c r="AR102" i="2"/>
  <c r="BA101" i="2"/>
  <c r="B665" i="5"/>
  <c r="BA102" i="2"/>
  <c r="B675" i="5"/>
  <c r="AH101" i="2"/>
  <c r="B664" i="5" s="1"/>
  <c r="B662" i="5"/>
  <c r="AH102" i="2"/>
  <c r="B674" i="5" s="1"/>
  <c r="B672" i="5"/>
  <c r="AS84" i="2"/>
  <c r="BB84" i="2"/>
  <c r="AR85" i="2"/>
  <c r="AR86" i="2"/>
  <c r="BA85" i="2"/>
  <c r="B639" i="5"/>
  <c r="BA86" i="2"/>
  <c r="B654" i="5"/>
  <c r="AR80" i="2"/>
  <c r="BA80" i="2"/>
  <c r="AQ81" i="2"/>
  <c r="AQ82" i="2"/>
  <c r="AH85" i="2"/>
  <c r="B637" i="5" s="1"/>
  <c r="B634" i="5"/>
  <c r="AH86" i="2"/>
  <c r="B652" i="5" s="1"/>
  <c r="B649" i="5"/>
  <c r="AI84" i="2"/>
  <c r="Y85" i="2"/>
  <c r="Y86" i="2"/>
  <c r="AR50" i="2"/>
  <c r="B316" i="5" s="1"/>
  <c r="AS49" i="2"/>
  <c r="AR51" i="2"/>
  <c r="B325" i="5" s="1"/>
  <c r="E15" i="2"/>
  <c r="B98" i="5" s="1"/>
  <c r="F13" i="2"/>
  <c r="E14" i="2"/>
  <c r="B74" i="5" s="1"/>
  <c r="E16" i="2"/>
  <c r="B122" i="5" s="1"/>
  <c r="E82" i="2"/>
  <c r="E81" i="2"/>
  <c r="O80" i="2"/>
  <c r="N82" i="2"/>
  <c r="B616" i="5" s="1"/>
  <c r="B613" i="5"/>
  <c r="N81" i="2"/>
  <c r="B601" i="5" s="1"/>
  <c r="B598" i="5"/>
  <c r="AS68" i="2"/>
  <c r="BB68" i="2"/>
  <c r="AR69" i="2"/>
  <c r="AR70" i="2"/>
  <c r="AR71" i="2"/>
  <c r="BA69" i="2"/>
  <c r="B531" i="5"/>
  <c r="BA70" i="2"/>
  <c r="B561" i="5"/>
  <c r="BA71" i="2"/>
  <c r="B591" i="5"/>
  <c r="BA60" i="2"/>
  <c r="AQ61" i="2"/>
  <c r="AQ63" i="2"/>
  <c r="AR60" i="2"/>
  <c r="AQ62" i="2"/>
  <c r="AR64" i="2"/>
  <c r="BA64" i="2"/>
  <c r="AQ65" i="2"/>
  <c r="AQ66" i="2"/>
  <c r="AQ67" i="2"/>
  <c r="Z68" i="2"/>
  <c r="AI68" i="2"/>
  <c r="Y69" i="2"/>
  <c r="Y70" i="2"/>
  <c r="Y71" i="2"/>
  <c r="AH69" i="2"/>
  <c r="B526" i="5" s="1"/>
  <c r="B520" i="5"/>
  <c r="AH70" i="2"/>
  <c r="B556" i="5" s="1"/>
  <c r="B550" i="5"/>
  <c r="AH71" i="2"/>
  <c r="B586" i="5" s="1"/>
  <c r="B580" i="5"/>
  <c r="G68" i="2"/>
  <c r="P68" i="2"/>
  <c r="F69" i="2"/>
  <c r="F70" i="2"/>
  <c r="F71" i="2"/>
  <c r="O69" i="2"/>
  <c r="B515" i="5" s="1"/>
  <c r="B509" i="5"/>
  <c r="O70" i="2"/>
  <c r="B545" i="5" s="1"/>
  <c r="B539" i="5"/>
  <c r="O71" i="2"/>
  <c r="B575" i="5" s="1"/>
  <c r="B569" i="5"/>
  <c r="Z64" i="2"/>
  <c r="AI64" i="2"/>
  <c r="Y65" i="2"/>
  <c r="Y66" i="2"/>
  <c r="Y67" i="2"/>
  <c r="AH65" i="2"/>
  <c r="B436" i="5" s="1"/>
  <c r="B430" i="5"/>
  <c r="AH66" i="2"/>
  <c r="B466" i="5" s="1"/>
  <c r="B460" i="5"/>
  <c r="AH67" i="2"/>
  <c r="B496" i="5" s="1"/>
  <c r="B490" i="5"/>
  <c r="F64" i="2"/>
  <c r="O64" i="2"/>
  <c r="E65" i="2"/>
  <c r="E66" i="2"/>
  <c r="E67" i="2"/>
  <c r="N65" i="2"/>
  <c r="B424" i="5" s="1"/>
  <c r="B418" i="5"/>
  <c r="N66" i="2"/>
  <c r="B454" i="5" s="1"/>
  <c r="B448" i="5"/>
  <c r="N67" i="2"/>
  <c r="B484" i="5" s="1"/>
  <c r="B478" i="5"/>
  <c r="AS33" i="2"/>
  <c r="AR34" i="2"/>
  <c r="B284" i="5" s="1"/>
  <c r="AR35" i="2"/>
  <c r="B304" i="5" s="1"/>
  <c r="AR29" i="2"/>
  <c r="AQ30" i="2"/>
  <c r="B243" i="5" s="1"/>
  <c r="AQ31" i="2"/>
  <c r="B263" i="5" s="1"/>
  <c r="AQ25" i="2"/>
  <c r="Z33" i="2"/>
  <c r="Y34" i="2"/>
  <c r="B279" i="5" s="1"/>
  <c r="Y35" i="2"/>
  <c r="B299" i="5" s="1"/>
  <c r="G33" i="2"/>
  <c r="F34" i="2"/>
  <c r="B272" i="5" s="1"/>
  <c r="F35" i="2"/>
  <c r="B292" i="5" s="1"/>
  <c r="Z29" i="2"/>
  <c r="Y30" i="2"/>
  <c r="B239" i="5" s="1"/>
  <c r="Y31" i="2"/>
  <c r="B259" i="5" s="1"/>
  <c r="F29" i="2"/>
  <c r="E30" i="2"/>
  <c r="B231" i="5" s="1"/>
  <c r="E31" i="2"/>
  <c r="B251" i="5" s="1"/>
  <c r="E25" i="2"/>
  <c r="E26" i="2" s="1"/>
  <c r="B216" i="5" s="1"/>
  <c r="Z25" i="2"/>
  <c r="Y26" i="2"/>
  <c r="B221" i="5" s="1"/>
  <c r="AS17" i="2"/>
  <c r="AR18" i="2"/>
  <c r="B161" i="5" s="1"/>
  <c r="AR19" i="2"/>
  <c r="B185" i="5" s="1"/>
  <c r="AR20" i="2"/>
  <c r="B209" i="5" s="1"/>
  <c r="AQ10" i="2"/>
  <c r="B20" i="5" s="1"/>
  <c r="AR9" i="2"/>
  <c r="AQ12" i="2"/>
  <c r="B66" i="5" s="1"/>
  <c r="AQ11" i="2"/>
  <c r="B44" i="5" s="1"/>
  <c r="AQ16" i="2"/>
  <c r="B136" i="5" s="1"/>
  <c r="AQ14" i="2"/>
  <c r="B90" i="5" s="1"/>
  <c r="AR13" i="2"/>
  <c r="AQ15" i="2"/>
  <c r="B114" i="5" s="1"/>
  <c r="AI18" i="2"/>
  <c r="B159" i="5" s="1"/>
  <c r="AI19" i="2"/>
  <c r="B183" i="5" s="1"/>
  <c r="AI20" i="2"/>
  <c r="B207" i="5" s="1"/>
  <c r="Z17" i="2"/>
  <c r="Y18" i="2"/>
  <c r="B153" i="5" s="1"/>
  <c r="Y19" i="2"/>
  <c r="B177" i="5" s="1"/>
  <c r="Y20" i="2"/>
  <c r="B201" i="5" s="1"/>
  <c r="G17" i="2"/>
  <c r="F18" i="2"/>
  <c r="B145" i="5" s="1"/>
  <c r="F19" i="2"/>
  <c r="B169" i="5" s="1"/>
  <c r="F20" i="2"/>
  <c r="B193" i="5" s="1"/>
  <c r="O11" i="2"/>
  <c r="B34" i="5" s="1"/>
  <c r="O10" i="2"/>
  <c r="B10" i="5" s="1"/>
  <c r="O12" i="2"/>
  <c r="B57" i="5" s="1"/>
  <c r="K20" i="1"/>
  <c r="K22" i="1"/>
  <c r="BB420" i="2" l="1"/>
  <c r="B1489" i="5"/>
  <c r="BB421" i="2"/>
  <c r="B1499" i="5"/>
  <c r="BB415" i="2"/>
  <c r="AR416" i="2"/>
  <c r="AR417" i="2"/>
  <c r="BA416" i="2"/>
  <c r="B1468" i="5"/>
  <c r="BA417" i="2"/>
  <c r="B1478" i="5"/>
  <c r="BB404" i="2"/>
  <c r="B1459" i="5"/>
  <c r="BB395" i="2"/>
  <c r="AR396" i="2"/>
  <c r="BA396" i="2"/>
  <c r="B1438" i="5"/>
  <c r="BB399" i="2"/>
  <c r="AR400" i="2"/>
  <c r="BA400" i="2"/>
  <c r="B1448" i="5"/>
  <c r="Z14" i="2"/>
  <c r="B84" i="5" s="1"/>
  <c r="AA13" i="2"/>
  <c r="Z15" i="2"/>
  <c r="B108" i="5" s="1"/>
  <c r="Z16" i="2"/>
  <c r="B131" i="5" s="1"/>
  <c r="AH396" i="2"/>
  <c r="B1437" i="5" s="1"/>
  <c r="B1435" i="5"/>
  <c r="AR360" i="2"/>
  <c r="AR361" i="2" s="1"/>
  <c r="B1417" i="5" s="1"/>
  <c r="AQ361" i="2"/>
  <c r="B1416" i="5" s="1"/>
  <c r="F10" i="2"/>
  <c r="B5" i="5" s="1"/>
  <c r="F11" i="2"/>
  <c r="B29" i="5" s="1"/>
  <c r="G9" i="2"/>
  <c r="F12" i="2"/>
  <c r="B53" i="5" s="1"/>
  <c r="BB268" i="2"/>
  <c r="B1269" i="5"/>
  <c r="BB269" i="2"/>
  <c r="B1279" i="5"/>
  <c r="BC251" i="2"/>
  <c r="AS252" i="2"/>
  <c r="AS253" i="2"/>
  <c r="BB252" i="2"/>
  <c r="B1243" i="5"/>
  <c r="BB253" i="2"/>
  <c r="B1258" i="5"/>
  <c r="AS247" i="2"/>
  <c r="BB247" i="2"/>
  <c r="AR248" i="2"/>
  <c r="AR249" i="2"/>
  <c r="BA248" i="2"/>
  <c r="B1212" i="5"/>
  <c r="BA249" i="2"/>
  <c r="B1227" i="5"/>
  <c r="AI252" i="2"/>
  <c r="B1241" i="5" s="1"/>
  <c r="B1238" i="5"/>
  <c r="AI253" i="2"/>
  <c r="B1256" i="5" s="1"/>
  <c r="B1253" i="5"/>
  <c r="AI248" i="2"/>
  <c r="B1211" i="5" s="1"/>
  <c r="B1208" i="5"/>
  <c r="AI249" i="2"/>
  <c r="B1226" i="5" s="1"/>
  <c r="B1223" i="5"/>
  <c r="O248" i="2"/>
  <c r="B1205" i="5" s="1"/>
  <c r="B1202" i="5"/>
  <c r="O249" i="2"/>
  <c r="B1220" i="5" s="1"/>
  <c r="B1217" i="5"/>
  <c r="AI62" i="2"/>
  <c r="B377" i="5" s="1"/>
  <c r="B371" i="5"/>
  <c r="AI63" i="2"/>
  <c r="B407" i="5" s="1"/>
  <c r="B401" i="5"/>
  <c r="AA60" i="2"/>
  <c r="AJ60" i="2"/>
  <c r="Z61" i="2"/>
  <c r="Z62" i="2"/>
  <c r="Z63" i="2"/>
  <c r="AI61" i="2"/>
  <c r="B347" i="5" s="1"/>
  <c r="B341" i="5"/>
  <c r="AT235" i="2"/>
  <c r="BC235" i="2"/>
  <c r="AS236" i="2"/>
  <c r="AS237" i="2"/>
  <c r="BB236" i="2"/>
  <c r="B1165" i="5"/>
  <c r="BB237" i="2"/>
  <c r="B1195" i="5"/>
  <c r="AS227" i="2"/>
  <c r="BB227" i="2"/>
  <c r="AR228" i="2"/>
  <c r="AR229" i="2"/>
  <c r="BA228" i="2"/>
  <c r="B1054" i="5"/>
  <c r="BA229" i="2"/>
  <c r="B1080" i="5"/>
  <c r="AS231" i="2"/>
  <c r="BB231" i="2"/>
  <c r="AR232" i="2"/>
  <c r="AR233" i="2"/>
  <c r="BA232" i="2"/>
  <c r="B1109" i="5"/>
  <c r="BA233" i="2"/>
  <c r="B1135" i="5"/>
  <c r="AA235" i="2"/>
  <c r="AJ235" i="2"/>
  <c r="Z236" i="2"/>
  <c r="Z237" i="2"/>
  <c r="AI236" i="2"/>
  <c r="B1160" i="5" s="1"/>
  <c r="B1154" i="5"/>
  <c r="AI237" i="2"/>
  <c r="B1190" i="5" s="1"/>
  <c r="B1184" i="5"/>
  <c r="H235" i="2"/>
  <c r="Q235" i="2"/>
  <c r="G236" i="2"/>
  <c r="G237" i="2"/>
  <c r="P236" i="2"/>
  <c r="B1149" i="5" s="1"/>
  <c r="B1143" i="5"/>
  <c r="P237" i="2"/>
  <c r="B1179" i="5" s="1"/>
  <c r="B1173" i="5"/>
  <c r="AA231" i="2"/>
  <c r="AJ231" i="2"/>
  <c r="Z232" i="2"/>
  <c r="Z233" i="2"/>
  <c r="AI232" i="2"/>
  <c r="B1105" i="5" s="1"/>
  <c r="B1099" i="5"/>
  <c r="AI233" i="2"/>
  <c r="B1132" i="5" s="1"/>
  <c r="B1127" i="5"/>
  <c r="H231" i="2"/>
  <c r="Q231" i="2"/>
  <c r="G232" i="2"/>
  <c r="G233" i="2"/>
  <c r="P232" i="2"/>
  <c r="B1094" i="5" s="1"/>
  <c r="B1088" i="5"/>
  <c r="P233" i="2"/>
  <c r="B1123" i="5" s="1"/>
  <c r="B1118" i="5"/>
  <c r="AA227" i="2"/>
  <c r="AJ227" i="2"/>
  <c r="Z228" i="2"/>
  <c r="Z229" i="2"/>
  <c r="AI228" i="2"/>
  <c r="B1050" i="5" s="1"/>
  <c r="B1044" i="5"/>
  <c r="AI229" i="2"/>
  <c r="B1077" i="5" s="1"/>
  <c r="B1072" i="5"/>
  <c r="G227" i="2"/>
  <c r="P227" i="2"/>
  <c r="F228" i="2"/>
  <c r="F229" i="2"/>
  <c r="O228" i="2"/>
  <c r="B1038" i="5" s="1"/>
  <c r="B1032" i="5"/>
  <c r="O229" i="2"/>
  <c r="B1067" i="5" s="1"/>
  <c r="B1062" i="5"/>
  <c r="AT200" i="2"/>
  <c r="AS201" i="2"/>
  <c r="B1006" i="5" s="1"/>
  <c r="AS202" i="2"/>
  <c r="B1026" i="5" s="1"/>
  <c r="AS196" i="2"/>
  <c r="AR197" i="2"/>
  <c r="B968" i="5" s="1"/>
  <c r="AR198" i="2"/>
  <c r="B986" i="5" s="1"/>
  <c r="AA200" i="2"/>
  <c r="Z201" i="2"/>
  <c r="B1001" i="5" s="1"/>
  <c r="Z202" i="2"/>
  <c r="B1021" i="5" s="1"/>
  <c r="H200" i="2"/>
  <c r="G201" i="2"/>
  <c r="B994" i="5" s="1"/>
  <c r="G202" i="2"/>
  <c r="B1014" i="5" s="1"/>
  <c r="Z10" i="2"/>
  <c r="B14" i="5" s="1"/>
  <c r="AA9" i="2"/>
  <c r="Z11" i="2"/>
  <c r="B38" i="5" s="1"/>
  <c r="Z12" i="2"/>
  <c r="B61" i="5" s="1"/>
  <c r="Z196" i="2"/>
  <c r="Y197" i="2"/>
  <c r="B963" i="5" s="1"/>
  <c r="Y198" i="2"/>
  <c r="B982" i="5" s="1"/>
  <c r="G196" i="2"/>
  <c r="F197" i="2"/>
  <c r="B956" i="5" s="1"/>
  <c r="F198" i="2"/>
  <c r="B976" i="5" s="1"/>
  <c r="AT184" i="2"/>
  <c r="AS185" i="2"/>
  <c r="B925" i="5" s="1"/>
  <c r="AS186" i="2"/>
  <c r="B949" i="5" s="1"/>
  <c r="AS176" i="2"/>
  <c r="AR177" i="2"/>
  <c r="B834" i="5" s="1"/>
  <c r="AR178" i="2"/>
  <c r="B856" i="5" s="1"/>
  <c r="AS180" i="2"/>
  <c r="AR181" i="2"/>
  <c r="B879" i="5" s="1"/>
  <c r="AR182" i="2"/>
  <c r="B901" i="5" s="1"/>
  <c r="AA184" i="2"/>
  <c r="Z185" i="2"/>
  <c r="B917" i="5" s="1"/>
  <c r="Z186" i="2"/>
  <c r="B941" i="5" s="1"/>
  <c r="H184" i="2"/>
  <c r="G185" i="2"/>
  <c r="B909" i="5" s="1"/>
  <c r="G186" i="2"/>
  <c r="B933" i="5" s="1"/>
  <c r="AA180" i="2"/>
  <c r="Z181" i="2"/>
  <c r="B872" i="5" s="1"/>
  <c r="Z182" i="2"/>
  <c r="B895" i="5" s="1"/>
  <c r="G180" i="2"/>
  <c r="F181" i="2"/>
  <c r="B863" i="5" s="1"/>
  <c r="F182" i="2"/>
  <c r="B887" i="5" s="1"/>
  <c r="AA176" i="2"/>
  <c r="Z177" i="2"/>
  <c r="B827" i="5" s="1"/>
  <c r="Z178" i="2"/>
  <c r="B850" i="5" s="1"/>
  <c r="G176" i="2"/>
  <c r="F177" i="2"/>
  <c r="B818" i="5" s="1"/>
  <c r="F178" i="2"/>
  <c r="B842" i="5" s="1"/>
  <c r="B359" i="5"/>
  <c r="O62" i="2"/>
  <c r="B365" i="5" s="1"/>
  <c r="P60" i="2"/>
  <c r="F63" i="2"/>
  <c r="G60" i="2"/>
  <c r="F61" i="2"/>
  <c r="F62" i="2"/>
  <c r="O63" i="2"/>
  <c r="B395" i="5" s="1"/>
  <c r="B389" i="5"/>
  <c r="O61" i="2"/>
  <c r="B335" i="5" s="1"/>
  <c r="B329" i="5"/>
  <c r="BB101" i="2"/>
  <c r="B666" i="5"/>
  <c r="BB102" i="2"/>
  <c r="B676" i="5"/>
  <c r="BC84" i="2"/>
  <c r="AS85" i="2"/>
  <c r="AS86" i="2"/>
  <c r="BB85" i="2"/>
  <c r="B640" i="5"/>
  <c r="BB86" i="2"/>
  <c r="B655" i="5"/>
  <c r="AS80" i="2"/>
  <c r="AR81" i="2"/>
  <c r="BB80" i="2"/>
  <c r="AR82" i="2"/>
  <c r="BA81" i="2"/>
  <c r="B609" i="5"/>
  <c r="B624" i="5"/>
  <c r="BA82" i="2"/>
  <c r="AI85" i="2"/>
  <c r="B638" i="5" s="1"/>
  <c r="B635" i="5"/>
  <c r="AI86" i="2"/>
  <c r="B653" i="5" s="1"/>
  <c r="B650" i="5"/>
  <c r="AS51" i="2"/>
  <c r="B326" i="5" s="1"/>
  <c r="AS50" i="2"/>
  <c r="B317" i="5" s="1"/>
  <c r="F16" i="2"/>
  <c r="B123" i="5" s="1"/>
  <c r="F15" i="2"/>
  <c r="B99" i="5" s="1"/>
  <c r="F14" i="2"/>
  <c r="B75" i="5" s="1"/>
  <c r="G13" i="2"/>
  <c r="O82" i="2"/>
  <c r="B617" i="5" s="1"/>
  <c r="B614" i="5"/>
  <c r="O81" i="2"/>
  <c r="B602" i="5" s="1"/>
  <c r="B599" i="5"/>
  <c r="AT68" i="2"/>
  <c r="BC68" i="2"/>
  <c r="AS69" i="2"/>
  <c r="AS70" i="2"/>
  <c r="AS71" i="2"/>
  <c r="BB69" i="2"/>
  <c r="B532" i="5"/>
  <c r="BB70" i="2"/>
  <c r="B562" i="5"/>
  <c r="BB71" i="2"/>
  <c r="B592" i="5"/>
  <c r="B351" i="5"/>
  <c r="BA61" i="2"/>
  <c r="BA63" i="2"/>
  <c r="B411" i="5"/>
  <c r="BB60" i="2"/>
  <c r="AS60" i="2"/>
  <c r="AR62" i="2"/>
  <c r="AR63" i="2"/>
  <c r="AR61" i="2"/>
  <c r="BA62" i="2"/>
  <c r="B381" i="5"/>
  <c r="AS64" i="2"/>
  <c r="BB64" i="2"/>
  <c r="AR65" i="2"/>
  <c r="AR66" i="2"/>
  <c r="AR67" i="2"/>
  <c r="BA65" i="2"/>
  <c r="B441" i="5"/>
  <c r="BA66" i="2"/>
  <c r="B471" i="5"/>
  <c r="BA67" i="2"/>
  <c r="B501" i="5"/>
  <c r="AA68" i="2"/>
  <c r="AJ68" i="2"/>
  <c r="Z69" i="2"/>
  <c r="Z70" i="2"/>
  <c r="Z71" i="2"/>
  <c r="AI69" i="2"/>
  <c r="B527" i="5" s="1"/>
  <c r="B521" i="5"/>
  <c r="AI70" i="2"/>
  <c r="B557" i="5" s="1"/>
  <c r="B551" i="5"/>
  <c r="AI71" i="2"/>
  <c r="B587" i="5" s="1"/>
  <c r="B581" i="5"/>
  <c r="H68" i="2"/>
  <c r="Q68" i="2"/>
  <c r="G69" i="2"/>
  <c r="G70" i="2"/>
  <c r="G71" i="2"/>
  <c r="P69" i="2"/>
  <c r="B516" i="5" s="1"/>
  <c r="B510" i="5"/>
  <c r="P70" i="2"/>
  <c r="B546" i="5" s="1"/>
  <c r="B540" i="5"/>
  <c r="P71" i="2"/>
  <c r="B576" i="5" s="1"/>
  <c r="B570" i="5"/>
  <c r="AA64" i="2"/>
  <c r="AJ64" i="2"/>
  <c r="Z65" i="2"/>
  <c r="Z66" i="2"/>
  <c r="Z67" i="2"/>
  <c r="AI65" i="2"/>
  <c r="B437" i="5" s="1"/>
  <c r="B431" i="5"/>
  <c r="AI66" i="2"/>
  <c r="B467" i="5" s="1"/>
  <c r="B461" i="5"/>
  <c r="AI67" i="2"/>
  <c r="B497" i="5" s="1"/>
  <c r="B491" i="5"/>
  <c r="G64" i="2"/>
  <c r="P64" i="2"/>
  <c r="F65" i="2"/>
  <c r="F66" i="2"/>
  <c r="F67" i="2"/>
  <c r="O65" i="2"/>
  <c r="B425" i="5" s="1"/>
  <c r="B419" i="5"/>
  <c r="O66" i="2"/>
  <c r="B455" i="5" s="1"/>
  <c r="B449" i="5"/>
  <c r="O67" i="2"/>
  <c r="B485" i="5" s="1"/>
  <c r="B479" i="5"/>
  <c r="AT33" i="2"/>
  <c r="AS34" i="2"/>
  <c r="B285" i="5" s="1"/>
  <c r="AS35" i="2"/>
  <c r="B305" i="5" s="1"/>
  <c r="AS29" i="2"/>
  <c r="AR30" i="2"/>
  <c r="B244" i="5" s="1"/>
  <c r="AR31" i="2"/>
  <c r="B264" i="5" s="1"/>
  <c r="AR25" i="2"/>
  <c r="AQ26" i="2"/>
  <c r="B224" i="5" s="1"/>
  <c r="AA33" i="2"/>
  <c r="Z34" i="2"/>
  <c r="B280" i="5" s="1"/>
  <c r="Z35" i="2"/>
  <c r="B300" i="5" s="1"/>
  <c r="H33" i="2"/>
  <c r="G34" i="2"/>
  <c r="B273" i="5" s="1"/>
  <c r="G35" i="2"/>
  <c r="B293" i="5" s="1"/>
  <c r="AA29" i="2"/>
  <c r="Z30" i="2"/>
  <c r="B240" i="5" s="1"/>
  <c r="Z31" i="2"/>
  <c r="B260" i="5" s="1"/>
  <c r="G29" i="2"/>
  <c r="F30" i="2"/>
  <c r="B232" i="5" s="1"/>
  <c r="F31" i="2"/>
  <c r="B252" i="5" s="1"/>
  <c r="F25" i="2"/>
  <c r="F26" i="2" s="1"/>
  <c r="B217" i="5" s="1"/>
  <c r="AA25" i="2"/>
  <c r="AA26" i="2" s="1"/>
  <c r="B223" i="5" s="1"/>
  <c r="Z26" i="2"/>
  <c r="B222" i="5" s="1"/>
  <c r="AT17" i="2"/>
  <c r="AS18" i="2"/>
  <c r="B162" i="5" s="1"/>
  <c r="AS19" i="2"/>
  <c r="B186" i="5" s="1"/>
  <c r="AS20" i="2"/>
  <c r="B210" i="5" s="1"/>
  <c r="AR10" i="2"/>
  <c r="B21" i="5" s="1"/>
  <c r="AR11" i="2"/>
  <c r="B45" i="5" s="1"/>
  <c r="AS9" i="2"/>
  <c r="AR12" i="2"/>
  <c r="B67" i="5" s="1"/>
  <c r="AS13" i="2"/>
  <c r="AR14" i="2"/>
  <c r="B91" i="5" s="1"/>
  <c r="AR15" i="2"/>
  <c r="B115" i="5" s="1"/>
  <c r="AR16" i="2"/>
  <c r="B137" i="5" s="1"/>
  <c r="AA17" i="2"/>
  <c r="Z18" i="2"/>
  <c r="B154" i="5" s="1"/>
  <c r="Z19" i="2"/>
  <c r="B178" i="5" s="1"/>
  <c r="Z20" i="2"/>
  <c r="B202" i="5" s="1"/>
  <c r="H17" i="2"/>
  <c r="G18" i="2"/>
  <c r="B146" i="5" s="1"/>
  <c r="G19" i="2"/>
  <c r="B170" i="5" s="1"/>
  <c r="G20" i="2"/>
  <c r="B194" i="5" s="1"/>
  <c r="K27" i="1"/>
  <c r="K23" i="1"/>
  <c r="K26" i="1"/>
  <c r="K25" i="1"/>
  <c r="K24" i="1"/>
  <c r="BB416" i="2" l="1"/>
  <c r="B1469" i="5"/>
  <c r="BB417" i="2"/>
  <c r="B1479" i="5"/>
  <c r="BB396" i="2"/>
  <c r="B1439" i="5"/>
  <c r="BB400" i="2"/>
  <c r="B1449" i="5"/>
  <c r="AA15" i="2"/>
  <c r="B109" i="5" s="1"/>
  <c r="AB13" i="2"/>
  <c r="AA16" i="2"/>
  <c r="B132" i="5" s="1"/>
  <c r="AA14" i="2"/>
  <c r="B85" i="5" s="1"/>
  <c r="G11" i="2"/>
  <c r="B30" i="5" s="1"/>
  <c r="G10" i="2"/>
  <c r="B6" i="5" s="1"/>
  <c r="H9" i="2"/>
  <c r="G12" i="2"/>
  <c r="B54" i="5" s="1"/>
  <c r="BC252" i="2"/>
  <c r="B1244" i="5"/>
  <c r="BC253" i="2"/>
  <c r="B1259" i="5"/>
  <c r="BC247" i="2"/>
  <c r="AS248" i="2"/>
  <c r="AS249" i="2"/>
  <c r="BB248" i="2"/>
  <c r="B1213" i="5"/>
  <c r="BB249" i="2"/>
  <c r="B1228" i="5"/>
  <c r="AB60" i="2"/>
  <c r="AK60" i="2"/>
  <c r="AA61" i="2"/>
  <c r="AA62" i="2"/>
  <c r="AA63" i="2"/>
  <c r="AJ61" i="2"/>
  <c r="B348" i="5" s="1"/>
  <c r="B342" i="5"/>
  <c r="B372" i="5"/>
  <c r="AJ62" i="2"/>
  <c r="B378" i="5" s="1"/>
  <c r="AJ63" i="2"/>
  <c r="B408" i="5" s="1"/>
  <c r="B402" i="5"/>
  <c r="AU235" i="2"/>
  <c r="BD235" i="2"/>
  <c r="AT236" i="2"/>
  <c r="AT237" i="2"/>
  <c r="BC236" i="2"/>
  <c r="B1166" i="5"/>
  <c r="BC237" i="2"/>
  <c r="B1196" i="5"/>
  <c r="AT227" i="2"/>
  <c r="BC227" i="2"/>
  <c r="AS228" i="2"/>
  <c r="AS229" i="2"/>
  <c r="BB228" i="2"/>
  <c r="B1055" i="5"/>
  <c r="BB229" i="2"/>
  <c r="B1081" i="5"/>
  <c r="AT231" i="2"/>
  <c r="BC231" i="2"/>
  <c r="AS232" i="2"/>
  <c r="AS233" i="2"/>
  <c r="BB232" i="2"/>
  <c r="B1110" i="5"/>
  <c r="BB233" i="2"/>
  <c r="B1136" i="5"/>
  <c r="AB235" i="2"/>
  <c r="AK235" i="2"/>
  <c r="AA236" i="2"/>
  <c r="AA237" i="2"/>
  <c r="AJ236" i="2"/>
  <c r="B1161" i="5" s="1"/>
  <c r="B1155" i="5"/>
  <c r="AJ237" i="2"/>
  <c r="B1191" i="5" s="1"/>
  <c r="B1185" i="5"/>
  <c r="R235" i="2"/>
  <c r="H236" i="2"/>
  <c r="H237" i="2"/>
  <c r="Q236" i="2"/>
  <c r="B1150" i="5" s="1"/>
  <c r="B1144" i="5"/>
  <c r="Q237" i="2"/>
  <c r="B1180" i="5" s="1"/>
  <c r="B1174" i="5"/>
  <c r="AB231" i="2"/>
  <c r="AK231" i="2"/>
  <c r="AA232" i="2"/>
  <c r="AA233" i="2"/>
  <c r="AJ232" i="2"/>
  <c r="B1106" i="5" s="1"/>
  <c r="B1100" i="5"/>
  <c r="AJ233" i="2"/>
  <c r="B1133" i="5" s="1"/>
  <c r="B1128" i="5"/>
  <c r="R231" i="2"/>
  <c r="H232" i="2"/>
  <c r="Q232" i="2"/>
  <c r="B1095" i="5" s="1"/>
  <c r="B1089" i="5"/>
  <c r="Q233" i="2"/>
  <c r="B1124" i="5" s="1"/>
  <c r="B1119" i="5"/>
  <c r="AB227" i="2"/>
  <c r="AK227" i="2"/>
  <c r="AA228" i="2"/>
  <c r="AA229" i="2"/>
  <c r="AJ228" i="2"/>
  <c r="B1051" i="5" s="1"/>
  <c r="B1045" i="5"/>
  <c r="AJ229" i="2"/>
  <c r="B1078" i="5" s="1"/>
  <c r="B1073" i="5"/>
  <c r="H227" i="2"/>
  <c r="Q227" i="2"/>
  <c r="G228" i="2"/>
  <c r="G229" i="2"/>
  <c r="P228" i="2"/>
  <c r="B1039" i="5" s="1"/>
  <c r="B1033" i="5"/>
  <c r="P229" i="2"/>
  <c r="B1068" i="5" s="1"/>
  <c r="B1063" i="5"/>
  <c r="AU200" i="2"/>
  <c r="AT201" i="2"/>
  <c r="B1007" i="5" s="1"/>
  <c r="AT202" i="2"/>
  <c r="B1027" i="5" s="1"/>
  <c r="AT196" i="2"/>
  <c r="AS197" i="2"/>
  <c r="B969" i="5" s="1"/>
  <c r="AS198" i="2"/>
  <c r="B987" i="5" s="1"/>
  <c r="AB200" i="2"/>
  <c r="AA201" i="2"/>
  <c r="B1002" i="5" s="1"/>
  <c r="AA202" i="2"/>
  <c r="B1022" i="5" s="1"/>
  <c r="H201" i="2"/>
  <c r="B995" i="5" s="1"/>
  <c r="H202" i="2"/>
  <c r="B1015" i="5" s="1"/>
  <c r="AA11" i="2"/>
  <c r="B39" i="5" s="1"/>
  <c r="AB9" i="2"/>
  <c r="AA10" i="2"/>
  <c r="B15" i="5" s="1"/>
  <c r="AA12" i="2"/>
  <c r="B62" i="5" s="1"/>
  <c r="AA196" i="2"/>
  <c r="Z197" i="2"/>
  <c r="B964" i="5" s="1"/>
  <c r="Z198" i="2"/>
  <c r="B983" i="5" s="1"/>
  <c r="H196" i="2"/>
  <c r="H197" i="2" s="1"/>
  <c r="B958" i="5" s="1"/>
  <c r="G197" i="2"/>
  <c r="B957" i="5" s="1"/>
  <c r="G198" i="2"/>
  <c r="B977" i="5" s="1"/>
  <c r="AU184" i="2"/>
  <c r="AT185" i="2"/>
  <c r="B926" i="5" s="1"/>
  <c r="AT186" i="2"/>
  <c r="B950" i="5" s="1"/>
  <c r="AT176" i="2"/>
  <c r="AS177" i="2"/>
  <c r="B835" i="5" s="1"/>
  <c r="AS178" i="2"/>
  <c r="B857" i="5" s="1"/>
  <c r="AT180" i="2"/>
  <c r="AS181" i="2"/>
  <c r="B880" i="5" s="1"/>
  <c r="AS182" i="2"/>
  <c r="B902" i="5" s="1"/>
  <c r="AB184" i="2"/>
  <c r="AA185" i="2"/>
  <c r="B918" i="5" s="1"/>
  <c r="AA186" i="2"/>
  <c r="B942" i="5" s="1"/>
  <c r="H185" i="2"/>
  <c r="B910" i="5" s="1"/>
  <c r="H186" i="2"/>
  <c r="B934" i="5" s="1"/>
  <c r="AB180" i="2"/>
  <c r="AB181" i="2" s="1"/>
  <c r="B874" i="5" s="1"/>
  <c r="AA181" i="2"/>
  <c r="B873" i="5" s="1"/>
  <c r="AA182" i="2"/>
  <c r="B896" i="5" s="1"/>
  <c r="H180" i="2"/>
  <c r="H181" i="2" s="1"/>
  <c r="B865" i="5" s="1"/>
  <c r="G181" i="2"/>
  <c r="B864" i="5" s="1"/>
  <c r="G182" i="2"/>
  <c r="B888" i="5" s="1"/>
  <c r="AB176" i="2"/>
  <c r="AB177" i="2" s="1"/>
  <c r="B829" i="5" s="1"/>
  <c r="AA177" i="2"/>
  <c r="B828" i="5" s="1"/>
  <c r="AA178" i="2"/>
  <c r="B851" i="5" s="1"/>
  <c r="H176" i="2"/>
  <c r="H177" i="2" s="1"/>
  <c r="B820" i="5" s="1"/>
  <c r="G177" i="2"/>
  <c r="B819" i="5" s="1"/>
  <c r="G178" i="2"/>
  <c r="B843" i="5" s="1"/>
  <c r="P63" i="2"/>
  <c r="B396" i="5" s="1"/>
  <c r="B390" i="5"/>
  <c r="Q60" i="2"/>
  <c r="H60" i="2"/>
  <c r="G61" i="2"/>
  <c r="G62" i="2"/>
  <c r="G63" i="2"/>
  <c r="P61" i="2"/>
  <c r="B336" i="5" s="1"/>
  <c r="B330" i="5"/>
  <c r="P62" i="2"/>
  <c r="B366" i="5" s="1"/>
  <c r="B360" i="5"/>
  <c r="BC85" i="2"/>
  <c r="B641" i="5"/>
  <c r="BC86" i="2"/>
  <c r="B656" i="5"/>
  <c r="BC80" i="2"/>
  <c r="AS82" i="2"/>
  <c r="AS81" i="2"/>
  <c r="BB81" i="2"/>
  <c r="B610" i="5"/>
  <c r="BB82" i="2"/>
  <c r="B625" i="5"/>
  <c r="G15" i="2"/>
  <c r="B100" i="5" s="1"/>
  <c r="H13" i="2"/>
  <c r="G14" i="2"/>
  <c r="B76" i="5" s="1"/>
  <c r="G16" i="2"/>
  <c r="B124" i="5" s="1"/>
  <c r="AU68" i="2"/>
  <c r="BD68" i="2"/>
  <c r="AT69" i="2"/>
  <c r="AT70" i="2"/>
  <c r="AT71" i="2"/>
  <c r="BC69" i="2"/>
  <c r="B533" i="5"/>
  <c r="BC70" i="2"/>
  <c r="B563" i="5"/>
  <c r="BC71" i="2"/>
  <c r="B593" i="5"/>
  <c r="AS61" i="2"/>
  <c r="AS62" i="2"/>
  <c r="AT60" i="2"/>
  <c r="AS63" i="2"/>
  <c r="BC60" i="2"/>
  <c r="B382" i="5"/>
  <c r="BB62" i="2"/>
  <c r="BB63" i="2"/>
  <c r="B412" i="5"/>
  <c r="BB61" i="2"/>
  <c r="B352" i="5"/>
  <c r="AT64" i="2"/>
  <c r="BC64" i="2"/>
  <c r="AS65" i="2"/>
  <c r="AS66" i="2"/>
  <c r="AS67" i="2"/>
  <c r="BB65" i="2"/>
  <c r="B442" i="5"/>
  <c r="BB66" i="2"/>
  <c r="B472" i="5"/>
  <c r="BB67" i="2"/>
  <c r="B502" i="5"/>
  <c r="AB68" i="2"/>
  <c r="AK68" i="2"/>
  <c r="AA69" i="2"/>
  <c r="AA70" i="2"/>
  <c r="AA71" i="2"/>
  <c r="AJ69" i="2"/>
  <c r="B528" i="5" s="1"/>
  <c r="B522" i="5"/>
  <c r="AJ70" i="2"/>
  <c r="B558" i="5" s="1"/>
  <c r="B552" i="5"/>
  <c r="AJ71" i="2"/>
  <c r="B588" i="5" s="1"/>
  <c r="B582" i="5"/>
  <c r="R68" i="2"/>
  <c r="H69" i="2"/>
  <c r="H70" i="2"/>
  <c r="H71" i="2"/>
  <c r="Q69" i="2"/>
  <c r="B517" i="5" s="1"/>
  <c r="B511" i="5"/>
  <c r="Q70" i="2"/>
  <c r="B547" i="5" s="1"/>
  <c r="B541" i="5"/>
  <c r="Q71" i="2"/>
  <c r="B577" i="5" s="1"/>
  <c r="B571" i="5"/>
  <c r="AB64" i="2"/>
  <c r="AK64" i="2"/>
  <c r="AA65" i="2"/>
  <c r="AA66" i="2"/>
  <c r="AA67" i="2"/>
  <c r="AJ65" i="2"/>
  <c r="B438" i="5" s="1"/>
  <c r="B432" i="5"/>
  <c r="AJ66" i="2"/>
  <c r="B468" i="5" s="1"/>
  <c r="B462" i="5"/>
  <c r="AJ67" i="2"/>
  <c r="B498" i="5" s="1"/>
  <c r="B492" i="5"/>
  <c r="H64" i="2"/>
  <c r="Q64" i="2"/>
  <c r="G65" i="2"/>
  <c r="G66" i="2"/>
  <c r="G67" i="2"/>
  <c r="P65" i="2"/>
  <c r="B426" i="5" s="1"/>
  <c r="B420" i="5"/>
  <c r="P66" i="2"/>
  <c r="B456" i="5" s="1"/>
  <c r="B450" i="5"/>
  <c r="P67" i="2"/>
  <c r="B486" i="5" s="1"/>
  <c r="B480" i="5"/>
  <c r="AU33" i="2"/>
  <c r="AT34" i="2"/>
  <c r="B286" i="5" s="1"/>
  <c r="AT35" i="2"/>
  <c r="B306" i="5" s="1"/>
  <c r="AT29" i="2"/>
  <c r="AS30" i="2"/>
  <c r="B245" i="5" s="1"/>
  <c r="AS31" i="2"/>
  <c r="B265" i="5" s="1"/>
  <c r="AS25" i="2"/>
  <c r="AR26" i="2"/>
  <c r="B225" i="5" s="1"/>
  <c r="AB33" i="2"/>
  <c r="AA34" i="2"/>
  <c r="B281" i="5" s="1"/>
  <c r="AA35" i="2"/>
  <c r="B301" i="5" s="1"/>
  <c r="H34" i="2"/>
  <c r="B274" i="5" s="1"/>
  <c r="H35" i="2"/>
  <c r="B294" i="5" s="1"/>
  <c r="AB29" i="2"/>
  <c r="AA30" i="2"/>
  <c r="B241" i="5" s="1"/>
  <c r="AA31" i="2"/>
  <c r="B261" i="5" s="1"/>
  <c r="H29" i="2"/>
  <c r="G30" i="2"/>
  <c r="B233" i="5" s="1"/>
  <c r="G31" i="2"/>
  <c r="B253" i="5" s="1"/>
  <c r="G25" i="2"/>
  <c r="G26" i="2" s="1"/>
  <c r="B218" i="5" s="1"/>
  <c r="AU17" i="2"/>
  <c r="AT18" i="2"/>
  <c r="B163" i="5" s="1"/>
  <c r="AT19" i="2"/>
  <c r="B187" i="5" s="1"/>
  <c r="AT20" i="2"/>
  <c r="B211" i="5" s="1"/>
  <c r="AS11" i="2"/>
  <c r="B46" i="5" s="1"/>
  <c r="AT9" i="2"/>
  <c r="AS10" i="2"/>
  <c r="B22" i="5" s="1"/>
  <c r="AS12" i="2"/>
  <c r="B68" i="5" s="1"/>
  <c r="AS14" i="2"/>
  <c r="B92" i="5" s="1"/>
  <c r="AT13" i="2"/>
  <c r="AS15" i="2"/>
  <c r="B116" i="5" s="1"/>
  <c r="AS16" i="2"/>
  <c r="B138" i="5" s="1"/>
  <c r="AB17" i="2"/>
  <c r="AA18" i="2"/>
  <c r="B155" i="5" s="1"/>
  <c r="AA19" i="2"/>
  <c r="B179" i="5" s="1"/>
  <c r="AA20" i="2"/>
  <c r="B203" i="5" s="1"/>
  <c r="H18" i="2"/>
  <c r="B147" i="5" s="1"/>
  <c r="H19" i="2"/>
  <c r="B171" i="5" s="1"/>
  <c r="H20" i="2"/>
  <c r="B195" i="5" s="1"/>
  <c r="C65" i="1"/>
  <c r="K47" i="1"/>
  <c r="D49" i="1"/>
  <c r="K34" i="1"/>
  <c r="K43" i="1"/>
  <c r="D45" i="1"/>
  <c r="K30" i="1"/>
  <c r="K33" i="1"/>
  <c r="K46" i="1"/>
  <c r="D48" i="1"/>
  <c r="K45" i="1"/>
  <c r="D47" i="1"/>
  <c r="K32" i="1"/>
  <c r="K31" i="1"/>
  <c r="K44" i="1"/>
  <c r="D46" i="1"/>
  <c r="AB14" i="2" l="1"/>
  <c r="B86" i="5" s="1"/>
  <c r="AB15" i="2"/>
  <c r="B110" i="5" s="1"/>
  <c r="H11" i="2"/>
  <c r="B31" i="5" s="1"/>
  <c r="H10" i="2"/>
  <c r="B7" i="5" s="1"/>
  <c r="BC248" i="2"/>
  <c r="B1214" i="5"/>
  <c r="BC249" i="2"/>
  <c r="B1229" i="5"/>
  <c r="AB62" i="2"/>
  <c r="AB63" i="2"/>
  <c r="AB61" i="2"/>
  <c r="AL60" i="2"/>
  <c r="B343" i="5"/>
  <c r="AK61" i="2"/>
  <c r="B349" i="5" s="1"/>
  <c r="B373" i="5"/>
  <c r="AK62" i="2"/>
  <c r="B379" i="5" s="1"/>
  <c r="AK63" i="2"/>
  <c r="B409" i="5" s="1"/>
  <c r="B403" i="5"/>
  <c r="AV235" i="2"/>
  <c r="BE235" i="2"/>
  <c r="AU236" i="2"/>
  <c r="AU237" i="2"/>
  <c r="BD236" i="2"/>
  <c r="B1167" i="5"/>
  <c r="BD237" i="2"/>
  <c r="B1197" i="5"/>
  <c r="AU227" i="2"/>
  <c r="BD227" i="2"/>
  <c r="AT228" i="2"/>
  <c r="AT229" i="2"/>
  <c r="BC228" i="2"/>
  <c r="B1056" i="5"/>
  <c r="BC229" i="2"/>
  <c r="B1082" i="5"/>
  <c r="AU231" i="2"/>
  <c r="BD231" i="2"/>
  <c r="AT232" i="2"/>
  <c r="AT233" i="2"/>
  <c r="BC232" i="2"/>
  <c r="B1111" i="5"/>
  <c r="BC233" i="2"/>
  <c r="B1137" i="5"/>
  <c r="AL235" i="2"/>
  <c r="AB236" i="2"/>
  <c r="AB237" i="2"/>
  <c r="AK236" i="2"/>
  <c r="B1162" i="5" s="1"/>
  <c r="B1156" i="5"/>
  <c r="AK237" i="2"/>
  <c r="B1192" i="5" s="1"/>
  <c r="B1186" i="5"/>
  <c r="R236" i="2"/>
  <c r="B1151" i="5" s="1"/>
  <c r="B1145" i="5"/>
  <c r="R237" i="2"/>
  <c r="B1181" i="5" s="1"/>
  <c r="B1175" i="5"/>
  <c r="AL231" i="2"/>
  <c r="AB232" i="2"/>
  <c r="AK232" i="2"/>
  <c r="B1107" i="5" s="1"/>
  <c r="B1101" i="5"/>
  <c r="AK233" i="2"/>
  <c r="B1134" i="5" s="1"/>
  <c r="B1129" i="5"/>
  <c r="R232" i="2"/>
  <c r="B1096" i="5" s="1"/>
  <c r="B1090" i="5"/>
  <c r="AL227" i="2"/>
  <c r="AB228" i="2"/>
  <c r="AK228" i="2"/>
  <c r="B1052" i="5" s="1"/>
  <c r="B1046" i="5"/>
  <c r="AK229" i="2"/>
  <c r="B1079" i="5" s="1"/>
  <c r="B1074" i="5"/>
  <c r="R227" i="2"/>
  <c r="H228" i="2"/>
  <c r="Q228" i="2"/>
  <c r="B1040" i="5" s="1"/>
  <c r="B1034" i="5"/>
  <c r="Q229" i="2"/>
  <c r="B1069" i="5" s="1"/>
  <c r="B1064" i="5"/>
  <c r="AV200" i="2"/>
  <c r="AU201" i="2"/>
  <c r="B1008" i="5" s="1"/>
  <c r="AU202" i="2"/>
  <c r="B1028" i="5" s="1"/>
  <c r="AU196" i="2"/>
  <c r="AT197" i="2"/>
  <c r="B970" i="5" s="1"/>
  <c r="AT198" i="2"/>
  <c r="B988" i="5" s="1"/>
  <c r="AB201" i="2"/>
  <c r="B1003" i="5" s="1"/>
  <c r="AB202" i="2"/>
  <c r="B1023" i="5" s="1"/>
  <c r="AB11" i="2"/>
  <c r="B40" i="5" s="1"/>
  <c r="AB10" i="2"/>
  <c r="B16" i="5" s="1"/>
  <c r="AB196" i="2"/>
  <c r="AB197" i="2" s="1"/>
  <c r="B966" i="5" s="1"/>
  <c r="AA197" i="2"/>
  <c r="B965" i="5" s="1"/>
  <c r="AA198" i="2"/>
  <c r="B984" i="5" s="1"/>
  <c r="AV184" i="2"/>
  <c r="AU185" i="2"/>
  <c r="B927" i="5" s="1"/>
  <c r="AU186" i="2"/>
  <c r="B951" i="5" s="1"/>
  <c r="AU176" i="2"/>
  <c r="AT177" i="2"/>
  <c r="B836" i="5" s="1"/>
  <c r="AT178" i="2"/>
  <c r="B858" i="5" s="1"/>
  <c r="AU180" i="2"/>
  <c r="AT181" i="2"/>
  <c r="B881" i="5" s="1"/>
  <c r="AT182" i="2"/>
  <c r="B903" i="5" s="1"/>
  <c r="AB185" i="2"/>
  <c r="B919" i="5" s="1"/>
  <c r="AB186" i="2"/>
  <c r="B943" i="5" s="1"/>
  <c r="H62" i="2"/>
  <c r="R60" i="2"/>
  <c r="H63" i="2"/>
  <c r="H61" i="2"/>
  <c r="Q61" i="2"/>
  <c r="B337" i="5" s="1"/>
  <c r="B331" i="5"/>
  <c r="B361" i="5"/>
  <c r="Q62" i="2"/>
  <c r="B367" i="5" s="1"/>
  <c r="Q63" i="2"/>
  <c r="B397" i="5" s="1"/>
  <c r="B391" i="5"/>
  <c r="B626" i="5"/>
  <c r="BC82" i="2"/>
  <c r="B611" i="5"/>
  <c r="BC81" i="2"/>
  <c r="H14" i="2"/>
  <c r="B77" i="5" s="1"/>
  <c r="K21" i="1" s="1"/>
  <c r="H15" i="2"/>
  <c r="B101" i="5" s="1"/>
  <c r="AV68" i="2"/>
  <c r="BE68" i="2"/>
  <c r="AU69" i="2"/>
  <c r="AU70" i="2"/>
  <c r="AU71" i="2"/>
  <c r="BD69" i="2"/>
  <c r="B534" i="5"/>
  <c r="BD70" i="2"/>
  <c r="B564" i="5"/>
  <c r="BD71" i="2"/>
  <c r="B594" i="5"/>
  <c r="B353" i="5"/>
  <c r="BC61" i="2"/>
  <c r="B383" i="5"/>
  <c r="BC62" i="2"/>
  <c r="BD60" i="2"/>
  <c r="AT62" i="2"/>
  <c r="AT63" i="2"/>
  <c r="AU60" i="2"/>
  <c r="AT61" i="2"/>
  <c r="BC63" i="2"/>
  <c r="B413" i="5"/>
  <c r="AU64" i="2"/>
  <c r="BD64" i="2"/>
  <c r="AT65" i="2"/>
  <c r="AT66" i="2"/>
  <c r="AT67" i="2"/>
  <c r="BC65" i="2"/>
  <c r="B443" i="5"/>
  <c r="BC66" i="2"/>
  <c r="B473" i="5"/>
  <c r="BC67" i="2"/>
  <c r="B503" i="5"/>
  <c r="AL68" i="2"/>
  <c r="AB69" i="2"/>
  <c r="AB70" i="2"/>
  <c r="AB71" i="2"/>
  <c r="AK69" i="2"/>
  <c r="B529" i="5" s="1"/>
  <c r="B523" i="5"/>
  <c r="AK70" i="2"/>
  <c r="B559" i="5" s="1"/>
  <c r="B553" i="5"/>
  <c r="AK71" i="2"/>
  <c r="B589" i="5" s="1"/>
  <c r="B583" i="5"/>
  <c r="R69" i="2"/>
  <c r="B518" i="5" s="1"/>
  <c r="B512" i="5"/>
  <c r="R70" i="2"/>
  <c r="B548" i="5" s="1"/>
  <c r="B542" i="5"/>
  <c r="R71" i="2"/>
  <c r="B578" i="5" s="1"/>
  <c r="B572" i="5"/>
  <c r="AL64" i="2"/>
  <c r="AB65" i="2"/>
  <c r="AB66" i="2"/>
  <c r="AB67" i="2"/>
  <c r="AK65" i="2"/>
  <c r="B439" i="5" s="1"/>
  <c r="B433" i="5"/>
  <c r="AK66" i="2"/>
  <c r="B469" i="5" s="1"/>
  <c r="B463" i="5"/>
  <c r="AK67" i="2"/>
  <c r="B499" i="5" s="1"/>
  <c r="B493" i="5"/>
  <c r="R64" i="2"/>
  <c r="H65" i="2"/>
  <c r="H66" i="2"/>
  <c r="H67" i="2"/>
  <c r="Q65" i="2"/>
  <c r="B427" i="5" s="1"/>
  <c r="B421" i="5"/>
  <c r="Q66" i="2"/>
  <c r="B457" i="5" s="1"/>
  <c r="B451" i="5"/>
  <c r="Q67" i="2"/>
  <c r="B487" i="5" s="1"/>
  <c r="B481" i="5"/>
  <c r="AV33" i="2"/>
  <c r="AU34" i="2"/>
  <c r="B287" i="5" s="1"/>
  <c r="AU35" i="2"/>
  <c r="B307" i="5" s="1"/>
  <c r="AU29" i="2"/>
  <c r="AT30" i="2"/>
  <c r="B246" i="5" s="1"/>
  <c r="AT31" i="2"/>
  <c r="B266" i="5" s="1"/>
  <c r="AT25" i="2"/>
  <c r="AS26" i="2"/>
  <c r="B226" i="5" s="1"/>
  <c r="AB34" i="2"/>
  <c r="B282" i="5" s="1"/>
  <c r="AB35" i="2"/>
  <c r="B302" i="5" s="1"/>
  <c r="AB30" i="2"/>
  <c r="B242" i="5" s="1"/>
  <c r="AB31" i="2"/>
  <c r="B262" i="5" s="1"/>
  <c r="H30" i="2"/>
  <c r="B234" i="5" s="1"/>
  <c r="H31" i="2"/>
  <c r="B254" i="5" s="1"/>
  <c r="AV17" i="2"/>
  <c r="AU18" i="2"/>
  <c r="B164" i="5" s="1"/>
  <c r="AU19" i="2"/>
  <c r="B188" i="5" s="1"/>
  <c r="AU20" i="2"/>
  <c r="B212" i="5" s="1"/>
  <c r="AT11" i="2"/>
  <c r="B47" i="5" s="1"/>
  <c r="AT12" i="2"/>
  <c r="B69" i="5" s="1"/>
  <c r="AT10" i="2"/>
  <c r="B23" i="5" s="1"/>
  <c r="AU9" i="2"/>
  <c r="AT14" i="2"/>
  <c r="B93" i="5" s="1"/>
  <c r="AT16" i="2"/>
  <c r="B139" i="5" s="1"/>
  <c r="AU13" i="2"/>
  <c r="AT15" i="2"/>
  <c r="B117" i="5" s="1"/>
  <c r="AB18" i="2"/>
  <c r="B156" i="5" s="1"/>
  <c r="AB19" i="2"/>
  <c r="B180" i="5" s="1"/>
  <c r="AB20" i="2"/>
  <c r="B204" i="5" s="1"/>
  <c r="C49" i="1"/>
  <c r="E49" i="1"/>
  <c r="C45" i="1"/>
  <c r="E45" i="1"/>
  <c r="C48" i="1"/>
  <c r="E48" i="1"/>
  <c r="C47" i="1"/>
  <c r="E47" i="1"/>
  <c r="C46" i="1"/>
  <c r="E46" i="1"/>
  <c r="AL62" i="2" l="1"/>
  <c r="B380" i="5" s="1"/>
  <c r="B374" i="5"/>
  <c r="AL63" i="2"/>
  <c r="B410" i="5" s="1"/>
  <c r="B404" i="5"/>
  <c r="AL61" i="2"/>
  <c r="B350" i="5" s="1"/>
  <c r="B344" i="5"/>
  <c r="BF235" i="2"/>
  <c r="AV236" i="2"/>
  <c r="AV237" i="2"/>
  <c r="BE236" i="2"/>
  <c r="B1168" i="5"/>
  <c r="BE237" i="2"/>
  <c r="B1198" i="5"/>
  <c r="AV227" i="2"/>
  <c r="BE227" i="2"/>
  <c r="AU228" i="2"/>
  <c r="AU229" i="2"/>
  <c r="BD228" i="2"/>
  <c r="B1057" i="5"/>
  <c r="BD229" i="2"/>
  <c r="B1083" i="5"/>
  <c r="AV231" i="2"/>
  <c r="BE231" i="2"/>
  <c r="AU232" i="2"/>
  <c r="AU233" i="2"/>
  <c r="BD232" i="2"/>
  <c r="B1112" i="5"/>
  <c r="BD233" i="2"/>
  <c r="B1138" i="5"/>
  <c r="AL236" i="2"/>
  <c r="B1163" i="5" s="1"/>
  <c r="B1157" i="5"/>
  <c r="AL237" i="2"/>
  <c r="B1193" i="5" s="1"/>
  <c r="B1187" i="5"/>
  <c r="AL232" i="2"/>
  <c r="B1108" i="5" s="1"/>
  <c r="B1102" i="5"/>
  <c r="AL228" i="2"/>
  <c r="B1053" i="5" s="1"/>
  <c r="B1047" i="5"/>
  <c r="R228" i="2"/>
  <c r="B1041" i="5" s="1"/>
  <c r="B1035" i="5"/>
  <c r="AV201" i="2"/>
  <c r="B1009" i="5" s="1"/>
  <c r="AV202" i="2"/>
  <c r="B1029" i="5" s="1"/>
  <c r="AV196" i="2"/>
  <c r="AV197" i="2" s="1"/>
  <c r="B972" i="5" s="1"/>
  <c r="AU197" i="2"/>
  <c r="B971" i="5" s="1"/>
  <c r="AU198" i="2"/>
  <c r="B989" i="5" s="1"/>
  <c r="AV185" i="2"/>
  <c r="B928" i="5" s="1"/>
  <c r="AV186" i="2"/>
  <c r="B952" i="5" s="1"/>
  <c r="AV176" i="2"/>
  <c r="AV177" i="2" s="1"/>
  <c r="B838" i="5" s="1"/>
  <c r="AU177" i="2"/>
  <c r="B837" i="5" s="1"/>
  <c r="AU178" i="2"/>
  <c r="B859" i="5" s="1"/>
  <c r="AV180" i="2"/>
  <c r="AV181" i="2" s="1"/>
  <c r="B883" i="5" s="1"/>
  <c r="AU181" i="2"/>
  <c r="B882" i="5" s="1"/>
  <c r="AU182" i="2"/>
  <c r="B904" i="5" s="1"/>
  <c r="R62" i="2"/>
  <c r="B368" i="5" s="1"/>
  <c r="B362" i="5"/>
  <c r="R63" i="2"/>
  <c r="B398" i="5" s="1"/>
  <c r="B392" i="5"/>
  <c r="R61" i="2"/>
  <c r="B338" i="5" s="1"/>
  <c r="B332" i="5"/>
  <c r="K36" i="1"/>
  <c r="D51" i="1"/>
  <c r="BF68" i="2"/>
  <c r="AV69" i="2"/>
  <c r="AV70" i="2"/>
  <c r="AV71" i="2"/>
  <c r="BE69" i="2"/>
  <c r="B535" i="5"/>
  <c r="BE70" i="2"/>
  <c r="B565" i="5"/>
  <c r="BE71" i="2"/>
  <c r="B595" i="5"/>
  <c r="B384" i="5"/>
  <c r="BD62" i="2"/>
  <c r="BD63" i="2"/>
  <c r="B414" i="5"/>
  <c r="BE60" i="2"/>
  <c r="AU62" i="2"/>
  <c r="AU63" i="2"/>
  <c r="AU61" i="2"/>
  <c r="AV60" i="2"/>
  <c r="B354" i="5"/>
  <c r="BD61" i="2"/>
  <c r="AV64" i="2"/>
  <c r="BE64" i="2"/>
  <c r="AU65" i="2"/>
  <c r="AU66" i="2"/>
  <c r="AU67" i="2"/>
  <c r="BD65" i="2"/>
  <c r="B444" i="5"/>
  <c r="BD66" i="2"/>
  <c r="B474" i="5"/>
  <c r="BD67" i="2"/>
  <c r="B504" i="5"/>
  <c r="AL69" i="2"/>
  <c r="B530" i="5" s="1"/>
  <c r="B524" i="5"/>
  <c r="AL70" i="2"/>
  <c r="B560" i="5" s="1"/>
  <c r="B554" i="5"/>
  <c r="AL71" i="2"/>
  <c r="B590" i="5" s="1"/>
  <c r="B584" i="5"/>
  <c r="AL65" i="2"/>
  <c r="B440" i="5" s="1"/>
  <c r="B434" i="5"/>
  <c r="AL66" i="2"/>
  <c r="B470" i="5" s="1"/>
  <c r="B464" i="5"/>
  <c r="AL67" i="2"/>
  <c r="B500" i="5" s="1"/>
  <c r="B494" i="5"/>
  <c r="R65" i="2"/>
  <c r="B428" i="5" s="1"/>
  <c r="B422" i="5"/>
  <c r="R66" i="2"/>
  <c r="B458" i="5" s="1"/>
  <c r="B452" i="5"/>
  <c r="R67" i="2"/>
  <c r="B488" i="5" s="1"/>
  <c r="B482" i="5"/>
  <c r="AV34" i="2"/>
  <c r="B288" i="5" s="1"/>
  <c r="AV35" i="2"/>
  <c r="B308" i="5" s="1"/>
  <c r="AV29" i="2"/>
  <c r="AU30" i="2"/>
  <c r="B247" i="5" s="1"/>
  <c r="AU31" i="2"/>
  <c r="B267" i="5" s="1"/>
  <c r="AU25" i="2"/>
  <c r="AU26" i="2" s="1"/>
  <c r="B228" i="5" s="1"/>
  <c r="AT26" i="2"/>
  <c r="B227" i="5" s="1"/>
  <c r="AV18" i="2"/>
  <c r="B165" i="5" s="1"/>
  <c r="AV19" i="2"/>
  <c r="B189" i="5" s="1"/>
  <c r="AV20" i="2"/>
  <c r="B213" i="5" s="1"/>
  <c r="AU10" i="2"/>
  <c r="B24" i="5" s="1"/>
  <c r="AU11" i="2"/>
  <c r="B48" i="5" s="1"/>
  <c r="AV9" i="2"/>
  <c r="AU12" i="2"/>
  <c r="B70" i="5" s="1"/>
  <c r="AV13" i="2"/>
  <c r="AU14" i="2"/>
  <c r="B94" i="5" s="1"/>
  <c r="AU15" i="2"/>
  <c r="B118" i="5" s="1"/>
  <c r="AU16" i="2"/>
  <c r="B140" i="5" s="1"/>
  <c r="BF236" i="2" l="1"/>
  <c r="B1169" i="5"/>
  <c r="BF237" i="2"/>
  <c r="B1199" i="5"/>
  <c r="BF227" i="2"/>
  <c r="AV228" i="2"/>
  <c r="BE228" i="2"/>
  <c r="B1058" i="5"/>
  <c r="BE229" i="2"/>
  <c r="B1084" i="5"/>
  <c r="BF231" i="2"/>
  <c r="AV232" i="2"/>
  <c r="BE232" i="2"/>
  <c r="B1113" i="5"/>
  <c r="BE233" i="2"/>
  <c r="B1139" i="5"/>
  <c r="K39" i="1"/>
  <c r="C39" i="1"/>
  <c r="C51" i="1"/>
  <c r="E51" i="1"/>
  <c r="BF69" i="2"/>
  <c r="B536" i="5"/>
  <c r="BF70" i="2"/>
  <c r="B566" i="5"/>
  <c r="BF71" i="2"/>
  <c r="B596" i="5"/>
  <c r="B385" i="5"/>
  <c r="BE62" i="2"/>
  <c r="BE63" i="2"/>
  <c r="B415" i="5"/>
  <c r="BE61" i="2"/>
  <c r="B355" i="5"/>
  <c r="BF60" i="2"/>
  <c r="AV62" i="2"/>
  <c r="AV61" i="2"/>
  <c r="AV63" i="2"/>
  <c r="BF64" i="2"/>
  <c r="AV65" i="2"/>
  <c r="AV66" i="2"/>
  <c r="AV67" i="2"/>
  <c r="BE65" i="2"/>
  <c r="B445" i="5"/>
  <c r="BE66" i="2"/>
  <c r="B475" i="5"/>
  <c r="BE67" i="2"/>
  <c r="B505" i="5"/>
  <c r="AV30" i="2"/>
  <c r="B248" i="5" s="1"/>
  <c r="AV31" i="2"/>
  <c r="B268" i="5" s="1"/>
  <c r="AV10" i="2"/>
  <c r="B25" i="5" s="1"/>
  <c r="AV11" i="2"/>
  <c r="B49" i="5" s="1"/>
  <c r="AV12" i="2"/>
  <c r="B71" i="5" s="1"/>
  <c r="AV15" i="2"/>
  <c r="B119" i="5" s="1"/>
  <c r="AV16" i="2"/>
  <c r="B141" i="5" s="1"/>
  <c r="AV14" i="2"/>
  <c r="B95" i="5" s="1"/>
  <c r="BF228" i="2" l="1"/>
  <c r="B1059" i="5"/>
  <c r="BF232" i="2"/>
  <c r="B1114" i="5"/>
  <c r="B41" i="1"/>
  <c r="C37" i="1"/>
  <c r="C38" i="1"/>
  <c r="D37" i="1"/>
  <c r="B386" i="5"/>
  <c r="BF62" i="2"/>
  <c r="BF61" i="2"/>
  <c r="B356" i="5"/>
  <c r="BF63" i="2"/>
  <c r="B416" i="5"/>
  <c r="BF65" i="2"/>
  <c r="B446" i="5"/>
  <c r="BF66" i="2"/>
  <c r="B476" i="5"/>
  <c r="BF67" i="2"/>
  <c r="B506" i="5"/>
</calcChain>
</file>

<file path=xl/sharedStrings.xml><?xml version="1.0" encoding="utf-8"?>
<sst xmlns="http://schemas.openxmlformats.org/spreadsheetml/2006/main" count="18602" uniqueCount="3420">
  <si>
    <t>EMCAP RTL — Seller Pricing &amp; Eligibility Tool</t>
  </si>
  <si>
    <t>Enter the loan details in the yellow cells. Rate, eligibility and required-document flags update automatically. Yellow = input; everything else is locked.</t>
  </si>
  <si>
    <t>1.  LOAN INPUTS</t>
  </si>
  <si>
    <t>market token</t>
  </si>
  <si>
    <t>Loan Product</t>
  </si>
  <si>
    <t>Fix &amp; Flip / Fix &amp; Hold (F&amp;F / F&amp;H)</t>
  </si>
  <si>
    <t>size token</t>
  </si>
  <si>
    <t>Loan Purpose</t>
  </si>
  <si>
    <t>Purchase</t>
  </si>
  <si>
    <t>product token</t>
  </si>
  <si>
    <t>Requested Term (months)</t>
  </si>
  <si>
    <t>purpose token</t>
  </si>
  <si>
    <t>Property Market</t>
  </si>
  <si>
    <t>Standard (Non-NYC)</t>
  </si>
  <si>
    <t>term token</t>
  </si>
  <si>
    <t>Property ZIP code</t>
  </si>
  <si>
    <t>exit token</t>
  </si>
  <si>
    <t>Exit Strategy</t>
  </si>
  <si>
    <t>Fix &amp; Flip (sell)</t>
  </si>
  <si>
    <t>tier base</t>
  </si>
  <si>
    <t>tier num</t>
  </si>
  <si>
    <t>FICO Score</t>
  </si>
  <si>
    <t>tier token</t>
  </si>
  <si>
    <t># Comparable projects completed (last 3 yrs)</t>
  </si>
  <si>
    <t>arltv ratio</t>
  </si>
  <si>
    <t>GC-only experience?</t>
  </si>
  <si>
    <t>No</t>
  </si>
  <si>
    <t>ltc ratio</t>
  </si>
  <si>
    <t>acq ltv ratio</t>
  </si>
  <si>
    <t>Total Loan Amount ($)</t>
  </si>
  <si>
    <t>arltv band</t>
  </si>
  <si>
    <t>Purchase / Acquisition Cost ($)</t>
  </si>
  <si>
    <t>fico band</t>
  </si>
  <si>
    <t>Rehab / Construction Budget ($)</t>
  </si>
  <si>
    <t>ltc band</t>
  </si>
  <si>
    <t>After-Repair Value — ARV ($)</t>
  </si>
  <si>
    <t>rate key</t>
  </si>
  <si>
    <t>Note Rate (%)</t>
  </si>
  <si>
    <t>rate</t>
  </si>
  <si>
    <t>tg key</t>
  </si>
  <si>
    <t>Projected DSCR (if Fix &amp; Hold / DSCR)</t>
  </si>
  <si>
    <t>tg maxloan</t>
  </si>
  <si>
    <t>Cash-Out Amount ($) (if Refinance)</t>
  </si>
  <si>
    <t>tg minfico</t>
  </si>
  <si>
    <t>Projected Project Profit ($) (if Refinance)</t>
  </si>
  <si>
    <t>tg maxacq</t>
  </si>
  <si>
    <t>2.  AUTO-CLASSIFICATION</t>
  </si>
  <si>
    <t>tg maxar</t>
  </si>
  <si>
    <t>Acq-LTV</t>
  </si>
  <si>
    <t>tg maxltc</t>
  </si>
  <si>
    <t>LTC</t>
  </si>
  <si>
    <t>zip prefix</t>
  </si>
  <si>
    <t>AR-LTV</t>
  </si>
  <si>
    <t>geo fail</t>
  </si>
  <si>
    <t>Loan-size band</t>
  </si>
  <si>
    <t>loan fail</t>
  </si>
  <si>
    <t>Borrower Tier (derived)</t>
  </si>
  <si>
    <t>fico fail</t>
  </si>
  <si>
    <t>AR-LTV band</t>
  </si>
  <si>
    <t>acq fail</t>
  </si>
  <si>
    <t>FICO band</t>
  </si>
  <si>
    <t>ar fail</t>
  </si>
  <si>
    <t>LTC band</t>
  </si>
  <si>
    <t>ltc fail</t>
  </si>
  <si>
    <t>term fail</t>
  </si>
  <si>
    <t>3.  PRICING RESULT</t>
  </si>
  <si>
    <t>combo fail</t>
  </si>
  <si>
    <t>Indicative Buy Rate</t>
  </si>
  <si>
    <t>dscr fail</t>
  </si>
  <si>
    <t>Eligibility Decision</t>
  </si>
  <si>
    <t>cashout fail</t>
  </si>
  <si>
    <t>Flags / Reasons</t>
  </si>
  <si>
    <t>hardfails</t>
  </si>
  <si>
    <t>Indicative only — subject to full underwriting, appraisal review, and the conditions below.</t>
  </si>
  <si>
    <t>ltc&lt;=ar fail</t>
  </si>
  <si>
    <t>4.  ELIGIBILITY DETAIL (vs. Tier Grid)</t>
  </si>
  <si>
    <t>cure geo</t>
  </si>
  <si>
    <t>Check</t>
  </si>
  <si>
    <t>Status</t>
  </si>
  <si>
    <t>Limit / Detail</t>
  </si>
  <si>
    <t>Required to cure</t>
  </si>
  <si>
    <t>cure loan</t>
  </si>
  <si>
    <t>Geography</t>
  </si>
  <si>
    <t>cure fico</t>
  </si>
  <si>
    <t>Max Loan Amount</t>
  </si>
  <si>
    <t>cure acq</t>
  </si>
  <si>
    <t>Min FICO</t>
  </si>
  <si>
    <t>cure ar</t>
  </si>
  <si>
    <t>Max Acq-LTV</t>
  </si>
  <si>
    <t>cure ltc</t>
  </si>
  <si>
    <t>Max AR-LTV</t>
  </si>
  <si>
    <t>cure ltc&lt;=ar</t>
  </si>
  <si>
    <t>Max LTC</t>
  </si>
  <si>
    <t>cure term</t>
  </si>
  <si>
    <t>Term offered</t>
  </si>
  <si>
    <t>cure combo</t>
  </si>
  <si>
    <t>Rate in grid</t>
  </si>
  <si>
    <t>cure dscr</t>
  </si>
  <si>
    <t>DSCR (if Hold)</t>
  </si>
  <si>
    <t>cure cashout</t>
  </si>
  <si>
    <t>Cash-out (if Refi)</t>
  </si>
  <si>
    <t>maxT1</t>
  </si>
  <si>
    <t>LTC &gt; AR-LTV</t>
  </si>
  <si>
    <t>maxT2</t>
  </si>
  <si>
    <t>5.  REQUIRED-DOCUMENT &amp; OVERLAY CHECKLIST (auto-filters to this loan)</t>
  </si>
  <si>
    <t>maxT3</t>
  </si>
  <si>
    <t>Overlay</t>
  </si>
  <si>
    <t>Applies?</t>
  </si>
  <si>
    <t>Requirement</t>
  </si>
  <si>
    <t>qtier</t>
  </si>
  <si>
    <t>Appraisal comp review</t>
  </si>
  <si>
    <t>≥1 As-Is and ≥1 ARV comp on a 1004: sale within 12 mo, &lt;15% net adj., same ZIP. Interior photos required; submitting lender name must appear on appraisal.</t>
  </si>
  <si>
    <t>reqcomps</t>
  </si>
  <si>
    <t>Refinance background / exit</t>
  </si>
  <si>
    <t>Provide current-financing background &amp; exit strategy. Purchase price used as As-Is where no value-add since acquisition (As-Is appraisal usable if acquired &gt;18 mo prior).</t>
  </si>
  <si>
    <t>New-construction refi docs</t>
  </si>
  <si>
    <t>Within 18 mo of acquisition may use Purchase Price + documented value-add (invoices; 1:1 credit). Mid-way completed projects are NOT eligible.</t>
  </si>
  <si>
    <t>Bridge / stabilized refi</t>
  </si>
  <si>
    <t>Borrower current on all payments (VOM/payoff), no missed payments, taxes current; project profitable incl. new fees &amp; carry; interest reserves netted from cash-out; LTC/AR-LTV inclusive of IR funding.</t>
  </si>
  <si>
    <t>Cash-out limit</t>
  </si>
  <si>
    <t>Cash-out proceeds may not exceed 50% of total projected project profitability.</t>
  </si>
  <si>
    <t>Experience overlay – loan &gt;$1M</t>
  </si>
  <si>
    <t>Prior projects must show budgets and re-sale values within 80% of the current submission.</t>
  </si>
  <si>
    <t>Experience overlay – GUC &gt;$500k</t>
  </si>
  <si>
    <t>Only other new-construction projects qualify; budgets and re-sale values within 80% of current submission.</t>
  </si>
  <si>
    <t>GC-only experience</t>
  </si>
  <si>
    <t>GC experience requires documented proof. GC-only caps at Tier 2 ≤$2.5M / Tier 3 &gt;$2.5M and cannot qualify for sub-division projects.</t>
  </si>
  <si>
    <t>Out-of-pocket rehab</t>
  </si>
  <si>
    <t>LTC exceeds max — borrower OOP funds must be fully injected before any lender rehab releases. Lender targets 100% of go-forward costs.</t>
  </si>
  <si>
    <t>Entity / ownership verification</t>
  </si>
  <si>
    <t>Borrower must verify entity ownership &amp; acquisition for unverifiable prior projects; ≥25% ownership required (operating agreements / entity docs).</t>
  </si>
  <si>
    <t>Geography exclusion</t>
  </si>
  <si>
    <t>Greater Philadelphia (191xx) and Greater Chicago (606xx/607xx/608xx) are ineligible.</t>
  </si>
  <si>
    <t>12 MONTH TERM</t>
  </si>
  <si>
    <t>18 MONTH TERM</t>
  </si>
  <si>
    <t>24 MONTH TERM</t>
  </si>
  <si>
    <t>Loan Sizes $100k-$2.5m</t>
  </si>
  <si>
    <t>All loan products are eligible for 12 month terms</t>
  </si>
  <si>
    <t>GUC product -- F&amp;F product w/ over $100k budget -- F&amp;H product -- Bridge product eligible for 18 month terms (profitability calcs will be run at term)</t>
  </si>
  <si>
    <t>GUC product -- F&amp;F product w/ over $200k budget -- F&amp;H product -- Bridge product eligible for 24 month terms (profitability calcs will be run at term)</t>
  </si>
  <si>
    <t>Pricing Matrix - Purchase Loans (F&amp;F / F&amp;H)</t>
  </si>
  <si>
    <t>Pricing Matrix - Refinance Loans (F&amp;F / F&amp;H)</t>
  </si>
  <si>
    <t>Tier 1 (3+ Proj. Comp. last 3 yrs)</t>
  </si>
  <si>
    <t>&lt;74.99%</t>
  </si>
  <si>
    <t>75.00%-80.00%</t>
  </si>
  <si>
    <t>80.01%-85.00%</t>
  </si>
  <si>
    <t>85.01%-87.50%</t>
  </si>
  <si>
    <t>87.51%-89.99%</t>
  </si>
  <si>
    <t>90.00%-92.50%</t>
  </si>
  <si>
    <t>70.01%-75.00%</t>
  </si>
  <si>
    <t>NA</t>
  </si>
  <si>
    <t>FICO 700+</t>
  </si>
  <si>
    <t>FICO 660-699</t>
  </si>
  <si>
    <t>FICO 640-659</t>
  </si>
  <si>
    <t>65.00%-70.00%</t>
  </si>
  <si>
    <t>&lt;64.99%</t>
  </si>
  <si>
    <t>Tier 2 (1-2 Proj. Comp. last 3 yrs)</t>
  </si>
  <si>
    <t>Tier 3 (0 Proj. Comp. last 3 yrs)</t>
  </si>
  <si>
    <t>FICO 680-699</t>
  </si>
  <si>
    <t>FICO 640-679</t>
  </si>
  <si>
    <t>Pricing Matrix - Purchase Loans (GUC)</t>
  </si>
  <si>
    <t>Pricing Matrix - Refinance Loans (GUC)</t>
  </si>
  <si>
    <t>Pricing Matrix - Purchase Loans (BRIDGE)</t>
  </si>
  <si>
    <t>Pricing Matrix - Refinance Loans (BRIDGE)</t>
  </si>
  <si>
    <t>75.01%-80.00%</t>
  </si>
  <si>
    <t>Loan Sizes $2.5m-$4.5m</t>
  </si>
  <si>
    <t>Tier 1 (5+ Proj. Comp. last 3 yrs)</t>
  </si>
  <si>
    <t>Tier 2 (2-4 Proj. Comp. last 3 yrs)</t>
  </si>
  <si>
    <t>Tier 3 (0-1 Proj. Comp. last 3 yrs)</t>
  </si>
  <si>
    <t>New York City / Five Borough (Brooklyn, Queens, The Bronx, Staten Island, Manhattan) Leverage &amp; Pricing</t>
  </si>
  <si>
    <t>Tier 1</t>
  </si>
  <si>
    <t>Tier 2</t>
  </si>
  <si>
    <t>Tier 3</t>
  </si>
  <si>
    <t>Valuations - Additional Appraisal Review Items</t>
  </si>
  <si>
    <t>- As Is Comparables - at least one As Is comp shown on a 1004 appraisal must show the characteristics below:</t>
  </si>
  <si>
    <t>- Sale / Close date within 12 months of subject loan submission date</t>
  </si>
  <si>
    <t>- 1 As Is comparable used must show less than 15% net adjustments to value</t>
  </si>
  <si>
    <t>- Comp used must be in the same zip code as subject property</t>
  </si>
  <si>
    <t>- ARV Comparables - at least one ARV comp shown on a 1004 appraisal must show the characteristics below:</t>
  </si>
  <si>
    <t>- 1 ARV comparable used must show less than 15% net adjustments to value</t>
  </si>
  <si>
    <t>- Fix &amp; Hold / DSCR / Rental exit strategy - rental analysis must be included on appraisal</t>
  </si>
  <si>
    <t>- Projected DSCR of subj. property must meet min 1.0 DSCR</t>
  </si>
  <si>
    <t>- Projected DSCR loan must be over 100% of current loan amount</t>
  </si>
  <si>
    <t>- All appraisals must include interior pictures</t>
  </si>
  <si>
    <t>- All appraisals must exhibit the lender's name who is submitting the loan for funding</t>
  </si>
  <si>
    <t>Refinances - Additional Refinance Review Items</t>
  </si>
  <si>
    <t>- All refinance submissions should include clarification on current financing / background as well as exit strategy (if unclear)</t>
  </si>
  <si>
    <t>- Purchase Price will be used as As Is Value on subject properties where no value add work has been completed since acquisition</t>
  </si>
  <si>
    <t>- As Is values on appraisals can be used if properties were acquired over 18 months prior to submission</t>
  </si>
  <si>
    <t>- New Construction Refinances</t>
  </si>
  <si>
    <t>- Submissions within 18 months of acquisition can utilize Purchase Price + value add work completed to date</t>
  </si>
  <si>
    <t>- Value add work must be documented through invoices - all cost spent will be treated 1/1 with value add</t>
  </si>
  <si>
    <t>- Bridge Refinances (Stabilized property refinances) must exhibit all characteristics below to be eligible for financing</t>
  </si>
  <si>
    <t>- Borrowers must be Current on all payments with lender - Evidence through VOM / payoff from servicer must be provided</t>
  </si>
  <si>
    <t>- Borrowers have no missed payments to date (evidenced through VOM)</t>
  </si>
  <si>
    <t>- Borrowers are current on all taxes owed</t>
  </si>
  <si>
    <t>- Project must be profitable with the inclusion of new loan fees &amp; carry (fees &amp; carry for prior loan will be included in calc)</t>
  </si>
  <si>
    <t>- Interest Reserves for the term of the loan will always be net from cash out proceeds</t>
  </si>
  <si>
    <t>- Approved LTC / AR-LTV will be inclusive of IR funding</t>
  </si>
  <si>
    <t>- Mid-Way completed construction projects are not eligible for funding</t>
  </si>
  <si>
    <t>- Cash Out proceeds from refinances can not exceed 50% of total projected profitability for a project</t>
  </si>
  <si>
    <t>Borrower Experience - Additional Review Items</t>
  </si>
  <si>
    <t>- Borrowers must provide entity ownership verification &amp; property acquisition verification for all prior projects completed that can not be verified through 3rd party resources</t>
  </si>
  <si>
    <t>- Borrowers must own 25% or more of an entity to be eligible (evidenced through Operating Agreements or entity documentation)</t>
  </si>
  <si>
    <t>- Borrower Experience / Loan Sizes over $1m / New Construction projects w/ over $500k budgets</t>
  </si>
  <si>
    <t>- Experience qualification for submissions that fit the categories above must exhibit the below characteristics to qualify:</t>
  </si>
  <si>
    <t>- New Construction projects w/ over $500k budgets</t>
  </si>
  <si>
    <t>- Only other new construction projects will qualify</t>
  </si>
  <si>
    <t>- Projects must show budgets within 80% of total budget of current submission</t>
  </si>
  <si>
    <t>- Projects must show re-sale values within 80% of projected re-sale value of current submission</t>
  </si>
  <si>
    <t>- Loan Sizes over $1m</t>
  </si>
  <si>
    <t>- Borrower Experience - GC Experience</t>
  </si>
  <si>
    <t>- GC experience is eligible to be considered if documentation is provided showing proof that borrower completed projects shown</t>
  </si>
  <si>
    <t>- Borrowers showing ONLY GC experience can max qualify as Tier 2 borrowers for loan sizes up to $2.5M</t>
  </si>
  <si>
    <t>- Borrowers showing ONLY GC experience can max qualify as Tier 3 (first time borrower) borrowers for loan sizes $2.5M+</t>
  </si>
  <si>
    <t>- Borrowers showing ONLY GC experience can not qualify for Sub-Division projects</t>
  </si>
  <si>
    <t>Loan Structuring - Out Of Pocket Rehab</t>
  </si>
  <si>
    <t>- Loan should always look to be structured with lender providing 100% of rehab funds / total go-forward project costs</t>
  </si>
  <si>
    <t>- If borrowers need to complete OOP rehab work in order to make loan structures eligible then these funds must be input into a project 100% before loan rehab releases can be funded</t>
  </si>
  <si>
    <t>Geography - Additional Review Items</t>
  </si>
  <si>
    <t>- Submissions from the below locations will be in-eligible:</t>
  </si>
  <si>
    <t>- Greater Philadelphia (Zip codes starting with 191xx)</t>
  </si>
  <si>
    <t>- Greater Chicago (Zip codes starting with 606xx, 607xx, 608xx)</t>
  </si>
  <si>
    <t>- Greater Baltimore (Zip codes including 21201, 21202, 21205, 21215, 21216, 21217, 21223, 21229)</t>
  </si>
  <si>
    <t>- Greater Detroit (Zip codes starting with 481xx, 482xx, 483xx)</t>
  </si>
  <si>
    <t>- Nevada</t>
  </si>
  <si>
    <t>- Minnesota</t>
  </si>
  <si>
    <t>- North Dakota</t>
  </si>
  <si>
    <t>- South Dakota</t>
  </si>
  <si>
    <t>- MSA's with over 10 months housing supply (MSA, product type &amp; re-sale price range should all be considered)</t>
  </si>
  <si>
    <t>Loan submissions with prior sales within 24 months</t>
  </si>
  <si>
    <t>- All purchase submissions on properties showing sales within 24 months must show evidence of arms-length transaction</t>
  </si>
  <si>
    <t>- Additional detail on prior sales / sponsor acquisition &amp; exit strategy must be provided</t>
  </si>
  <si>
    <t>Borrower Background Review / Background Checks</t>
  </si>
  <si>
    <t xml:space="preserve">- Borrowers showing BK or FCL within 5 years of current submission will be in-eligible (all individuals within an entity must conform) </t>
  </si>
  <si>
    <t>- Borrowers with tax liens or judgements above $15k will be in-eligible</t>
  </si>
  <si>
    <t>- Borrowers with prior financial related criminal offenses will be in-eligible</t>
  </si>
  <si>
    <t>- Borrowers showing negative remarks on Elementix must include LOE for any remarks shown - these will be considered on a case by case basis</t>
  </si>
  <si>
    <t>Assignment Fees / A/B Transactions / Seller Credits / Seller Financing</t>
  </si>
  <si>
    <t>- Assignment Fees can not exceed 15% of Gross Purchase Price</t>
  </si>
  <si>
    <t>- A/B transactions can not exceed 15% of Gross Purchase Price</t>
  </si>
  <si>
    <t>- Seller Credits can not exceed 15% of Gross Purchase Price</t>
  </si>
  <si>
    <t>- Loan submissions showing evidence of Seller Financing will be in-eligible</t>
  </si>
  <si>
    <t>June 2026 Guideline Version Grid</t>
  </si>
  <si>
    <t>Purchase Loans (F&amp;F / F&amp;H)</t>
  </si>
  <si>
    <t>Refinance Loans (F&amp;F / F&amp;H)</t>
  </si>
  <si>
    <t>Borrower Experience Tier</t>
  </si>
  <si>
    <t>Max Total Loan Amount</t>
  </si>
  <si>
    <t>Eligible Strategy</t>
  </si>
  <si>
    <t>$4.5M</t>
  </si>
  <si>
    <t>F&amp;F / F&amp;H</t>
  </si>
  <si>
    <t>$2.5M</t>
  </si>
  <si>
    <t>$950K</t>
  </si>
  <si>
    <t>Purchase Loans (GUC)</t>
  </si>
  <si>
    <t>Refinance Loans (GUC)</t>
  </si>
  <si>
    <t>GUC</t>
  </si>
  <si>
    <t>Purchase Loans (BRIDGE)</t>
  </si>
  <si>
    <t>Refinance Loans (BRIDGE)</t>
  </si>
  <si>
    <t>BRIDGE</t>
  </si>
  <si>
    <t>key</t>
  </si>
  <si>
    <t>source_cell</t>
  </si>
  <si>
    <t>tgkey</t>
  </si>
  <si>
    <t>maxloan</t>
  </si>
  <si>
    <t>minfico</t>
  </si>
  <si>
    <t>maxacq</t>
  </si>
  <si>
    <t>maxar</t>
  </si>
  <si>
    <t>maxltc</t>
  </si>
  <si>
    <t>prod_label</t>
  </si>
  <si>
    <t>prod_token</t>
  </si>
  <si>
    <t>purp_label</t>
  </si>
  <si>
    <t>purp_token</t>
  </si>
  <si>
    <t>mkt_label</t>
  </si>
  <si>
    <t>mkt_token</t>
  </si>
  <si>
    <t>exit_label</t>
  </si>
  <si>
    <t>exit_token</t>
  </si>
  <si>
    <t>terms</t>
  </si>
  <si>
    <t>yesno</t>
  </si>
  <si>
    <t>STD|S|FF|P|12|T1|70.01%-75.00%|FICO 700+|&lt;74.99%</t>
  </si>
  <si>
    <t>C10</t>
  </si>
  <si>
    <t>FF|P|T1</t>
  </si>
  <si>
    <t>FF</t>
  </si>
  <si>
    <t>P</t>
  </si>
  <si>
    <t>STD</t>
  </si>
  <si>
    <t>FLIP</t>
  </si>
  <si>
    <t>Yes</t>
  </si>
  <si>
    <t>STD|S|FF|P|12|T1|70.01%-75.00%|FICO 700+|75.00%-80.00%</t>
  </si>
  <si>
    <t>D10</t>
  </si>
  <si>
    <t>FF|R|T1</t>
  </si>
  <si>
    <t>Ground-Up Construction (GUC)</t>
  </si>
  <si>
    <t>Refinance</t>
  </si>
  <si>
    <t>R</t>
  </si>
  <si>
    <t>NYC Five-Borough</t>
  </si>
  <si>
    <t>NYC</t>
  </si>
  <si>
    <t>Fix &amp; Hold / DSCR (rent)</t>
  </si>
  <si>
    <t>HOLD</t>
  </si>
  <si>
    <t>STD|S|FF|P|12|T1|70.01%-75.00%|FICO 700+|80.01%-85.00%</t>
  </si>
  <si>
    <t>E10</t>
  </si>
  <si>
    <t>FF|P|T2</t>
  </si>
  <si>
    <t>Bridge</t>
  </si>
  <si>
    <t>BR</t>
  </si>
  <si>
    <t>Bridge / Stabilized</t>
  </si>
  <si>
    <t>STD|S|FF|P|12|T1|70.01%-75.00%|FICO 700+|85.01%-87.50%</t>
  </si>
  <si>
    <t>F10</t>
  </si>
  <si>
    <t>FF|R|T2</t>
  </si>
  <si>
    <t>STD|S|FF|P|12|T1|70.01%-75.00%|FICO 700+|87.51%-89.99%</t>
  </si>
  <si>
    <t>G10</t>
  </si>
  <si>
    <t>FF|P|T3</t>
  </si>
  <si>
    <t>STD|S|FF|P|12|T1|70.01%-75.00%|FICO 700+|90.00%-92.50%</t>
  </si>
  <si>
    <t>H10</t>
  </si>
  <si>
    <t>FF|R|T3</t>
  </si>
  <si>
    <t>STD|S|FF|R|12|T1|70.01%-75.00%|FICO 700+|&lt;74.99%</t>
  </si>
  <si>
    <t>M10</t>
  </si>
  <si>
    <t>GUC|P|T1</t>
  </si>
  <si>
    <t>STD|S|FF|R|12|T1|70.01%-75.00%|FICO 700+|75.00%-80.00%</t>
  </si>
  <si>
    <t>N10</t>
  </si>
  <si>
    <t>GUC|R|T1</t>
  </si>
  <si>
    <t>STD|S|FF|R|12|T1|70.01%-75.00%|FICO 700+|80.01%-85.00%</t>
  </si>
  <si>
    <t>O10</t>
  </si>
  <si>
    <t>GUC|P|T2</t>
  </si>
  <si>
    <t>STD|S|FF|P|18|T1|70.01%-75.00%|FICO 700+|&lt;74.99%</t>
  </si>
  <si>
    <t>W10</t>
  </si>
  <si>
    <t>GUC|R|T2</t>
  </si>
  <si>
    <t>STD|S|FF|P|18|T1|70.01%-75.00%|FICO 700+|75.00%-80.00%</t>
  </si>
  <si>
    <t>X10</t>
  </si>
  <si>
    <t>GUC|P|T3</t>
  </si>
  <si>
    <t>STD|S|FF|P|18|T1|70.01%-75.00%|FICO 700+|80.01%-85.00%</t>
  </si>
  <si>
    <t>Y10</t>
  </si>
  <si>
    <t>GUC|R|T3</t>
  </si>
  <si>
    <t>STD|S|FF|P|18|T1|70.01%-75.00%|FICO 700+|85.01%-87.50%</t>
  </si>
  <si>
    <t>Z10</t>
  </si>
  <si>
    <t>BR|P|T1</t>
  </si>
  <si>
    <t>STD|S|FF|P|18|T1|70.01%-75.00%|FICO 700+|87.51%-89.99%</t>
  </si>
  <si>
    <t>AA10</t>
  </si>
  <si>
    <t>BR|R|T1</t>
  </si>
  <si>
    <t>STD|S|FF|P|18|T1|70.01%-75.00%|FICO 700+|90.00%-92.50%</t>
  </si>
  <si>
    <t>AB10</t>
  </si>
  <si>
    <t>BR|P|T2</t>
  </si>
  <si>
    <t>STD|S|FF|R|18|T1|70.01%-75.00%|FICO 700+|&lt;74.99%</t>
  </si>
  <si>
    <t>AG10</t>
  </si>
  <si>
    <t>BR|R|T2</t>
  </si>
  <si>
    <t>STD|S|FF|R|18|T1|70.01%-75.00%|FICO 700+|75.00%-80.00%</t>
  </si>
  <si>
    <t>AH10</t>
  </si>
  <si>
    <t>BR|P|T3</t>
  </si>
  <si>
    <t>STD|S|FF|R|18|T1|70.01%-75.00%|FICO 700+|80.01%-85.00%</t>
  </si>
  <si>
    <t>AI10</t>
  </si>
  <si>
    <t>BR|R|T3</t>
  </si>
  <si>
    <t>STD|S|FF|P|24|T1|70.01%-75.00%|FICO 700+|&lt;74.99%</t>
  </si>
  <si>
    <t>AQ10</t>
  </si>
  <si>
    <t>STD|S|FF|P|24|T1|70.01%-75.00%|FICO 700+|75.00%-80.00%</t>
  </si>
  <si>
    <t>AR10</t>
  </si>
  <si>
    <t>STD|S|FF|P|24|T1|70.01%-75.00%|FICO 700+|80.01%-85.00%</t>
  </si>
  <si>
    <t>AS10</t>
  </si>
  <si>
    <t>STD|S|FF|P|24|T1|70.01%-75.00%|FICO 700+|85.01%-87.50%</t>
  </si>
  <si>
    <t>AT10</t>
  </si>
  <si>
    <t>STD|S|FF|P|24|T1|70.01%-75.00%|FICO 700+|87.51%-89.99%</t>
  </si>
  <si>
    <t>AU10</t>
  </si>
  <si>
    <t>STD|S|FF|P|24|T1|70.01%-75.00%|FICO 700+|90.00%-92.50%</t>
  </si>
  <si>
    <t>AV10</t>
  </si>
  <si>
    <t>STD|S|FF|P|12|T1|70.01%-75.00%|FICO 660-699|&lt;74.99%</t>
  </si>
  <si>
    <t>C11</t>
  </si>
  <si>
    <t>STD|S|FF|P|12|T1|70.01%-75.00%|FICO 660-699|75.00%-80.00%</t>
  </si>
  <si>
    <t>D11</t>
  </si>
  <si>
    <t>STD|S|FF|P|12|T1|70.01%-75.00%|FICO 660-699|80.01%-85.00%</t>
  </si>
  <si>
    <t>E11</t>
  </si>
  <si>
    <t>STD|S|FF|P|12|T1|70.01%-75.00%|FICO 660-699|85.01%-87.50%</t>
  </si>
  <si>
    <t>F11</t>
  </si>
  <si>
    <t>STD|S|FF|P|12|T1|70.01%-75.00%|FICO 660-699|87.51%-89.99%</t>
  </si>
  <si>
    <t>G11</t>
  </si>
  <si>
    <t>STD|S|FF|P|12|T1|70.01%-75.00%|FICO 660-699|90.00%-92.50%</t>
  </si>
  <si>
    <t>H11</t>
  </si>
  <si>
    <t>STD|S|FF|R|12|T1|70.01%-75.00%|FICO 660-699|&lt;74.99%</t>
  </si>
  <si>
    <t>M11</t>
  </si>
  <si>
    <t>STD|S|FF|R|12|T1|70.01%-75.00%|FICO 660-699|75.00%-80.00%</t>
  </si>
  <si>
    <t>N11</t>
  </si>
  <si>
    <t>STD|S|FF|R|12|T1|70.01%-75.00%|FICO 660-699|80.01%-85.00%</t>
  </si>
  <si>
    <t>O11</t>
  </si>
  <si>
    <t>STD|S|FF|P|18|T1|70.01%-75.00%|FICO 660-699|&lt;74.99%</t>
  </si>
  <si>
    <t>W11</t>
  </si>
  <si>
    <t>STD|S|FF|P|18|T1|70.01%-75.00%|FICO 660-699|75.00%-80.00%</t>
  </si>
  <si>
    <t>X11</t>
  </si>
  <si>
    <t>STD|S|FF|P|18|T1|70.01%-75.00%|FICO 660-699|80.01%-85.00%</t>
  </si>
  <si>
    <t>Y11</t>
  </si>
  <si>
    <t>STD|S|FF|P|18|T1|70.01%-75.00%|FICO 660-699|85.01%-87.50%</t>
  </si>
  <si>
    <t>Z11</t>
  </si>
  <si>
    <t>STD|S|FF|P|18|T1|70.01%-75.00%|FICO 660-699|87.51%-89.99%</t>
  </si>
  <si>
    <t>AA11</t>
  </si>
  <si>
    <t>STD|S|FF|P|18|T1|70.01%-75.00%|FICO 660-699|90.00%-92.50%</t>
  </si>
  <si>
    <t>AB11</t>
  </si>
  <si>
    <t>STD|S|FF|R|18|T1|70.01%-75.00%|FICO 660-699|&lt;74.99%</t>
  </si>
  <si>
    <t>AG11</t>
  </si>
  <si>
    <t>STD|S|FF|R|18|T1|70.01%-75.00%|FICO 660-699|75.00%-80.00%</t>
  </si>
  <si>
    <t>AH11</t>
  </si>
  <si>
    <t>STD|S|FF|R|18|T1|70.01%-75.00%|FICO 660-699|80.01%-85.00%</t>
  </si>
  <si>
    <t>AI11</t>
  </si>
  <si>
    <t>STD|S|FF|P|24|T1|70.01%-75.00%|FICO 660-699|&lt;74.99%</t>
  </si>
  <si>
    <t>AQ11</t>
  </si>
  <si>
    <t>STD|S|FF|P|24|T1|70.01%-75.00%|FICO 660-699|75.00%-80.00%</t>
  </si>
  <si>
    <t>AR11</t>
  </si>
  <si>
    <t>STD|S|FF|P|24|T1|70.01%-75.00%|FICO 660-699|80.01%-85.00%</t>
  </si>
  <si>
    <t>AS11</t>
  </si>
  <si>
    <t>STD|S|FF|P|24|T1|70.01%-75.00%|FICO 660-699|85.01%-87.50%</t>
  </si>
  <si>
    <t>AT11</t>
  </si>
  <si>
    <t>STD|S|FF|P|24|T1|70.01%-75.00%|FICO 660-699|87.51%-89.99%</t>
  </si>
  <si>
    <t>AU11</t>
  </si>
  <si>
    <t>STD|S|FF|P|24|T1|70.01%-75.00%|FICO 660-699|90.00%-92.50%</t>
  </si>
  <si>
    <t>AV11</t>
  </si>
  <si>
    <t>STD|S|FF|P|12|T1|70.01%-75.00%|FICO 640-659|&lt;74.99%</t>
  </si>
  <si>
    <t>C12</t>
  </si>
  <si>
    <t>STD|S|FF|P|12|T1|70.01%-75.00%|FICO 640-659|75.00%-80.00%</t>
  </si>
  <si>
    <t>D12</t>
  </si>
  <si>
    <t>STD|S|FF|P|12|T1|70.01%-75.00%|FICO 640-659|80.01%-85.00%</t>
  </si>
  <si>
    <t>E12</t>
  </si>
  <si>
    <t>STD|S|FF|P|12|T1|70.01%-75.00%|FICO 640-659|85.01%-87.50%</t>
  </si>
  <si>
    <t>F12</t>
  </si>
  <si>
    <t>STD|S|FF|P|12|T1|70.01%-75.00%|FICO 640-659|87.51%-89.99%</t>
  </si>
  <si>
    <t>G12</t>
  </si>
  <si>
    <t>STD|S|FF|R|12|T1|70.01%-75.00%|FICO 640-659|&lt;74.99%</t>
  </si>
  <si>
    <t>M12</t>
  </si>
  <si>
    <t>STD|S|FF|R|12|T1|70.01%-75.00%|FICO 640-659|75.00%-80.00%</t>
  </si>
  <si>
    <t>N12</t>
  </si>
  <si>
    <t>STD|S|FF|R|12|T1|70.01%-75.00%|FICO 640-659|80.01%-85.00%</t>
  </si>
  <si>
    <t>O12</t>
  </si>
  <si>
    <t>STD|S|FF|P|18|T1|70.01%-75.00%|FICO 640-659|&lt;74.99%</t>
  </si>
  <si>
    <t>W12</t>
  </si>
  <si>
    <t>STD|S|FF|P|18|T1|70.01%-75.00%|FICO 640-659|75.00%-80.00%</t>
  </si>
  <si>
    <t>X12</t>
  </si>
  <si>
    <t>STD|S|FF|P|18|T1|70.01%-75.00%|FICO 640-659|80.01%-85.00%</t>
  </si>
  <si>
    <t>Y12</t>
  </si>
  <si>
    <t>STD|S|FF|P|18|T1|70.01%-75.00%|FICO 640-659|85.01%-87.50%</t>
  </si>
  <si>
    <t>Z12</t>
  </si>
  <si>
    <t>STD|S|FF|P|18|T1|70.01%-75.00%|FICO 640-659|87.51%-89.99%</t>
  </si>
  <si>
    <t>AA12</t>
  </si>
  <si>
    <t>STD|S|FF|R|18|T1|70.01%-75.00%|FICO 640-659|&lt;74.99%</t>
  </si>
  <si>
    <t>AG12</t>
  </si>
  <si>
    <t>STD|S|FF|R|18|T1|70.01%-75.00%|FICO 640-659|75.00%-80.00%</t>
  </si>
  <si>
    <t>AH12</t>
  </si>
  <si>
    <t>STD|S|FF|R|18|T1|70.01%-75.00%|FICO 640-659|80.01%-85.00%</t>
  </si>
  <si>
    <t>AI12</t>
  </si>
  <si>
    <t>STD|S|FF|P|24|T1|70.01%-75.00%|FICO 640-659|&lt;74.99%</t>
  </si>
  <si>
    <t>AQ12</t>
  </si>
  <si>
    <t>STD|S|FF|P|24|T1|70.01%-75.00%|FICO 640-659|75.00%-80.00%</t>
  </si>
  <si>
    <t>AR12</t>
  </si>
  <si>
    <t>STD|S|FF|P|24|T1|70.01%-75.00%|FICO 640-659|80.01%-85.00%</t>
  </si>
  <si>
    <t>AS12</t>
  </si>
  <si>
    <t>STD|S|FF|P|24|T1|70.01%-75.00%|FICO 640-659|85.01%-87.50%</t>
  </si>
  <si>
    <t>AT12</t>
  </si>
  <si>
    <t>STD|S|FF|P|24|T1|70.01%-75.00%|FICO 640-659|87.51%-89.99%</t>
  </si>
  <si>
    <t>AU12</t>
  </si>
  <si>
    <t>STD|S|FF|P|24|T1|70.01%-75.00%|FICO 640-659|90.00%-92.50%</t>
  </si>
  <si>
    <t>AV12</t>
  </si>
  <si>
    <t>STD|S|FF|P|12|T1|65.00%-70.00%|FICO 700+|&lt;74.99%</t>
  </si>
  <si>
    <t>C14</t>
  </si>
  <si>
    <t>STD|S|FF|P|12|T1|65.00%-70.00%|FICO 700+|75.00%-80.00%</t>
  </si>
  <si>
    <t>D14</t>
  </si>
  <si>
    <t>STD|S|FF|P|12|T1|65.00%-70.00%|FICO 700+|80.01%-85.00%</t>
  </si>
  <si>
    <t>E14</t>
  </si>
  <si>
    <t>STD|S|FF|P|12|T1|65.00%-70.00%|FICO 700+|85.01%-87.50%</t>
  </si>
  <si>
    <t>F14</t>
  </si>
  <si>
    <t>STD|S|FF|P|12|T1|65.00%-70.00%|FICO 700+|87.51%-89.99%</t>
  </si>
  <si>
    <t>G14</t>
  </si>
  <si>
    <t>STD|S|FF|P|12|T1|65.00%-70.00%|FICO 700+|90.00%-92.50%</t>
  </si>
  <si>
    <t>H14</t>
  </si>
  <si>
    <t>STD|S|FF|R|12|T1|65.00%-70.00%|FICO 700+|&lt;74.99%</t>
  </si>
  <si>
    <t>M14</t>
  </si>
  <si>
    <t>STD|S|FF|R|12|T1|65.00%-70.00%|FICO 700+|75.00%-80.00%</t>
  </si>
  <si>
    <t>N14</t>
  </si>
  <si>
    <t>STD|S|FF|R|12|T1|65.00%-70.00%|FICO 700+|80.01%-85.00%</t>
  </si>
  <si>
    <t>O14</t>
  </si>
  <si>
    <t>STD|S|FF|P|18|T1|65.00%-70.00%|FICO 700+|&lt;74.99%</t>
  </si>
  <si>
    <t>W14</t>
  </si>
  <si>
    <t>STD|S|FF|P|18|T1|65.00%-70.00%|FICO 700+|75.00%-80.00%</t>
  </si>
  <si>
    <t>X14</t>
  </si>
  <si>
    <t>STD|S|FF|P|18|T1|65.00%-70.00%|FICO 700+|80.01%-85.00%</t>
  </si>
  <si>
    <t>Y14</t>
  </si>
  <si>
    <t>STD|S|FF|P|18|T1|65.00%-70.00%|FICO 700+|85.01%-87.50%</t>
  </si>
  <si>
    <t>Z14</t>
  </si>
  <si>
    <t>STD|S|FF|P|18|T1|65.00%-70.00%|FICO 700+|87.51%-89.99%</t>
  </si>
  <si>
    <t>AA14</t>
  </si>
  <si>
    <t>STD|S|FF|P|18|T1|65.00%-70.00%|FICO 700+|90.00%-92.50%</t>
  </si>
  <si>
    <t>AB14</t>
  </si>
  <si>
    <t>STD|S|FF|R|18|T1|65.00%-70.00%|FICO 700+|&lt;74.99%</t>
  </si>
  <si>
    <t>AG14</t>
  </si>
  <si>
    <t>STD|S|FF|R|18|T1|65.00%-70.00%|FICO 700+|75.00%-80.00%</t>
  </si>
  <si>
    <t>AH14</t>
  </si>
  <si>
    <t>STD|S|FF|R|18|T1|65.00%-70.00%|FICO 700+|80.01%-85.00%</t>
  </si>
  <si>
    <t>AI14</t>
  </si>
  <si>
    <t>STD|S|FF|P|24|T1|65.00%-70.00%|FICO 700+|&lt;74.99%</t>
  </si>
  <si>
    <t>AQ14</t>
  </si>
  <si>
    <t>STD|S|FF|P|24|T1|65.00%-70.00%|FICO 700+|75.00%-80.00%</t>
  </si>
  <si>
    <t>AR14</t>
  </si>
  <si>
    <t>STD|S|FF|P|24|T1|65.00%-70.00%|FICO 700+|80.01%-85.00%</t>
  </si>
  <si>
    <t>AS14</t>
  </si>
  <si>
    <t>STD|S|FF|P|24|T1|65.00%-70.00%|FICO 700+|85.01%-87.50%</t>
  </si>
  <si>
    <t>AT14</t>
  </si>
  <si>
    <t>STD|S|FF|P|24|T1|65.00%-70.00%|FICO 700+|87.51%-89.99%</t>
  </si>
  <si>
    <t>AU14</t>
  </si>
  <si>
    <t>STD|S|FF|P|24|T1|65.00%-70.00%|FICO 700+|90.00%-92.50%</t>
  </si>
  <si>
    <t>AV14</t>
  </si>
  <si>
    <t>STD|S|FF|P|12|T1|65.00%-70.00%|FICO 660-699|&lt;74.99%</t>
  </si>
  <si>
    <t>C15</t>
  </si>
  <si>
    <t>STD|S|FF|P|12|T1|65.00%-70.00%|FICO 660-699|75.00%-80.00%</t>
  </si>
  <si>
    <t>D15</t>
  </si>
  <si>
    <t>STD|S|FF|P|12|T1|65.00%-70.00%|FICO 660-699|80.01%-85.00%</t>
  </si>
  <si>
    <t>E15</t>
  </si>
  <si>
    <t>STD|S|FF|P|12|T1|65.00%-70.00%|FICO 660-699|85.01%-87.50%</t>
  </si>
  <si>
    <t>F15</t>
  </si>
  <si>
    <t>STD|S|FF|P|12|T1|65.00%-70.00%|FICO 660-699|87.51%-89.99%</t>
  </si>
  <si>
    <t>G15</t>
  </si>
  <si>
    <t>STD|S|FF|P|12|T1|65.00%-70.00%|FICO 660-699|90.00%-92.50%</t>
  </si>
  <si>
    <t>H15</t>
  </si>
  <si>
    <t>STD|S|FF|R|12|T1|65.00%-70.00%|FICO 660-699|&lt;74.99%</t>
  </si>
  <si>
    <t>M15</t>
  </si>
  <si>
    <t>STD|S|FF|R|12|T1|65.00%-70.00%|FICO 660-699|75.00%-80.00%</t>
  </si>
  <si>
    <t>N15</t>
  </si>
  <si>
    <t>STD|S|FF|R|12|T1|65.00%-70.00%|FICO 660-699|80.01%-85.00%</t>
  </si>
  <si>
    <t>O15</t>
  </si>
  <si>
    <t>STD|S|FF|P|18|T1|65.00%-70.00%|FICO 660-699|&lt;74.99%</t>
  </si>
  <si>
    <t>W15</t>
  </si>
  <si>
    <t>STD|S|FF|P|18|T1|65.00%-70.00%|FICO 660-699|75.00%-80.00%</t>
  </si>
  <si>
    <t>X15</t>
  </si>
  <si>
    <t>STD|S|FF|P|18|T1|65.00%-70.00%|FICO 660-699|80.01%-85.00%</t>
  </si>
  <si>
    <t>Y15</t>
  </si>
  <si>
    <t>STD|S|FF|P|18|T1|65.00%-70.00%|FICO 660-699|85.01%-87.50%</t>
  </si>
  <si>
    <t>Z15</t>
  </si>
  <si>
    <t>STD|S|FF|P|18|T1|65.00%-70.00%|FICO 660-699|87.51%-89.99%</t>
  </si>
  <si>
    <t>AA15</t>
  </si>
  <si>
    <t>STD|S|FF|P|18|T1|65.00%-70.00%|FICO 660-699|90.00%-92.50%</t>
  </si>
  <si>
    <t>AB15</t>
  </si>
  <si>
    <t>STD|S|FF|R|18|T1|65.00%-70.00%|FICO 660-699|&lt;74.99%</t>
  </si>
  <si>
    <t>AG15</t>
  </si>
  <si>
    <t>STD|S|FF|R|18|T1|65.00%-70.00%|FICO 660-699|75.00%-80.00%</t>
  </si>
  <si>
    <t>AH15</t>
  </si>
  <si>
    <t>STD|S|FF|R|18|T1|65.00%-70.00%|FICO 660-699|80.01%-85.00%</t>
  </si>
  <si>
    <t>AI15</t>
  </si>
  <si>
    <t>STD|S|FF|P|24|T1|65.00%-70.00%|FICO 660-699|&lt;74.99%</t>
  </si>
  <si>
    <t>AQ15</t>
  </si>
  <si>
    <t>STD|S|FF|P|24|T1|65.00%-70.00%|FICO 660-699|75.00%-80.00%</t>
  </si>
  <si>
    <t>AR15</t>
  </si>
  <si>
    <t>STD|S|FF|P|24|T1|65.00%-70.00%|FICO 660-699|80.01%-85.00%</t>
  </si>
  <si>
    <t>AS15</t>
  </si>
  <si>
    <t>STD|S|FF|P|24|T1|65.00%-70.00%|FICO 660-699|85.01%-87.50%</t>
  </si>
  <si>
    <t>AT15</t>
  </si>
  <si>
    <t>STD|S|FF|P|24|T1|65.00%-70.00%|FICO 660-699|87.51%-89.99%</t>
  </si>
  <si>
    <t>AU15</t>
  </si>
  <si>
    <t>STD|S|FF|P|24|T1|65.00%-70.00%|FICO 660-699|90.00%-92.50%</t>
  </si>
  <si>
    <t>AV15</t>
  </si>
  <si>
    <t>STD|S|FF|P|12|T1|65.00%-70.00%|FICO 640-659|&lt;74.99%</t>
  </si>
  <si>
    <t>C16</t>
  </si>
  <si>
    <t>STD|S|FF|P|12|T1|65.00%-70.00%|FICO 640-659|75.00%-80.00%</t>
  </si>
  <si>
    <t>D16</t>
  </si>
  <si>
    <t>STD|S|FF|P|12|T1|65.00%-70.00%|FICO 640-659|80.01%-85.00%</t>
  </si>
  <si>
    <t>E16</t>
  </si>
  <si>
    <t>STD|S|FF|P|12|T1|65.00%-70.00%|FICO 640-659|85.01%-87.50%</t>
  </si>
  <si>
    <t>F16</t>
  </si>
  <si>
    <t>STD|S|FF|P|12|T1|65.00%-70.00%|FICO 640-659|87.51%-89.99%</t>
  </si>
  <si>
    <t>G16</t>
  </si>
  <si>
    <t>STD|S|FF|R|12|T1|65.00%-70.00%|FICO 640-659|&lt;74.99%</t>
  </si>
  <si>
    <t>M16</t>
  </si>
  <si>
    <t>STD|S|FF|R|12|T1|65.00%-70.00%|FICO 640-659|75.00%-80.00%</t>
  </si>
  <si>
    <t>N16</t>
  </si>
  <si>
    <t>STD|S|FF|R|12|T1|65.00%-70.00%|FICO 640-659|80.01%-85.00%</t>
  </si>
  <si>
    <t>O16</t>
  </si>
  <si>
    <t>STD|S|FF|P|18|T1|65.00%-70.00%|FICO 640-659|&lt;74.99%</t>
  </si>
  <si>
    <t>W16</t>
  </si>
  <si>
    <t>STD|S|FF|P|18|T1|65.00%-70.00%|FICO 640-659|75.00%-80.00%</t>
  </si>
  <si>
    <t>X16</t>
  </si>
  <si>
    <t>STD|S|FF|P|18|T1|65.00%-70.00%|FICO 640-659|80.01%-85.00%</t>
  </si>
  <si>
    <t>Y16</t>
  </si>
  <si>
    <t>STD|S|FF|P|18|T1|65.00%-70.00%|FICO 640-659|85.01%-87.50%</t>
  </si>
  <si>
    <t>Z16</t>
  </si>
  <si>
    <t>STD|S|FF|P|18|T1|65.00%-70.00%|FICO 640-659|87.51%-89.99%</t>
  </si>
  <si>
    <t>AA16</t>
  </si>
  <si>
    <t>STD|S|FF|R|18|T1|65.00%-70.00%|FICO 640-659|&lt;74.99%</t>
  </si>
  <si>
    <t>AG16</t>
  </si>
  <si>
    <t>STD|S|FF|R|18|T1|65.00%-70.00%|FICO 640-659|75.00%-80.00%</t>
  </si>
  <si>
    <t>AH16</t>
  </si>
  <si>
    <t>STD|S|FF|R|18|T1|65.00%-70.00%|FICO 640-659|80.01%-85.00%</t>
  </si>
  <si>
    <t>AI16</t>
  </si>
  <si>
    <t>STD|S|FF|P|24|T1|65.00%-70.00%|FICO 640-659|&lt;74.99%</t>
  </si>
  <si>
    <t>AQ16</t>
  </si>
  <si>
    <t>STD|S|FF|P|24|T1|65.00%-70.00%|FICO 640-659|75.00%-80.00%</t>
  </si>
  <si>
    <t>AR16</t>
  </si>
  <si>
    <t>STD|S|FF|P|24|T1|65.00%-70.00%|FICO 640-659|80.01%-85.00%</t>
  </si>
  <si>
    <t>AS16</t>
  </si>
  <si>
    <t>STD|S|FF|P|24|T1|65.00%-70.00%|FICO 640-659|85.01%-87.50%</t>
  </si>
  <si>
    <t>AT16</t>
  </si>
  <si>
    <t>STD|S|FF|P|24|T1|65.00%-70.00%|FICO 640-659|87.51%-89.99%</t>
  </si>
  <si>
    <t>AU16</t>
  </si>
  <si>
    <t>STD|S|FF|P|24|T1|65.00%-70.00%|FICO 640-659|90.00%-92.50%</t>
  </si>
  <si>
    <t>AV16</t>
  </si>
  <si>
    <t>STD|S|FF|P|12|T1|&lt;64.99%|FICO 700+|&lt;74.99%</t>
  </si>
  <si>
    <t>C18</t>
  </si>
  <si>
    <t>STD|S|FF|P|12|T1|&lt;64.99%|FICO 700+|75.00%-80.00%</t>
  </si>
  <si>
    <t>D18</t>
  </si>
  <si>
    <t>STD|S|FF|P|12|T1|&lt;64.99%|FICO 700+|80.01%-85.00%</t>
  </si>
  <si>
    <t>E18</t>
  </si>
  <si>
    <t>STD|S|FF|P|12|T1|&lt;64.99%|FICO 700+|85.01%-87.50%</t>
  </si>
  <si>
    <t>F18</t>
  </si>
  <si>
    <t>STD|S|FF|P|12|T1|&lt;64.99%|FICO 700+|87.51%-89.99%</t>
  </si>
  <si>
    <t>G18</t>
  </si>
  <si>
    <t>STD|S|FF|P|12|T1|&lt;64.99%|FICO 700+|90.00%-92.50%</t>
  </si>
  <si>
    <t>H18</t>
  </si>
  <si>
    <t>STD|S|FF|R|12|T1|&lt;64.99%|FICO 700+|&lt;74.99%</t>
  </si>
  <si>
    <t>M18</t>
  </si>
  <si>
    <t>STD|S|FF|R|12|T1|&lt;64.99%|FICO 700+|75.00%-80.00%</t>
  </si>
  <si>
    <t>N18</t>
  </si>
  <si>
    <t>STD|S|FF|R|12|T1|&lt;64.99%|FICO 700+|80.01%-85.00%</t>
  </si>
  <si>
    <t>O18</t>
  </si>
  <si>
    <t>STD|S|FF|P|18|T1|&lt;64.99%|FICO 700+|&lt;74.99%</t>
  </si>
  <si>
    <t>W18</t>
  </si>
  <si>
    <t>STD|S|FF|P|18|T1|&lt;64.99%|FICO 700+|75.00%-80.00%</t>
  </si>
  <si>
    <t>X18</t>
  </si>
  <si>
    <t>STD|S|FF|P|18|T1|&lt;64.99%|FICO 700+|80.01%-85.00%</t>
  </si>
  <si>
    <t>Y18</t>
  </si>
  <si>
    <t>STD|S|FF|P|18|T1|&lt;64.99%|FICO 700+|85.01%-87.50%</t>
  </si>
  <si>
    <t>Z18</t>
  </si>
  <si>
    <t>STD|S|FF|P|18|T1|&lt;64.99%|FICO 700+|87.51%-89.99%</t>
  </si>
  <si>
    <t>AA18</t>
  </si>
  <si>
    <t>STD|S|FF|P|18|T1|&lt;64.99%|FICO 700+|90.00%-92.50%</t>
  </si>
  <si>
    <t>AB18</t>
  </si>
  <si>
    <t>STD|S|FF|R|18|T1|&lt;64.99%|FICO 700+|&lt;74.99%</t>
  </si>
  <si>
    <t>AG18</t>
  </si>
  <si>
    <t>STD|S|FF|R|18|T1|&lt;64.99%|FICO 700+|75.00%-80.00%</t>
  </si>
  <si>
    <t>AH18</t>
  </si>
  <si>
    <t>STD|S|FF|R|18|T1|&lt;64.99%|FICO 700+|80.01%-85.00%</t>
  </si>
  <si>
    <t>AI18</t>
  </si>
  <si>
    <t>STD|S|FF|P|24|T1|&lt;64.99%|FICO 700+|&lt;74.99%</t>
  </si>
  <si>
    <t>AQ18</t>
  </si>
  <si>
    <t>STD|S|FF|P|24|T1|&lt;64.99%|FICO 700+|75.00%-80.00%</t>
  </si>
  <si>
    <t>AR18</t>
  </si>
  <si>
    <t>STD|S|FF|P|24|T1|&lt;64.99%|FICO 700+|80.01%-85.00%</t>
  </si>
  <si>
    <t>AS18</t>
  </si>
  <si>
    <t>STD|S|FF|P|24|T1|&lt;64.99%|FICO 700+|85.01%-87.50%</t>
  </si>
  <si>
    <t>AT18</t>
  </si>
  <si>
    <t>STD|S|FF|P|24|T1|&lt;64.99%|FICO 700+|87.51%-89.99%</t>
  </si>
  <si>
    <t>AU18</t>
  </si>
  <si>
    <t>STD|S|FF|P|24|T1|&lt;64.99%|FICO 700+|90.00%-92.50%</t>
  </si>
  <si>
    <t>AV18</t>
  </si>
  <si>
    <t>STD|S|FF|P|12|T1|&lt;64.99%|FICO 660-699|&lt;74.99%</t>
  </si>
  <si>
    <t>C19</t>
  </si>
  <si>
    <t>STD|S|FF|P|12|T1|&lt;64.99%|FICO 660-699|75.00%-80.00%</t>
  </si>
  <si>
    <t>D19</t>
  </si>
  <si>
    <t>STD|S|FF|P|12|T1|&lt;64.99%|FICO 660-699|80.01%-85.00%</t>
  </si>
  <si>
    <t>E19</t>
  </si>
  <si>
    <t>STD|S|FF|P|12|T1|&lt;64.99%|FICO 660-699|85.01%-87.50%</t>
  </si>
  <si>
    <t>F19</t>
  </si>
  <si>
    <t>STD|S|FF|P|12|T1|&lt;64.99%|FICO 660-699|87.51%-89.99%</t>
  </si>
  <si>
    <t>G19</t>
  </si>
  <si>
    <t>STD|S|FF|P|12|T1|&lt;64.99%|FICO 660-699|90.00%-92.50%</t>
  </si>
  <si>
    <t>H19</t>
  </si>
  <si>
    <t>STD|S|FF|R|12|T1|&lt;64.99%|FICO 660-699|&lt;74.99%</t>
  </si>
  <si>
    <t>M19</t>
  </si>
  <si>
    <t>STD|S|FF|R|12|T1|&lt;64.99%|FICO 660-699|75.00%-80.00%</t>
  </si>
  <si>
    <t>N19</t>
  </si>
  <si>
    <t>STD|S|FF|R|12|T1|&lt;64.99%|FICO 660-699|80.01%-85.00%</t>
  </si>
  <si>
    <t>O19</t>
  </si>
  <si>
    <t>STD|S|FF|P|18|T1|&lt;64.99%|FICO 660-699|&lt;74.99%</t>
  </si>
  <si>
    <t>W19</t>
  </si>
  <si>
    <t>STD|S|FF|P|18|T1|&lt;64.99%|FICO 660-699|75.00%-80.00%</t>
  </si>
  <si>
    <t>X19</t>
  </si>
  <si>
    <t>STD|S|FF|P|18|T1|&lt;64.99%|FICO 660-699|80.01%-85.00%</t>
  </si>
  <si>
    <t>Y19</t>
  </si>
  <si>
    <t>STD|S|FF|P|18|T1|&lt;64.99%|FICO 660-699|85.01%-87.50%</t>
  </si>
  <si>
    <t>Z19</t>
  </si>
  <si>
    <t>STD|S|FF|P|18|T1|&lt;64.99%|FICO 660-699|87.51%-89.99%</t>
  </si>
  <si>
    <t>AA19</t>
  </si>
  <si>
    <t>STD|S|FF|P|18|T1|&lt;64.99%|FICO 660-699|90.00%-92.50%</t>
  </si>
  <si>
    <t>AB19</t>
  </si>
  <si>
    <t>STD|S|FF|R|18|T1|&lt;64.99%|FICO 660-699|&lt;74.99%</t>
  </si>
  <si>
    <t>AG19</t>
  </si>
  <si>
    <t>STD|S|FF|R|18|T1|&lt;64.99%|FICO 660-699|75.00%-80.00%</t>
  </si>
  <si>
    <t>AH19</t>
  </si>
  <si>
    <t>STD|S|FF|R|18|T1|&lt;64.99%|FICO 660-699|80.01%-85.00%</t>
  </si>
  <si>
    <t>AI19</t>
  </si>
  <si>
    <t>STD|S|FF|P|24|T1|&lt;64.99%|FICO 660-699|&lt;74.99%</t>
  </si>
  <si>
    <t>AQ19</t>
  </si>
  <si>
    <t>STD|S|FF|P|24|T1|&lt;64.99%|FICO 660-699|75.00%-80.00%</t>
  </si>
  <si>
    <t>AR19</t>
  </si>
  <si>
    <t>STD|S|FF|P|24|T1|&lt;64.99%|FICO 660-699|80.01%-85.00%</t>
  </si>
  <si>
    <t>AS19</t>
  </si>
  <si>
    <t>STD|S|FF|P|24|T1|&lt;64.99%|FICO 660-699|85.01%-87.50%</t>
  </si>
  <si>
    <t>AT19</t>
  </si>
  <si>
    <t>STD|S|FF|P|24|T1|&lt;64.99%|FICO 660-699|87.51%-89.99%</t>
  </si>
  <si>
    <t>AU19</t>
  </si>
  <si>
    <t>STD|S|FF|P|24|T1|&lt;64.99%|FICO 660-699|90.00%-92.50%</t>
  </si>
  <si>
    <t>AV19</t>
  </si>
  <si>
    <t>STD|S|FF|P|12|T1|&lt;64.99%|FICO 640-659|&lt;74.99%</t>
  </si>
  <si>
    <t>C20</t>
  </si>
  <si>
    <t>STD|S|FF|P|12|T1|&lt;64.99%|FICO 640-659|75.00%-80.00%</t>
  </si>
  <si>
    <t>D20</t>
  </si>
  <si>
    <t>STD|S|FF|P|12|T1|&lt;64.99%|FICO 640-659|80.01%-85.00%</t>
  </si>
  <si>
    <t>E20</t>
  </si>
  <si>
    <t>STD|S|FF|P|12|T1|&lt;64.99%|FICO 640-659|85.01%-87.50%</t>
  </si>
  <si>
    <t>F20</t>
  </si>
  <si>
    <t>STD|S|FF|P|12|T1|&lt;64.99%|FICO 640-659|87.51%-89.99%</t>
  </si>
  <si>
    <t>G20</t>
  </si>
  <si>
    <t>STD|S|FF|P|12|T1|&lt;64.99%|FICO 640-659|90.00%-92.50%</t>
  </si>
  <si>
    <t>H20</t>
  </si>
  <si>
    <t>STD|S|FF|R|12|T1|&lt;64.99%|FICO 640-659|&lt;74.99%</t>
  </si>
  <si>
    <t>M20</t>
  </si>
  <si>
    <t>STD|S|FF|R|12|T1|&lt;64.99%|FICO 640-659|75.00%-80.00%</t>
  </si>
  <si>
    <t>N20</t>
  </si>
  <si>
    <t>STD|S|FF|R|12|T1|&lt;64.99%|FICO 640-659|80.01%-85.00%</t>
  </si>
  <si>
    <t>O20</t>
  </si>
  <si>
    <t>STD|S|FF|P|18|T1|&lt;64.99%|FICO 640-659|&lt;74.99%</t>
  </si>
  <si>
    <t>W20</t>
  </si>
  <si>
    <t>STD|S|FF|P|18|T1|&lt;64.99%|FICO 640-659|75.00%-80.00%</t>
  </si>
  <si>
    <t>X20</t>
  </si>
  <si>
    <t>STD|S|FF|P|18|T1|&lt;64.99%|FICO 640-659|80.01%-85.00%</t>
  </si>
  <si>
    <t>Y20</t>
  </si>
  <si>
    <t>STD|S|FF|P|18|T1|&lt;64.99%|FICO 640-659|85.01%-87.50%</t>
  </si>
  <si>
    <t>Z20</t>
  </si>
  <si>
    <t>STD|S|FF|P|18|T1|&lt;64.99%|FICO 640-659|87.51%-89.99%</t>
  </si>
  <si>
    <t>AA20</t>
  </si>
  <si>
    <t>STD|S|FF|P|18|T1|&lt;64.99%|FICO 640-659|90.00%-92.50%</t>
  </si>
  <si>
    <t>AB20</t>
  </si>
  <si>
    <t>STD|S|FF|R|18|T1|&lt;64.99%|FICO 640-659|&lt;74.99%</t>
  </si>
  <si>
    <t>AG20</t>
  </si>
  <si>
    <t>STD|S|FF|R|18|T1|&lt;64.99%|FICO 640-659|75.00%-80.00%</t>
  </si>
  <si>
    <t>AH20</t>
  </si>
  <si>
    <t>STD|S|FF|R|18|T1|&lt;64.99%|FICO 640-659|80.01%-85.00%</t>
  </si>
  <si>
    <t>AI20</t>
  </si>
  <si>
    <t>STD|S|FF|P|24|T1|&lt;64.99%|FICO 640-659|&lt;74.99%</t>
  </si>
  <si>
    <t>AQ20</t>
  </si>
  <si>
    <t>STD|S|FF|P|24|T1|&lt;64.99%|FICO 640-659|75.00%-80.00%</t>
  </si>
  <si>
    <t>AR20</t>
  </si>
  <si>
    <t>STD|S|FF|P|24|T1|&lt;64.99%|FICO 640-659|80.01%-85.00%</t>
  </si>
  <si>
    <t>AS20</t>
  </si>
  <si>
    <t>STD|S|FF|P|24|T1|&lt;64.99%|FICO 640-659|85.01%-87.50%</t>
  </si>
  <si>
    <t>AT20</t>
  </si>
  <si>
    <t>STD|S|FF|P|24|T1|&lt;64.99%|FICO 640-659|87.51%-89.99%</t>
  </si>
  <si>
    <t>AU20</t>
  </si>
  <si>
    <t>STD|S|FF|P|24|T1|&lt;64.99%|FICO 640-659|90.00%-92.50%</t>
  </si>
  <si>
    <t>AV20</t>
  </si>
  <si>
    <t>STD|S|FF|P|12|T2|70.01%-75.00%|FICO 700+|&lt;74.99%</t>
  </si>
  <si>
    <t>C26</t>
  </si>
  <si>
    <t>STD|S|FF|P|12|T2|70.01%-75.00%|FICO 700+|75.00%-80.00%</t>
  </si>
  <si>
    <t>D26</t>
  </si>
  <si>
    <t>STD|S|FF|P|12|T2|70.01%-75.00%|FICO 700+|80.01%-85.00%</t>
  </si>
  <si>
    <t>E26</t>
  </si>
  <si>
    <t>STD|S|FF|P|12|T2|70.01%-75.00%|FICO 700+|85.01%-87.50%</t>
  </si>
  <si>
    <t>F26</t>
  </si>
  <si>
    <t>STD|S|FF|P|12|T2|70.01%-75.00%|FICO 700+|87.51%-89.99%</t>
  </si>
  <si>
    <t>G26</t>
  </si>
  <si>
    <t>STD|S|FF|P|18|T2|70.01%-75.00%|FICO 700+|&lt;74.99%</t>
  </si>
  <si>
    <t>W26</t>
  </si>
  <si>
    <t>STD|S|FF|P|18|T2|70.01%-75.00%|FICO 700+|75.00%-80.00%</t>
  </si>
  <si>
    <t>X26</t>
  </si>
  <si>
    <t>STD|S|FF|P|18|T2|70.01%-75.00%|FICO 700+|80.01%-85.00%</t>
  </si>
  <si>
    <t>Y26</t>
  </si>
  <si>
    <t>STD|S|FF|P|18|T2|70.01%-75.00%|FICO 700+|85.01%-87.50%</t>
  </si>
  <si>
    <t>Z26</t>
  </si>
  <si>
    <t>STD|S|FF|P|18|T2|70.01%-75.00%|FICO 700+|87.51%-89.99%</t>
  </si>
  <si>
    <t>AA26</t>
  </si>
  <si>
    <t>STD|S|FF|P|24|T2|70.01%-75.00%|FICO 700+|&lt;74.99%</t>
  </si>
  <si>
    <t>AQ26</t>
  </si>
  <si>
    <t>STD|S|FF|P|24|T2|70.01%-75.00%|FICO 700+|75.00%-80.00%</t>
  </si>
  <si>
    <t>AR26</t>
  </si>
  <si>
    <t>STD|S|FF|P|24|T2|70.01%-75.00%|FICO 700+|80.01%-85.00%</t>
  </si>
  <si>
    <t>AS26</t>
  </si>
  <si>
    <t>STD|S|FF|P|24|T2|70.01%-75.00%|FICO 700+|85.01%-87.50%</t>
  </si>
  <si>
    <t>AT26</t>
  </si>
  <si>
    <t>STD|S|FF|P|24|T2|70.01%-75.00%|FICO 700+|87.51%-89.99%</t>
  </si>
  <si>
    <t>AU26</t>
  </si>
  <si>
    <t>STD|S|FF|P|12|T2|65.00%-70.00%|FICO 700+|&lt;74.99%</t>
  </si>
  <si>
    <t>C30</t>
  </si>
  <si>
    <t>STD|S|FF|P|12|T2|65.00%-70.00%|FICO 700+|75.00%-80.00%</t>
  </si>
  <si>
    <t>D30</t>
  </si>
  <si>
    <t>STD|S|FF|P|12|T2|65.00%-70.00%|FICO 700+|80.01%-85.00%</t>
  </si>
  <si>
    <t>E30</t>
  </si>
  <si>
    <t>STD|S|FF|P|12|T2|65.00%-70.00%|FICO 700+|85.01%-87.50%</t>
  </si>
  <si>
    <t>F30</t>
  </si>
  <si>
    <t>STD|S|FF|P|12|T2|65.00%-70.00%|FICO 700+|87.51%-89.99%</t>
  </si>
  <si>
    <t>G30</t>
  </si>
  <si>
    <t>STD|S|FF|P|12|T2|65.00%-70.00%|FICO 700+|90.00%-92.50%</t>
  </si>
  <si>
    <t>H30</t>
  </si>
  <si>
    <t>STD|S|FF|R|12|T2|65.00%-70.00%|FICO 700+|&lt;74.99%</t>
  </si>
  <si>
    <t>M30</t>
  </si>
  <si>
    <t>STD|S|FF|R|12|T2|65.00%-70.00%|FICO 700+|75.00%-80.00%</t>
  </si>
  <si>
    <t>N30</t>
  </si>
  <si>
    <t>STD|S|FF|P|18|T2|65.00%-70.00%|FICO 700+|&lt;74.99%</t>
  </si>
  <si>
    <t>W30</t>
  </si>
  <si>
    <t>STD|S|FF|P|18|T2|65.00%-70.00%|FICO 700+|75.00%-80.00%</t>
  </si>
  <si>
    <t>X30</t>
  </si>
  <si>
    <t>STD|S|FF|P|18|T2|65.00%-70.00%|FICO 700+|80.01%-85.00%</t>
  </si>
  <si>
    <t>Y30</t>
  </si>
  <si>
    <t>STD|S|FF|P|18|T2|65.00%-70.00%|FICO 700+|85.01%-87.50%</t>
  </si>
  <si>
    <t>Z30</t>
  </si>
  <si>
    <t>STD|S|FF|P|18|T2|65.00%-70.00%|FICO 700+|87.51%-89.99%</t>
  </si>
  <si>
    <t>AA30</t>
  </si>
  <si>
    <t>STD|S|FF|P|18|T2|65.00%-70.00%|FICO 700+|90.00%-92.50%</t>
  </si>
  <si>
    <t>AB30</t>
  </si>
  <si>
    <t>STD|S|FF|P|24|T2|65.00%-70.00%|FICO 700+|&lt;74.99%</t>
  </si>
  <si>
    <t>AQ30</t>
  </si>
  <si>
    <t>STD|S|FF|P|24|T2|65.00%-70.00%|FICO 700+|75.00%-80.00%</t>
  </si>
  <si>
    <t>AR30</t>
  </si>
  <si>
    <t>STD|S|FF|P|24|T2|65.00%-70.00%|FICO 700+|80.01%-85.00%</t>
  </si>
  <si>
    <t>AS30</t>
  </si>
  <si>
    <t>STD|S|FF|P|24|T2|65.00%-70.00%|FICO 700+|85.01%-87.50%</t>
  </si>
  <si>
    <t>AT30</t>
  </si>
  <si>
    <t>STD|S|FF|P|24|T2|65.00%-70.00%|FICO 700+|87.51%-89.99%</t>
  </si>
  <si>
    <t>AU30</t>
  </si>
  <si>
    <t>STD|S|FF|P|24|T2|65.00%-70.00%|FICO 700+|90.00%-92.50%</t>
  </si>
  <si>
    <t>AV30</t>
  </si>
  <si>
    <t>STD|S|FF|P|12|T2|65.00%-70.00%|FICO 660-699|&lt;74.99%</t>
  </si>
  <si>
    <t>C31</t>
  </si>
  <si>
    <t>STD|S|FF|P|12|T2|65.00%-70.00%|FICO 660-699|75.00%-80.00%</t>
  </si>
  <si>
    <t>D31</t>
  </si>
  <si>
    <t>STD|S|FF|P|12|T2|65.00%-70.00%|FICO 660-699|80.01%-85.00%</t>
  </si>
  <si>
    <t>E31</t>
  </si>
  <si>
    <t>STD|S|FF|P|12|T2|65.00%-70.00%|FICO 660-699|85.01%-87.50%</t>
  </si>
  <si>
    <t>F31</t>
  </si>
  <si>
    <t>STD|S|FF|P|12|T2|65.00%-70.00%|FICO 660-699|87.51%-89.99%</t>
  </si>
  <si>
    <t>G31</t>
  </si>
  <si>
    <t>STD|S|FF|P|12|T2|65.00%-70.00%|FICO 660-699|90.00%-92.50%</t>
  </si>
  <si>
    <t>H31</t>
  </si>
  <si>
    <t>STD|S|FF|R|12|T2|65.00%-70.00%|FICO 660-699|&lt;74.99%</t>
  </si>
  <si>
    <t>M31</t>
  </si>
  <si>
    <t>STD|S|FF|R|12|T2|65.00%-70.00%|FICO 660-699|75.00%-80.00%</t>
  </si>
  <si>
    <t>N31</t>
  </si>
  <si>
    <t>STD|S|FF|P|18|T2|65.00%-70.00%|FICO 660-699|&lt;74.99%</t>
  </si>
  <si>
    <t>W31</t>
  </si>
  <si>
    <t>STD|S|FF|P|18|T2|65.00%-70.00%|FICO 660-699|75.00%-80.00%</t>
  </si>
  <si>
    <t>X31</t>
  </si>
  <si>
    <t>STD|S|FF|P|18|T2|65.00%-70.00%|FICO 660-699|80.01%-85.00%</t>
  </si>
  <si>
    <t>Y31</t>
  </si>
  <si>
    <t>STD|S|FF|P|18|T2|65.00%-70.00%|FICO 660-699|85.01%-87.50%</t>
  </si>
  <si>
    <t>Z31</t>
  </si>
  <si>
    <t>STD|S|FF|P|18|T2|65.00%-70.00%|FICO 660-699|87.51%-89.99%</t>
  </si>
  <si>
    <t>AA31</t>
  </si>
  <si>
    <t>STD|S|FF|P|18|T2|65.00%-70.00%|FICO 660-699|90.00%-92.50%</t>
  </si>
  <si>
    <t>AB31</t>
  </si>
  <si>
    <t>STD|S|FF|P|24|T2|65.00%-70.00%|FICO 660-699|&lt;74.99%</t>
  </si>
  <si>
    <t>AQ31</t>
  </si>
  <si>
    <t>STD|S|FF|P|24|T2|65.00%-70.00%|FICO 660-699|75.00%-80.00%</t>
  </si>
  <si>
    <t>AR31</t>
  </si>
  <si>
    <t>STD|S|FF|P|24|T2|65.00%-70.00%|FICO 660-699|80.01%-85.00%</t>
  </si>
  <si>
    <t>AS31</t>
  </si>
  <si>
    <t>STD|S|FF|P|24|T2|65.00%-70.00%|FICO 660-699|85.01%-87.50%</t>
  </si>
  <si>
    <t>AT31</t>
  </si>
  <si>
    <t>STD|S|FF|P|24|T2|65.00%-70.00%|FICO 660-699|87.51%-89.99%</t>
  </si>
  <si>
    <t>AU31</t>
  </si>
  <si>
    <t>STD|S|FF|P|24|T2|65.00%-70.00%|FICO 660-699|90.00%-92.50%</t>
  </si>
  <si>
    <t>AV31</t>
  </si>
  <si>
    <t>STD|S|FF|P|12|T2|&lt;64.99%|FICO 700+|&lt;74.99%</t>
  </si>
  <si>
    <t>C34</t>
  </si>
  <si>
    <t>STD|S|FF|P|12|T2|&lt;64.99%|FICO 700+|75.00%-80.00%</t>
  </si>
  <si>
    <t>D34</t>
  </si>
  <si>
    <t>STD|S|FF|P|12|T2|&lt;64.99%|FICO 700+|80.01%-85.00%</t>
  </si>
  <si>
    <t>E34</t>
  </si>
  <si>
    <t>STD|S|FF|P|12|T2|&lt;64.99%|FICO 700+|85.01%-87.50%</t>
  </si>
  <si>
    <t>F34</t>
  </si>
  <si>
    <t>STD|S|FF|P|12|T2|&lt;64.99%|FICO 700+|87.51%-89.99%</t>
  </si>
  <si>
    <t>G34</t>
  </si>
  <si>
    <t>STD|S|FF|P|12|T2|&lt;64.99%|FICO 700+|90.00%-92.50%</t>
  </si>
  <si>
    <t>H34</t>
  </si>
  <si>
    <t>STD|S|FF|R|12|T2|&lt;64.99%|FICO 700+|&lt;74.99%</t>
  </si>
  <si>
    <t>M34</t>
  </si>
  <si>
    <t>STD|S|FF|R|12|T2|&lt;64.99%|FICO 700+|75.00%-80.00%</t>
  </si>
  <si>
    <t>N34</t>
  </si>
  <si>
    <t>STD|S|FF|P|18|T2|&lt;64.99%|FICO 700+|&lt;74.99%</t>
  </si>
  <si>
    <t>W34</t>
  </si>
  <si>
    <t>STD|S|FF|P|18|T2|&lt;64.99%|FICO 700+|75.00%-80.00%</t>
  </si>
  <si>
    <t>X34</t>
  </si>
  <si>
    <t>STD|S|FF|P|18|T2|&lt;64.99%|FICO 700+|80.01%-85.00%</t>
  </si>
  <si>
    <t>Y34</t>
  </si>
  <si>
    <t>STD|S|FF|P|18|T2|&lt;64.99%|FICO 700+|85.01%-87.50%</t>
  </si>
  <si>
    <t>Z34</t>
  </si>
  <si>
    <t>STD|S|FF|P|18|T2|&lt;64.99%|FICO 700+|87.51%-89.99%</t>
  </si>
  <si>
    <t>AA34</t>
  </si>
  <si>
    <t>STD|S|FF|P|18|T2|&lt;64.99%|FICO 700+|90.00%-92.50%</t>
  </si>
  <si>
    <t>AB34</t>
  </si>
  <si>
    <t>STD|S|FF|P|24|T2|&lt;64.99%|FICO 700+|&lt;74.99%</t>
  </si>
  <si>
    <t>AQ34</t>
  </si>
  <si>
    <t>STD|S|FF|P|24|T2|&lt;64.99%|FICO 700+|75.00%-80.00%</t>
  </si>
  <si>
    <t>AR34</t>
  </si>
  <si>
    <t>STD|S|FF|P|24|T2|&lt;64.99%|FICO 700+|80.01%-85.00%</t>
  </si>
  <si>
    <t>AS34</t>
  </si>
  <si>
    <t>STD|S|FF|P|24|T2|&lt;64.99%|FICO 700+|85.01%-87.50%</t>
  </si>
  <si>
    <t>AT34</t>
  </si>
  <si>
    <t>STD|S|FF|P|24|T2|&lt;64.99%|FICO 700+|87.51%-89.99%</t>
  </si>
  <si>
    <t>AU34</t>
  </si>
  <si>
    <t>STD|S|FF|P|24|T2|&lt;64.99%|FICO 700+|90.00%-92.50%</t>
  </si>
  <si>
    <t>AV34</t>
  </si>
  <si>
    <t>STD|S|FF|P|12|T2|&lt;64.99%|FICO 660-699|&lt;74.99%</t>
  </si>
  <si>
    <t>C35</t>
  </si>
  <si>
    <t>STD|S|FF|P|12|T2|&lt;64.99%|FICO 660-699|75.00%-80.00%</t>
  </si>
  <si>
    <t>D35</t>
  </si>
  <si>
    <t>STD|S|FF|P|12|T2|&lt;64.99%|FICO 660-699|80.01%-85.00%</t>
  </si>
  <si>
    <t>E35</t>
  </si>
  <si>
    <t>STD|S|FF|P|12|T2|&lt;64.99%|FICO 660-699|85.01%-87.50%</t>
  </si>
  <si>
    <t>F35</t>
  </si>
  <si>
    <t>STD|S|FF|P|12|T2|&lt;64.99%|FICO 660-699|87.51%-89.99%</t>
  </si>
  <si>
    <t>G35</t>
  </si>
  <si>
    <t>STD|S|FF|P|12|T2|&lt;64.99%|FICO 660-699|90.00%-92.50%</t>
  </si>
  <si>
    <t>H35</t>
  </si>
  <si>
    <t>STD|S|FF|R|12|T2|&lt;64.99%|FICO 660-699|&lt;74.99%</t>
  </si>
  <si>
    <t>M35</t>
  </si>
  <si>
    <t>STD|S|FF|R|12|T2|&lt;64.99%|FICO 660-699|75.00%-80.00%</t>
  </si>
  <si>
    <t>N35</t>
  </si>
  <si>
    <t>STD|S|FF|P|18|T2|&lt;64.99%|FICO 660-699|&lt;74.99%</t>
  </si>
  <si>
    <t>W35</t>
  </si>
  <si>
    <t>STD|S|FF|P|18|T2|&lt;64.99%|FICO 660-699|75.00%-80.00%</t>
  </si>
  <si>
    <t>X35</t>
  </si>
  <si>
    <t>STD|S|FF|P|18|T2|&lt;64.99%|FICO 660-699|80.01%-85.00%</t>
  </si>
  <si>
    <t>Y35</t>
  </si>
  <si>
    <t>STD|S|FF|P|18|T2|&lt;64.99%|FICO 660-699|85.01%-87.50%</t>
  </si>
  <si>
    <t>Z35</t>
  </si>
  <si>
    <t>STD|S|FF|P|18|T2|&lt;64.99%|FICO 660-699|87.51%-89.99%</t>
  </si>
  <si>
    <t>AA35</t>
  </si>
  <si>
    <t>STD|S|FF|P|18|T2|&lt;64.99%|FICO 660-699|90.00%-92.50%</t>
  </si>
  <si>
    <t>AB35</t>
  </si>
  <si>
    <t>STD|S|FF|P|24|T2|&lt;64.99%|FICO 660-699|&lt;74.99%</t>
  </si>
  <si>
    <t>AQ35</t>
  </si>
  <si>
    <t>STD|S|FF|P|24|T2|&lt;64.99%|FICO 660-699|75.00%-80.00%</t>
  </si>
  <si>
    <t>AR35</t>
  </si>
  <si>
    <t>STD|S|FF|P|24|T2|&lt;64.99%|FICO 660-699|80.01%-85.00%</t>
  </si>
  <si>
    <t>AS35</t>
  </si>
  <si>
    <t>STD|S|FF|P|24|T2|&lt;64.99%|FICO 660-699|85.01%-87.50%</t>
  </si>
  <si>
    <t>AT35</t>
  </si>
  <si>
    <t>STD|S|FF|P|24|T2|&lt;64.99%|FICO 660-699|87.51%-89.99%</t>
  </si>
  <si>
    <t>AU35</t>
  </si>
  <si>
    <t>STD|S|FF|P|24|T2|&lt;64.99%|FICO 660-699|90.00%-92.50%</t>
  </si>
  <si>
    <t>AV35</t>
  </si>
  <si>
    <t>STD|S|FF|P|12|T3|&lt;64.99%|FICO 700+|&lt;74.99%</t>
  </si>
  <si>
    <t>C50</t>
  </si>
  <si>
    <t>STD|S|FF|P|12|T3|&lt;64.99%|FICO 700+|75.00%-80.00%</t>
  </si>
  <si>
    <t>D50</t>
  </si>
  <si>
    <t>STD|S|FF|P|12|T3|&lt;64.99%|FICO 700+|80.01%-85.00%</t>
  </si>
  <si>
    <t>E50</t>
  </si>
  <si>
    <t>STD|S|FF|P|18|T3|&lt;64.99%|FICO 700+|&lt;74.99%</t>
  </si>
  <si>
    <t>W50</t>
  </si>
  <si>
    <t>STD|S|FF|P|18|T3|&lt;64.99%|FICO 700+|75.00%-80.00%</t>
  </si>
  <si>
    <t>X50</t>
  </si>
  <si>
    <t>STD|S|FF|P|18|T3|&lt;64.99%|FICO 700+|80.01%-85.00%</t>
  </si>
  <si>
    <t>Y50</t>
  </si>
  <si>
    <t>STD|S|FF|P|24|T3|&lt;64.99%|FICO 700+|&lt;74.99%</t>
  </si>
  <si>
    <t>AQ50</t>
  </si>
  <si>
    <t>STD|S|FF|P|24|T3|&lt;64.99%|FICO 700+|75.00%-80.00%</t>
  </si>
  <si>
    <t>AR50</t>
  </si>
  <si>
    <t>STD|S|FF|P|24|T3|&lt;64.99%|FICO 700+|80.01%-85.00%</t>
  </si>
  <si>
    <t>AS50</t>
  </si>
  <si>
    <t>STD|S|FF|P|12|T3|&lt;64.99%|FICO 680-699|&lt;74.99%</t>
  </si>
  <si>
    <t>C51</t>
  </si>
  <si>
    <t>STD|S|FF|P|12|T3|&lt;64.99%|FICO 680-699|75.00%-80.00%</t>
  </si>
  <si>
    <t>D51</t>
  </si>
  <si>
    <t>STD|S|FF|P|12|T3|&lt;64.99%|FICO 680-699|80.01%-85.00%</t>
  </si>
  <si>
    <t>E51</t>
  </si>
  <si>
    <t>STD|S|FF|P|18|T3|&lt;64.99%|FICO 680-699|&lt;74.99%</t>
  </si>
  <si>
    <t>W51</t>
  </si>
  <si>
    <t>STD|S|FF|P|18|T3|&lt;64.99%|FICO 680-699|75.00%-80.00%</t>
  </si>
  <si>
    <t>X51</t>
  </si>
  <si>
    <t>STD|S|FF|P|18|T3|&lt;64.99%|FICO 680-699|80.01%-85.00%</t>
  </si>
  <si>
    <t>Y51</t>
  </si>
  <si>
    <t>STD|S|FF|P|24|T3|&lt;64.99%|FICO 680-699|&lt;74.99%</t>
  </si>
  <si>
    <t>AQ51</t>
  </si>
  <si>
    <t>STD|S|FF|P|24|T3|&lt;64.99%|FICO 680-699|75.00%-80.00%</t>
  </si>
  <si>
    <t>AR51</t>
  </si>
  <si>
    <t>STD|S|FF|P|24|T3|&lt;64.99%|FICO 680-699|80.01%-85.00%</t>
  </si>
  <si>
    <t>AS51</t>
  </si>
  <si>
    <t>STD|S|GUC|P|12|T1|70.01%-75.00%|FICO 700+|&lt;74.99%</t>
  </si>
  <si>
    <t>C61</t>
  </si>
  <si>
    <t>STD|S|GUC|P|12|T1|70.01%-75.00%|FICO 700+|75.00%-80.00%</t>
  </si>
  <si>
    <t>D61</t>
  </si>
  <si>
    <t>STD|S|GUC|P|12|T1|70.01%-75.00%|FICO 700+|80.01%-85.00%</t>
  </si>
  <si>
    <t>E61</t>
  </si>
  <si>
    <t>STD|S|GUC|P|12|T1|70.01%-75.00%|FICO 700+|85.01%-87.50%</t>
  </si>
  <si>
    <t>F61</t>
  </si>
  <si>
    <t>STD|S|GUC|P|12|T1|70.01%-75.00%|FICO 700+|87.51%-89.99%</t>
  </si>
  <si>
    <t>G61</t>
  </si>
  <si>
    <t>STD|S|GUC|P|12|T1|70.01%-75.00%|FICO 700+|90.00%-92.50%</t>
  </si>
  <si>
    <t>H61</t>
  </si>
  <si>
    <t>STD|S|GUC|R|12|T1|70.01%-75.00%|FICO 700+|&lt;74.99%</t>
  </si>
  <si>
    <t>M61</t>
  </si>
  <si>
    <t>STD|S|GUC|R|12|T1|70.01%-75.00%|FICO 700+|75.00%-80.00%</t>
  </si>
  <si>
    <t>N61</t>
  </si>
  <si>
    <t>STD|S|GUC|R|12|T1|70.01%-75.00%|FICO 700+|80.01%-85.00%</t>
  </si>
  <si>
    <t>O61</t>
  </si>
  <si>
    <t>STD|S|GUC|R|12|T1|70.01%-75.00%|FICO 700+|85.01%-87.50%</t>
  </si>
  <si>
    <t>P61</t>
  </si>
  <si>
    <t>STD|S|GUC|R|12|T1|70.01%-75.00%|FICO 700+|87.51%-89.99%</t>
  </si>
  <si>
    <t>Q61</t>
  </si>
  <si>
    <t>STD|S|GUC|R|12|T1|70.01%-75.00%|FICO 700+|90.00%-92.50%</t>
  </si>
  <si>
    <t>R61</t>
  </si>
  <si>
    <t>STD|S|GUC|P|18|T1|70.01%-75.00%|FICO 700+|&lt;74.99%</t>
  </si>
  <si>
    <t>W61</t>
  </si>
  <si>
    <t>STD|S|GUC|P|18|T1|70.01%-75.00%|FICO 700+|75.00%-80.00%</t>
  </si>
  <si>
    <t>X61</t>
  </si>
  <si>
    <t>STD|S|GUC|P|18|T1|70.01%-75.00%|FICO 700+|80.01%-85.00%</t>
  </si>
  <si>
    <t>Y61</t>
  </si>
  <si>
    <t>STD|S|GUC|P|18|T1|70.01%-75.00%|FICO 700+|85.01%-87.50%</t>
  </si>
  <si>
    <t>Z61</t>
  </si>
  <si>
    <t>STD|S|GUC|P|18|T1|70.01%-75.00%|FICO 700+|87.51%-89.99%</t>
  </si>
  <si>
    <t>AA61</t>
  </si>
  <si>
    <t>STD|S|GUC|P|18|T1|70.01%-75.00%|FICO 700+|90.00%-92.50%</t>
  </si>
  <si>
    <t>AB61</t>
  </si>
  <si>
    <t>STD|S|GUC|R|18|T1|70.01%-75.00%|FICO 700+|&lt;74.99%</t>
  </si>
  <si>
    <t>AG61</t>
  </si>
  <si>
    <t>STD|S|GUC|R|18|T1|70.01%-75.00%|FICO 700+|75.00%-80.00%</t>
  </si>
  <si>
    <t>AH61</t>
  </si>
  <si>
    <t>STD|S|GUC|R|18|T1|70.01%-75.00%|FICO 700+|80.01%-85.00%</t>
  </si>
  <si>
    <t>AI61</t>
  </si>
  <si>
    <t>STD|S|GUC|R|18|T1|70.01%-75.00%|FICO 700+|85.01%-87.50%</t>
  </si>
  <si>
    <t>AJ61</t>
  </si>
  <si>
    <t>STD|S|GUC|R|18|T1|70.01%-75.00%|FICO 700+|87.51%-89.99%</t>
  </si>
  <si>
    <t>AK61</t>
  </si>
  <si>
    <t>STD|S|GUC|R|18|T1|70.01%-75.00%|FICO 700+|90.00%-92.50%</t>
  </si>
  <si>
    <t>AL61</t>
  </si>
  <si>
    <t>STD|S|GUC|P|24|T1|70.01%-75.00%|FICO 700+|&lt;74.99%</t>
  </si>
  <si>
    <t>AQ61</t>
  </si>
  <si>
    <t>STD|S|GUC|P|24|T1|70.01%-75.00%|FICO 700+|75.00%-80.00%</t>
  </si>
  <si>
    <t>AR61</t>
  </si>
  <si>
    <t>STD|S|GUC|P|24|T1|70.01%-75.00%|FICO 700+|80.01%-85.00%</t>
  </si>
  <si>
    <t>AS61</t>
  </si>
  <si>
    <t>STD|S|GUC|P|24|T1|70.01%-75.00%|FICO 700+|85.01%-87.50%</t>
  </si>
  <si>
    <t>AT61</t>
  </si>
  <si>
    <t>STD|S|GUC|P|24|T1|70.01%-75.00%|FICO 700+|87.51%-89.99%</t>
  </si>
  <si>
    <t>AU61</t>
  </si>
  <si>
    <t>STD|S|GUC|P|24|T1|70.01%-75.00%|FICO 700+|90.00%-92.50%</t>
  </si>
  <si>
    <t>AV61</t>
  </si>
  <si>
    <t>STD|S|GUC|P|12|T1|70.01%-75.00%|FICO 660-699|&lt;74.99%</t>
  </si>
  <si>
    <t>C62</t>
  </si>
  <si>
    <t>STD|S|GUC|P|12|T1|70.01%-75.00%|FICO 660-699|75.00%-80.00%</t>
  </si>
  <si>
    <t>D62</t>
  </si>
  <si>
    <t>STD|S|GUC|P|12|T1|70.01%-75.00%|FICO 660-699|80.01%-85.00%</t>
  </si>
  <si>
    <t>E62</t>
  </si>
  <si>
    <t>STD|S|GUC|P|12|T1|70.01%-75.00%|FICO 660-699|85.01%-87.50%</t>
  </si>
  <si>
    <t>F62</t>
  </si>
  <si>
    <t>STD|S|GUC|P|12|T1|70.01%-75.00%|FICO 660-699|87.51%-89.99%</t>
  </si>
  <si>
    <t>G62</t>
  </si>
  <si>
    <t>STD|S|GUC|P|12|T1|70.01%-75.00%|FICO 660-699|90.00%-92.50%</t>
  </si>
  <si>
    <t>H62</t>
  </si>
  <si>
    <t>STD|S|GUC|R|12|T1|70.01%-75.00%|FICO 660-699|&lt;74.99%</t>
  </si>
  <si>
    <t>M62</t>
  </si>
  <si>
    <t>STD|S|GUC|R|12|T1|70.01%-75.00%|FICO 660-699|75.00%-80.00%</t>
  </si>
  <si>
    <t>N62</t>
  </si>
  <si>
    <t>STD|S|GUC|R|12|T1|70.01%-75.00%|FICO 660-699|80.01%-85.00%</t>
  </si>
  <si>
    <t>O62</t>
  </si>
  <si>
    <t>STD|S|GUC|R|12|T1|70.01%-75.00%|FICO 660-699|85.01%-87.50%</t>
  </si>
  <si>
    <t>P62</t>
  </si>
  <si>
    <t>STD|S|GUC|R|12|T1|70.01%-75.00%|FICO 660-699|87.51%-89.99%</t>
  </si>
  <si>
    <t>Q62</t>
  </si>
  <si>
    <t>STD|S|GUC|R|12|T1|70.01%-75.00%|FICO 660-699|90.00%-92.50%</t>
  </si>
  <si>
    <t>R62</t>
  </si>
  <si>
    <t>STD|S|GUC|P|18|T1|70.01%-75.00%|FICO 660-699|&lt;74.99%</t>
  </si>
  <si>
    <t>W62</t>
  </si>
  <si>
    <t>STD|S|GUC|P|18|T1|70.01%-75.00%|FICO 660-699|75.00%-80.00%</t>
  </si>
  <si>
    <t>X62</t>
  </si>
  <si>
    <t>STD|S|GUC|P|18|T1|70.01%-75.00%|FICO 660-699|80.01%-85.00%</t>
  </si>
  <si>
    <t>Y62</t>
  </si>
  <si>
    <t>STD|S|GUC|P|18|T1|70.01%-75.00%|FICO 660-699|85.01%-87.50%</t>
  </si>
  <si>
    <t>Z62</t>
  </si>
  <si>
    <t>STD|S|GUC|P|18|T1|70.01%-75.00%|FICO 660-699|87.51%-89.99%</t>
  </si>
  <si>
    <t>AA62</t>
  </si>
  <si>
    <t>STD|S|GUC|P|18|T1|70.01%-75.00%|FICO 660-699|90.00%-92.50%</t>
  </si>
  <si>
    <t>AB62</t>
  </si>
  <si>
    <t>STD|S|GUC|R|18|T1|70.01%-75.00%|FICO 660-699|&lt;74.99%</t>
  </si>
  <si>
    <t>AG62</t>
  </si>
  <si>
    <t>STD|S|GUC|R|18|T1|70.01%-75.00%|FICO 660-699|75.00%-80.00%</t>
  </si>
  <si>
    <t>AH62</t>
  </si>
  <si>
    <t>STD|S|GUC|R|18|T1|70.01%-75.00%|FICO 660-699|80.01%-85.00%</t>
  </si>
  <si>
    <t>AI62</t>
  </si>
  <si>
    <t>STD|S|GUC|R|18|T1|70.01%-75.00%|FICO 660-699|85.01%-87.50%</t>
  </si>
  <si>
    <t>AJ62</t>
  </si>
  <si>
    <t>STD|S|GUC|R|18|T1|70.01%-75.00%|FICO 660-699|87.51%-89.99%</t>
  </si>
  <si>
    <t>AK62</t>
  </si>
  <si>
    <t>STD|S|GUC|R|18|T1|70.01%-75.00%|FICO 660-699|90.00%-92.50%</t>
  </si>
  <si>
    <t>AL62</t>
  </si>
  <si>
    <t>STD|S|GUC|P|24|T1|70.01%-75.00%|FICO 660-699|&lt;74.99%</t>
  </si>
  <si>
    <t>AQ62</t>
  </si>
  <si>
    <t>STD|S|GUC|P|24|T1|70.01%-75.00%|FICO 660-699|75.00%-80.00%</t>
  </si>
  <si>
    <t>AR62</t>
  </si>
  <si>
    <t>STD|S|GUC|P|24|T1|70.01%-75.00%|FICO 660-699|80.01%-85.00%</t>
  </si>
  <si>
    <t>AS62</t>
  </si>
  <si>
    <t>STD|S|GUC|P|24|T1|70.01%-75.00%|FICO 660-699|85.01%-87.50%</t>
  </si>
  <si>
    <t>AT62</t>
  </si>
  <si>
    <t>STD|S|GUC|P|24|T1|70.01%-75.00%|FICO 660-699|87.51%-89.99%</t>
  </si>
  <si>
    <t>AU62</t>
  </si>
  <si>
    <t>STD|S|GUC|P|24|T1|70.01%-75.00%|FICO 660-699|90.00%-92.50%</t>
  </si>
  <si>
    <t>AV62</t>
  </si>
  <si>
    <t>STD|S|GUC|P|12|T1|70.01%-75.00%|FICO 640-659|&lt;74.99%</t>
  </si>
  <si>
    <t>C63</t>
  </si>
  <si>
    <t>STD|S|GUC|P|12|T1|70.01%-75.00%|FICO 640-659|75.00%-80.00%</t>
  </si>
  <si>
    <t>D63</t>
  </si>
  <si>
    <t>STD|S|GUC|P|12|T1|70.01%-75.00%|FICO 640-659|80.01%-85.00%</t>
  </si>
  <si>
    <t>E63</t>
  </si>
  <si>
    <t>STD|S|GUC|P|12|T1|70.01%-75.00%|FICO 640-659|85.01%-87.50%</t>
  </si>
  <si>
    <t>F63</t>
  </si>
  <si>
    <t>STD|S|GUC|P|12|T1|70.01%-75.00%|FICO 640-659|87.51%-89.99%</t>
  </si>
  <si>
    <t>G63</t>
  </si>
  <si>
    <t>STD|S|GUC|P|12|T1|70.01%-75.00%|FICO 640-659|90.00%-92.50%</t>
  </si>
  <si>
    <t>H63</t>
  </si>
  <si>
    <t>STD|S|GUC|R|12|T1|70.01%-75.00%|FICO 640-659|&lt;74.99%</t>
  </si>
  <si>
    <t>M63</t>
  </si>
  <si>
    <t>STD|S|GUC|R|12|T1|70.01%-75.00%|FICO 640-659|75.00%-80.00%</t>
  </si>
  <si>
    <t>N63</t>
  </si>
  <si>
    <t>STD|S|GUC|R|12|T1|70.01%-75.00%|FICO 640-659|80.01%-85.00%</t>
  </si>
  <si>
    <t>O63</t>
  </si>
  <si>
    <t>STD|S|GUC|R|12|T1|70.01%-75.00%|FICO 640-659|85.01%-87.50%</t>
  </si>
  <si>
    <t>P63</t>
  </si>
  <si>
    <t>STD|S|GUC|R|12|T1|70.01%-75.00%|FICO 640-659|87.51%-89.99%</t>
  </si>
  <si>
    <t>Q63</t>
  </si>
  <si>
    <t>STD|S|GUC|R|12|T1|70.01%-75.00%|FICO 640-659|90.00%-92.50%</t>
  </si>
  <si>
    <t>R63</t>
  </si>
  <si>
    <t>STD|S|GUC|P|18|T1|70.01%-75.00%|FICO 640-659|&lt;74.99%</t>
  </si>
  <si>
    <t>W63</t>
  </si>
  <si>
    <t>STD|S|GUC|P|18|T1|70.01%-75.00%|FICO 640-659|75.00%-80.00%</t>
  </si>
  <si>
    <t>X63</t>
  </si>
  <si>
    <t>STD|S|GUC|P|18|T1|70.01%-75.00%|FICO 640-659|80.01%-85.00%</t>
  </si>
  <si>
    <t>Y63</t>
  </si>
  <si>
    <t>STD|S|GUC|P|18|T1|70.01%-75.00%|FICO 640-659|85.01%-87.50%</t>
  </si>
  <si>
    <t>Z63</t>
  </si>
  <si>
    <t>STD|S|GUC|P|18|T1|70.01%-75.00%|FICO 640-659|87.51%-89.99%</t>
  </si>
  <si>
    <t>AA63</t>
  </si>
  <si>
    <t>STD|S|GUC|P|18|T1|70.01%-75.00%|FICO 640-659|90.00%-92.50%</t>
  </si>
  <si>
    <t>AB63</t>
  </si>
  <si>
    <t>STD|S|GUC|R|18|T1|70.01%-75.00%|FICO 640-659|&lt;74.99%</t>
  </si>
  <si>
    <t>AG63</t>
  </si>
  <si>
    <t>STD|S|GUC|R|18|T1|70.01%-75.00%|FICO 640-659|75.00%-80.00%</t>
  </si>
  <si>
    <t>AH63</t>
  </si>
  <si>
    <t>STD|S|GUC|R|18|T1|70.01%-75.00%|FICO 640-659|80.01%-85.00%</t>
  </si>
  <si>
    <t>AI63</t>
  </si>
  <si>
    <t>STD|S|GUC|R|18|T1|70.01%-75.00%|FICO 640-659|85.01%-87.50%</t>
  </si>
  <si>
    <t>AJ63</t>
  </si>
  <si>
    <t>STD|S|GUC|R|18|T1|70.01%-75.00%|FICO 640-659|87.51%-89.99%</t>
  </si>
  <si>
    <t>AK63</t>
  </si>
  <si>
    <t>STD|S|GUC|R|18|T1|70.01%-75.00%|FICO 640-659|90.00%-92.50%</t>
  </si>
  <si>
    <t>AL63</t>
  </si>
  <si>
    <t>STD|S|GUC|P|24|T1|70.01%-75.00%|FICO 640-659|&lt;74.99%</t>
  </si>
  <si>
    <t>AQ63</t>
  </si>
  <si>
    <t>STD|S|GUC|P|24|T1|70.01%-75.00%|FICO 640-659|75.00%-80.00%</t>
  </si>
  <si>
    <t>AR63</t>
  </si>
  <si>
    <t>STD|S|GUC|P|24|T1|70.01%-75.00%|FICO 640-659|80.01%-85.00%</t>
  </si>
  <si>
    <t>AS63</t>
  </si>
  <si>
    <t>STD|S|GUC|P|24|T1|70.01%-75.00%|FICO 640-659|85.01%-87.50%</t>
  </si>
  <si>
    <t>AT63</t>
  </si>
  <si>
    <t>STD|S|GUC|P|24|T1|70.01%-75.00%|FICO 640-659|87.51%-89.99%</t>
  </si>
  <si>
    <t>AU63</t>
  </si>
  <si>
    <t>STD|S|GUC|P|24|T1|70.01%-75.00%|FICO 640-659|90.00%-92.50%</t>
  </si>
  <si>
    <t>AV63</t>
  </si>
  <si>
    <t>STD|S|GUC|P|12|T1|65.00%-70.00%|FICO 700+|&lt;74.99%</t>
  </si>
  <si>
    <t>C65</t>
  </si>
  <si>
    <t>STD|S|GUC|P|12|T1|65.00%-70.00%|FICO 700+|75.00%-80.00%</t>
  </si>
  <si>
    <t>D65</t>
  </si>
  <si>
    <t>STD|S|GUC|P|12|T1|65.00%-70.00%|FICO 700+|80.01%-85.00%</t>
  </si>
  <si>
    <t>E65</t>
  </si>
  <si>
    <t>STD|S|GUC|P|12|T1|65.00%-70.00%|FICO 700+|85.01%-87.50%</t>
  </si>
  <si>
    <t>F65</t>
  </si>
  <si>
    <t>STD|S|GUC|P|12|T1|65.00%-70.00%|FICO 700+|87.51%-89.99%</t>
  </si>
  <si>
    <t>G65</t>
  </si>
  <si>
    <t>STD|S|GUC|P|12|T1|65.00%-70.00%|FICO 700+|90.00%-92.50%</t>
  </si>
  <si>
    <t>H65</t>
  </si>
  <si>
    <t>STD|S|GUC|R|12|T1|65.00%-70.00%|FICO 700+|&lt;74.99%</t>
  </si>
  <si>
    <t>M65</t>
  </si>
  <si>
    <t>STD|S|GUC|R|12|T1|65.00%-70.00%|FICO 700+|75.00%-80.00%</t>
  </si>
  <si>
    <t>N65</t>
  </si>
  <si>
    <t>STD|S|GUC|R|12|T1|65.00%-70.00%|FICO 700+|80.01%-85.00%</t>
  </si>
  <si>
    <t>O65</t>
  </si>
  <si>
    <t>STD|S|GUC|R|12|T1|65.00%-70.00%|FICO 700+|85.01%-87.50%</t>
  </si>
  <si>
    <t>P65</t>
  </si>
  <si>
    <t>STD|S|GUC|R|12|T1|65.00%-70.00%|FICO 700+|87.51%-89.99%</t>
  </si>
  <si>
    <t>Q65</t>
  </si>
  <si>
    <t>STD|S|GUC|R|12|T1|65.00%-70.00%|FICO 700+|90.00%-92.50%</t>
  </si>
  <si>
    <t>R65</t>
  </si>
  <si>
    <t>STD|S|GUC|P|18|T1|65.00%-70.00%|FICO 700+|&lt;74.99%</t>
  </si>
  <si>
    <t>W65</t>
  </si>
  <si>
    <t>STD|S|GUC|P|18|T1|65.00%-70.00%|FICO 700+|75.00%-80.00%</t>
  </si>
  <si>
    <t>X65</t>
  </si>
  <si>
    <t>STD|S|GUC|P|18|T1|65.00%-70.00%|FICO 700+|80.01%-85.00%</t>
  </si>
  <si>
    <t>Y65</t>
  </si>
  <si>
    <t>STD|S|GUC|P|18|T1|65.00%-70.00%|FICO 700+|85.01%-87.50%</t>
  </si>
  <si>
    <t>Z65</t>
  </si>
  <si>
    <t>STD|S|GUC|P|18|T1|65.00%-70.00%|FICO 700+|87.51%-89.99%</t>
  </si>
  <si>
    <t>AA65</t>
  </si>
  <si>
    <t>STD|S|GUC|P|18|T1|65.00%-70.00%|FICO 700+|90.00%-92.50%</t>
  </si>
  <si>
    <t>AB65</t>
  </si>
  <si>
    <t>STD|S|GUC|R|18|T1|65.00%-70.00%|FICO 700+|&lt;74.99%</t>
  </si>
  <si>
    <t>AG65</t>
  </si>
  <si>
    <t>STD|S|GUC|R|18|T1|65.00%-70.00%|FICO 700+|75.00%-80.00%</t>
  </si>
  <si>
    <t>AH65</t>
  </si>
  <si>
    <t>STD|S|GUC|R|18|T1|65.00%-70.00%|FICO 700+|80.01%-85.00%</t>
  </si>
  <si>
    <t>AI65</t>
  </si>
  <si>
    <t>STD|S|GUC|R|18|T1|65.00%-70.00%|FICO 700+|85.01%-87.50%</t>
  </si>
  <si>
    <t>AJ65</t>
  </si>
  <si>
    <t>STD|S|GUC|R|18|T1|65.00%-70.00%|FICO 700+|87.51%-89.99%</t>
  </si>
  <si>
    <t>AK65</t>
  </si>
  <si>
    <t>STD|S|GUC|R|18|T1|65.00%-70.00%|FICO 700+|90.00%-92.50%</t>
  </si>
  <si>
    <t>AL65</t>
  </si>
  <si>
    <t>STD|S|GUC|P|24|T1|65.00%-70.00%|FICO 700+|&lt;74.99%</t>
  </si>
  <si>
    <t>AQ65</t>
  </si>
  <si>
    <t>STD|S|GUC|P|24|T1|65.00%-70.00%|FICO 700+|75.00%-80.00%</t>
  </si>
  <si>
    <t>AR65</t>
  </si>
  <si>
    <t>STD|S|GUC|P|24|T1|65.00%-70.00%|FICO 700+|80.01%-85.00%</t>
  </si>
  <si>
    <t>AS65</t>
  </si>
  <si>
    <t>STD|S|GUC|P|24|T1|65.00%-70.00%|FICO 700+|85.01%-87.50%</t>
  </si>
  <si>
    <t>AT65</t>
  </si>
  <si>
    <t>STD|S|GUC|P|24|T1|65.00%-70.00%|FICO 700+|87.51%-89.99%</t>
  </si>
  <si>
    <t>AU65</t>
  </si>
  <si>
    <t>STD|S|GUC|P|24|T1|65.00%-70.00%|FICO 700+|90.00%-92.50%</t>
  </si>
  <si>
    <t>AV65</t>
  </si>
  <si>
    <t>STD|S|GUC|P|12|T1|65.00%-70.00%|FICO 660-699|&lt;74.99%</t>
  </si>
  <si>
    <t>C66</t>
  </si>
  <si>
    <t>STD|S|GUC|P|12|T1|65.00%-70.00%|FICO 660-699|75.00%-80.00%</t>
  </si>
  <si>
    <t>D66</t>
  </si>
  <si>
    <t>STD|S|GUC|P|12|T1|65.00%-70.00%|FICO 660-699|80.01%-85.00%</t>
  </si>
  <si>
    <t>E66</t>
  </si>
  <si>
    <t>STD|S|GUC|P|12|T1|65.00%-70.00%|FICO 660-699|85.01%-87.50%</t>
  </si>
  <si>
    <t>F66</t>
  </si>
  <si>
    <t>STD|S|GUC|P|12|T1|65.00%-70.00%|FICO 660-699|87.51%-89.99%</t>
  </si>
  <si>
    <t>G66</t>
  </si>
  <si>
    <t>STD|S|GUC|P|12|T1|65.00%-70.00%|FICO 660-699|90.00%-92.50%</t>
  </si>
  <si>
    <t>H66</t>
  </si>
  <si>
    <t>STD|S|GUC|R|12|T1|65.00%-70.00%|FICO 660-699|&lt;74.99%</t>
  </si>
  <si>
    <t>M66</t>
  </si>
  <si>
    <t>STD|S|GUC|R|12|T1|65.00%-70.00%|FICO 660-699|75.00%-80.00%</t>
  </si>
  <si>
    <t>N66</t>
  </si>
  <si>
    <t>STD|S|GUC|R|12|T1|65.00%-70.00%|FICO 660-699|80.01%-85.00%</t>
  </si>
  <si>
    <t>O66</t>
  </si>
  <si>
    <t>STD|S|GUC|R|12|T1|65.00%-70.00%|FICO 660-699|85.01%-87.50%</t>
  </si>
  <si>
    <t>P66</t>
  </si>
  <si>
    <t>STD|S|GUC|R|12|T1|65.00%-70.00%|FICO 660-699|87.51%-89.99%</t>
  </si>
  <si>
    <t>Q66</t>
  </si>
  <si>
    <t>STD|S|GUC|R|12|T1|65.00%-70.00%|FICO 660-699|90.00%-92.50%</t>
  </si>
  <si>
    <t>R66</t>
  </si>
  <si>
    <t>STD|S|GUC|P|18|T1|65.00%-70.00%|FICO 660-699|&lt;74.99%</t>
  </si>
  <si>
    <t>W66</t>
  </si>
  <si>
    <t>STD|S|GUC|P|18|T1|65.00%-70.00%|FICO 660-699|75.00%-80.00%</t>
  </si>
  <si>
    <t>X66</t>
  </si>
  <si>
    <t>STD|S|GUC|P|18|T1|65.00%-70.00%|FICO 660-699|80.01%-85.00%</t>
  </si>
  <si>
    <t>Y66</t>
  </si>
  <si>
    <t>STD|S|GUC|P|18|T1|65.00%-70.00%|FICO 660-699|85.01%-87.50%</t>
  </si>
  <si>
    <t>Z66</t>
  </si>
  <si>
    <t>STD|S|GUC|P|18|T1|65.00%-70.00%|FICO 660-699|87.51%-89.99%</t>
  </si>
  <si>
    <t>AA66</t>
  </si>
  <si>
    <t>STD|S|GUC|P|18|T1|65.00%-70.00%|FICO 660-699|90.00%-92.50%</t>
  </si>
  <si>
    <t>AB66</t>
  </si>
  <si>
    <t>STD|S|GUC|R|18|T1|65.00%-70.00%|FICO 660-699|&lt;74.99%</t>
  </si>
  <si>
    <t>AG66</t>
  </si>
  <si>
    <t>STD|S|GUC|R|18|T1|65.00%-70.00%|FICO 660-699|75.00%-80.00%</t>
  </si>
  <si>
    <t>AH66</t>
  </si>
  <si>
    <t>STD|S|GUC|R|18|T1|65.00%-70.00%|FICO 660-699|80.01%-85.00%</t>
  </si>
  <si>
    <t>AI66</t>
  </si>
  <si>
    <t>STD|S|GUC|R|18|T1|65.00%-70.00%|FICO 660-699|85.01%-87.50%</t>
  </si>
  <si>
    <t>AJ66</t>
  </si>
  <si>
    <t>STD|S|GUC|R|18|T1|65.00%-70.00%|FICO 660-699|87.51%-89.99%</t>
  </si>
  <si>
    <t>AK66</t>
  </si>
  <si>
    <t>STD|S|GUC|R|18|T1|65.00%-70.00%|FICO 660-699|90.00%-92.50%</t>
  </si>
  <si>
    <t>AL66</t>
  </si>
  <si>
    <t>STD|S|GUC|P|24|T1|65.00%-70.00%|FICO 660-699|&lt;74.99%</t>
  </si>
  <si>
    <t>AQ66</t>
  </si>
  <si>
    <t>STD|S|GUC|P|24|T1|65.00%-70.00%|FICO 660-699|75.00%-80.00%</t>
  </si>
  <si>
    <t>AR66</t>
  </si>
  <si>
    <t>STD|S|GUC|P|24|T1|65.00%-70.00%|FICO 660-699|80.01%-85.00%</t>
  </si>
  <si>
    <t>AS66</t>
  </si>
  <si>
    <t>STD|S|GUC|P|24|T1|65.00%-70.00%|FICO 660-699|85.01%-87.50%</t>
  </si>
  <si>
    <t>AT66</t>
  </si>
  <si>
    <t>STD|S|GUC|P|24|T1|65.00%-70.00%|FICO 660-699|87.51%-89.99%</t>
  </si>
  <si>
    <t>AU66</t>
  </si>
  <si>
    <t>STD|S|GUC|P|24|T1|65.00%-70.00%|FICO 660-699|90.00%-92.50%</t>
  </si>
  <si>
    <t>AV66</t>
  </si>
  <si>
    <t>STD|S|GUC|P|12|T1|65.00%-70.00%|FICO 640-659|&lt;74.99%</t>
  </si>
  <si>
    <t>C67</t>
  </si>
  <si>
    <t>STD|S|GUC|P|12|T1|65.00%-70.00%|FICO 640-659|75.00%-80.00%</t>
  </si>
  <si>
    <t>D67</t>
  </si>
  <si>
    <t>STD|S|GUC|P|12|T1|65.00%-70.00%|FICO 640-659|80.01%-85.00%</t>
  </si>
  <si>
    <t>E67</t>
  </si>
  <si>
    <t>STD|S|GUC|P|12|T1|65.00%-70.00%|FICO 640-659|85.01%-87.50%</t>
  </si>
  <si>
    <t>F67</t>
  </si>
  <si>
    <t>STD|S|GUC|P|12|T1|65.00%-70.00%|FICO 640-659|87.51%-89.99%</t>
  </si>
  <si>
    <t>G67</t>
  </si>
  <si>
    <t>STD|S|GUC|P|12|T1|65.00%-70.00%|FICO 640-659|90.00%-92.50%</t>
  </si>
  <si>
    <t>H67</t>
  </si>
  <si>
    <t>STD|S|GUC|R|12|T1|65.00%-70.00%|FICO 640-659|&lt;74.99%</t>
  </si>
  <si>
    <t>M67</t>
  </si>
  <si>
    <t>STD|S|GUC|R|12|T1|65.00%-70.00%|FICO 640-659|75.00%-80.00%</t>
  </si>
  <si>
    <t>N67</t>
  </si>
  <si>
    <t>STD|S|GUC|R|12|T1|65.00%-70.00%|FICO 640-659|80.01%-85.00%</t>
  </si>
  <si>
    <t>O67</t>
  </si>
  <si>
    <t>STD|S|GUC|R|12|T1|65.00%-70.00%|FICO 640-659|85.01%-87.50%</t>
  </si>
  <si>
    <t>P67</t>
  </si>
  <si>
    <t>STD|S|GUC|R|12|T1|65.00%-70.00%|FICO 640-659|87.51%-89.99%</t>
  </si>
  <si>
    <t>Q67</t>
  </si>
  <si>
    <t>STD|S|GUC|R|12|T1|65.00%-70.00%|FICO 640-659|90.00%-92.50%</t>
  </si>
  <si>
    <t>R67</t>
  </si>
  <si>
    <t>STD|S|GUC|P|18|T1|65.00%-70.00%|FICO 640-659|&lt;74.99%</t>
  </si>
  <si>
    <t>W67</t>
  </si>
  <si>
    <t>STD|S|GUC|P|18|T1|65.00%-70.00%|FICO 640-659|75.00%-80.00%</t>
  </si>
  <si>
    <t>X67</t>
  </si>
  <si>
    <t>STD|S|GUC|P|18|T1|65.00%-70.00%|FICO 640-659|80.01%-85.00%</t>
  </si>
  <si>
    <t>Y67</t>
  </si>
  <si>
    <t>STD|S|GUC|P|18|T1|65.00%-70.00%|FICO 640-659|85.01%-87.50%</t>
  </si>
  <si>
    <t>Z67</t>
  </si>
  <si>
    <t>STD|S|GUC|P|18|T1|65.00%-70.00%|FICO 640-659|87.51%-89.99%</t>
  </si>
  <si>
    <t>AA67</t>
  </si>
  <si>
    <t>STD|S|GUC|P|18|T1|65.00%-70.00%|FICO 640-659|90.00%-92.50%</t>
  </si>
  <si>
    <t>AB67</t>
  </si>
  <si>
    <t>STD|S|GUC|R|18|T1|65.00%-70.00%|FICO 640-659|&lt;74.99%</t>
  </si>
  <si>
    <t>AG67</t>
  </si>
  <si>
    <t>STD|S|GUC|R|18|T1|65.00%-70.00%|FICO 640-659|75.00%-80.00%</t>
  </si>
  <si>
    <t>AH67</t>
  </si>
  <si>
    <t>STD|S|GUC|R|18|T1|65.00%-70.00%|FICO 640-659|80.01%-85.00%</t>
  </si>
  <si>
    <t>AI67</t>
  </si>
  <si>
    <t>STD|S|GUC|R|18|T1|65.00%-70.00%|FICO 640-659|85.01%-87.50%</t>
  </si>
  <si>
    <t>AJ67</t>
  </si>
  <si>
    <t>STD|S|GUC|R|18|T1|65.00%-70.00%|FICO 640-659|87.51%-89.99%</t>
  </si>
  <si>
    <t>AK67</t>
  </si>
  <si>
    <t>STD|S|GUC|R|18|T1|65.00%-70.00%|FICO 640-659|90.00%-92.50%</t>
  </si>
  <si>
    <t>AL67</t>
  </si>
  <si>
    <t>STD|S|GUC|P|24|T1|65.00%-70.00%|FICO 640-659|&lt;74.99%</t>
  </si>
  <si>
    <t>AQ67</t>
  </si>
  <si>
    <t>STD|S|GUC|P|24|T1|65.00%-70.00%|FICO 640-659|75.00%-80.00%</t>
  </si>
  <si>
    <t>AR67</t>
  </si>
  <si>
    <t>STD|S|GUC|P|24|T1|65.00%-70.00%|FICO 640-659|80.01%-85.00%</t>
  </si>
  <si>
    <t>AS67</t>
  </si>
  <si>
    <t>STD|S|GUC|P|24|T1|65.00%-70.00%|FICO 640-659|85.01%-87.50%</t>
  </si>
  <si>
    <t>AT67</t>
  </si>
  <si>
    <t>STD|S|GUC|P|24|T1|65.00%-70.00%|FICO 640-659|87.51%-89.99%</t>
  </si>
  <si>
    <t>AU67</t>
  </si>
  <si>
    <t>STD|S|GUC|P|24|T1|65.00%-70.00%|FICO 640-659|90.00%-92.50%</t>
  </si>
  <si>
    <t>AV67</t>
  </si>
  <si>
    <t>STD|S|GUC|P|12|T1|&lt;64.99%|FICO 700+|&lt;74.99%</t>
  </si>
  <si>
    <t>C69</t>
  </si>
  <si>
    <t>STD|S|GUC|P|12|T1|&lt;64.99%|FICO 700+|75.00%-80.00%</t>
  </si>
  <si>
    <t>D69</t>
  </si>
  <si>
    <t>STD|S|GUC|P|12|T1|&lt;64.99%|FICO 700+|80.01%-85.00%</t>
  </si>
  <si>
    <t>E69</t>
  </si>
  <si>
    <t>STD|S|GUC|P|12|T1|&lt;64.99%|FICO 700+|85.01%-87.50%</t>
  </si>
  <si>
    <t>F69</t>
  </si>
  <si>
    <t>STD|S|GUC|P|12|T1|&lt;64.99%|FICO 700+|87.51%-89.99%</t>
  </si>
  <si>
    <t>G69</t>
  </si>
  <si>
    <t>STD|S|GUC|P|12|T1|&lt;64.99%|FICO 700+|90.00%-92.50%</t>
  </si>
  <si>
    <t>H69</t>
  </si>
  <si>
    <t>STD|S|GUC|R|12|T1|&lt;64.99%|FICO 700+|&lt;74.99%</t>
  </si>
  <si>
    <t>M69</t>
  </si>
  <si>
    <t>STD|S|GUC|R|12|T1|&lt;64.99%|FICO 700+|75.00%-80.00%</t>
  </si>
  <si>
    <t>N69</t>
  </si>
  <si>
    <t>STD|S|GUC|R|12|T1|&lt;64.99%|FICO 700+|80.01%-85.00%</t>
  </si>
  <si>
    <t>O69</t>
  </si>
  <si>
    <t>STD|S|GUC|R|12|T1|&lt;64.99%|FICO 700+|85.01%-87.50%</t>
  </si>
  <si>
    <t>P69</t>
  </si>
  <si>
    <t>STD|S|GUC|R|12|T1|&lt;64.99%|FICO 700+|87.51%-89.99%</t>
  </si>
  <si>
    <t>Q69</t>
  </si>
  <si>
    <t>STD|S|GUC|R|12|T1|&lt;64.99%|FICO 700+|90.00%-92.50%</t>
  </si>
  <si>
    <t>R69</t>
  </si>
  <si>
    <t>STD|S|GUC|P|18|T1|&lt;64.99%|FICO 700+|&lt;74.99%</t>
  </si>
  <si>
    <t>W69</t>
  </si>
  <si>
    <t>STD|S|GUC|P|18|T1|&lt;64.99%|FICO 700+|75.00%-80.00%</t>
  </si>
  <si>
    <t>X69</t>
  </si>
  <si>
    <t>STD|S|GUC|P|18|T1|&lt;64.99%|FICO 700+|80.01%-85.00%</t>
  </si>
  <si>
    <t>Y69</t>
  </si>
  <si>
    <t>STD|S|GUC|P|18|T1|&lt;64.99%|FICO 700+|85.01%-87.50%</t>
  </si>
  <si>
    <t>Z69</t>
  </si>
  <si>
    <t>STD|S|GUC|P|18|T1|&lt;64.99%|FICO 700+|87.51%-89.99%</t>
  </si>
  <si>
    <t>AA69</t>
  </si>
  <si>
    <t>STD|S|GUC|P|18|T1|&lt;64.99%|FICO 700+|90.00%-92.50%</t>
  </si>
  <si>
    <t>AB69</t>
  </si>
  <si>
    <t>STD|S|GUC|R|18|T1|&lt;64.99%|FICO 700+|&lt;74.99%</t>
  </si>
  <si>
    <t>AG69</t>
  </si>
  <si>
    <t>STD|S|GUC|R|18|T1|&lt;64.99%|FICO 700+|75.00%-80.00%</t>
  </si>
  <si>
    <t>AH69</t>
  </si>
  <si>
    <t>STD|S|GUC|R|18|T1|&lt;64.99%|FICO 700+|80.01%-85.00%</t>
  </si>
  <si>
    <t>AI69</t>
  </si>
  <si>
    <t>STD|S|GUC|R|18|T1|&lt;64.99%|FICO 700+|85.01%-87.50%</t>
  </si>
  <si>
    <t>AJ69</t>
  </si>
  <si>
    <t>STD|S|GUC|R|18|T1|&lt;64.99%|FICO 700+|87.51%-89.99%</t>
  </si>
  <si>
    <t>AK69</t>
  </si>
  <si>
    <t>STD|S|GUC|R|18|T1|&lt;64.99%|FICO 700+|90.00%-92.50%</t>
  </si>
  <si>
    <t>AL69</t>
  </si>
  <si>
    <t>STD|S|GUC|P|24|T1|&lt;64.99%|FICO 700+|&lt;74.99%</t>
  </si>
  <si>
    <t>AQ69</t>
  </si>
  <si>
    <t>STD|S|GUC|P|24|T1|&lt;64.99%|FICO 700+|75.00%-80.00%</t>
  </si>
  <si>
    <t>AR69</t>
  </si>
  <si>
    <t>STD|S|GUC|P|24|T1|&lt;64.99%|FICO 700+|80.01%-85.00%</t>
  </si>
  <si>
    <t>AS69</t>
  </si>
  <si>
    <t>STD|S|GUC|P|24|T1|&lt;64.99%|FICO 700+|85.01%-87.50%</t>
  </si>
  <si>
    <t>AT69</t>
  </si>
  <si>
    <t>STD|S|GUC|P|24|T1|&lt;64.99%|FICO 700+|87.51%-89.99%</t>
  </si>
  <si>
    <t>AU69</t>
  </si>
  <si>
    <t>STD|S|GUC|P|24|T1|&lt;64.99%|FICO 700+|90.00%-92.50%</t>
  </si>
  <si>
    <t>AV69</t>
  </si>
  <si>
    <t>STD|S|GUC|P|12|T1|&lt;64.99%|FICO 660-699|&lt;74.99%</t>
  </si>
  <si>
    <t>C70</t>
  </si>
  <si>
    <t>STD|S|GUC|P|12|T1|&lt;64.99%|FICO 660-699|75.00%-80.00%</t>
  </si>
  <si>
    <t>D70</t>
  </si>
  <si>
    <t>STD|S|GUC|P|12|T1|&lt;64.99%|FICO 660-699|80.01%-85.00%</t>
  </si>
  <si>
    <t>E70</t>
  </si>
  <si>
    <t>STD|S|GUC|P|12|T1|&lt;64.99%|FICO 660-699|85.01%-87.50%</t>
  </si>
  <si>
    <t>F70</t>
  </si>
  <si>
    <t>STD|S|GUC|P|12|T1|&lt;64.99%|FICO 660-699|87.51%-89.99%</t>
  </si>
  <si>
    <t>G70</t>
  </si>
  <si>
    <t>STD|S|GUC|P|12|T1|&lt;64.99%|FICO 660-699|90.00%-92.50%</t>
  </si>
  <si>
    <t>H70</t>
  </si>
  <si>
    <t>STD|S|GUC|R|12|T1|&lt;64.99%|FICO 660-699|&lt;74.99%</t>
  </si>
  <si>
    <t>M70</t>
  </si>
  <si>
    <t>STD|S|GUC|R|12|T1|&lt;64.99%|FICO 660-699|75.00%-80.00%</t>
  </si>
  <si>
    <t>N70</t>
  </si>
  <si>
    <t>STD|S|GUC|R|12|T1|&lt;64.99%|FICO 660-699|80.01%-85.00%</t>
  </si>
  <si>
    <t>O70</t>
  </si>
  <si>
    <t>STD|S|GUC|R|12|T1|&lt;64.99%|FICO 660-699|85.01%-87.50%</t>
  </si>
  <si>
    <t>P70</t>
  </si>
  <si>
    <t>STD|S|GUC|R|12|T1|&lt;64.99%|FICO 660-699|87.51%-89.99%</t>
  </si>
  <si>
    <t>Q70</t>
  </si>
  <si>
    <t>STD|S|GUC|R|12|T1|&lt;64.99%|FICO 660-699|90.00%-92.50%</t>
  </si>
  <si>
    <t>R70</t>
  </si>
  <si>
    <t>STD|S|GUC|P|18|T1|&lt;64.99%|FICO 660-699|&lt;74.99%</t>
  </si>
  <si>
    <t>W70</t>
  </si>
  <si>
    <t>STD|S|GUC|P|18|T1|&lt;64.99%|FICO 660-699|75.00%-80.00%</t>
  </si>
  <si>
    <t>X70</t>
  </si>
  <si>
    <t>STD|S|GUC|P|18|T1|&lt;64.99%|FICO 660-699|80.01%-85.00%</t>
  </si>
  <si>
    <t>Y70</t>
  </si>
  <si>
    <t>STD|S|GUC|P|18|T1|&lt;64.99%|FICO 660-699|85.01%-87.50%</t>
  </si>
  <si>
    <t>Z70</t>
  </si>
  <si>
    <t>STD|S|GUC|P|18|T1|&lt;64.99%|FICO 660-699|87.51%-89.99%</t>
  </si>
  <si>
    <t>AA70</t>
  </si>
  <si>
    <t>STD|S|GUC|P|18|T1|&lt;64.99%|FICO 660-699|90.00%-92.50%</t>
  </si>
  <si>
    <t>AB70</t>
  </si>
  <si>
    <t>STD|S|GUC|R|18|T1|&lt;64.99%|FICO 660-699|&lt;74.99%</t>
  </si>
  <si>
    <t>AG70</t>
  </si>
  <si>
    <t>STD|S|GUC|R|18|T1|&lt;64.99%|FICO 660-699|75.00%-80.00%</t>
  </si>
  <si>
    <t>AH70</t>
  </si>
  <si>
    <t>STD|S|GUC|R|18|T1|&lt;64.99%|FICO 660-699|80.01%-85.00%</t>
  </si>
  <si>
    <t>AI70</t>
  </si>
  <si>
    <t>STD|S|GUC|R|18|T1|&lt;64.99%|FICO 660-699|85.01%-87.50%</t>
  </si>
  <si>
    <t>AJ70</t>
  </si>
  <si>
    <t>STD|S|GUC|R|18|T1|&lt;64.99%|FICO 660-699|87.51%-89.99%</t>
  </si>
  <si>
    <t>AK70</t>
  </si>
  <si>
    <t>STD|S|GUC|R|18|T1|&lt;64.99%|FICO 660-699|90.00%-92.50%</t>
  </si>
  <si>
    <t>AL70</t>
  </si>
  <si>
    <t>STD|S|GUC|P|24|T1|&lt;64.99%|FICO 660-699|&lt;74.99%</t>
  </si>
  <si>
    <t>AQ70</t>
  </si>
  <si>
    <t>STD|S|GUC|P|24|T1|&lt;64.99%|FICO 660-699|75.00%-80.00%</t>
  </si>
  <si>
    <t>AR70</t>
  </si>
  <si>
    <t>STD|S|GUC|P|24|T1|&lt;64.99%|FICO 660-699|80.01%-85.00%</t>
  </si>
  <si>
    <t>AS70</t>
  </si>
  <si>
    <t>STD|S|GUC|P|24|T1|&lt;64.99%|FICO 660-699|85.01%-87.50%</t>
  </si>
  <si>
    <t>AT70</t>
  </si>
  <si>
    <t>STD|S|GUC|P|24|T1|&lt;64.99%|FICO 660-699|87.51%-89.99%</t>
  </si>
  <si>
    <t>AU70</t>
  </si>
  <si>
    <t>STD|S|GUC|P|24|T1|&lt;64.99%|FICO 660-699|90.00%-92.50%</t>
  </si>
  <si>
    <t>AV70</t>
  </si>
  <si>
    <t>STD|S|GUC|P|12|T1|&lt;64.99%|FICO 640-659|&lt;74.99%</t>
  </si>
  <si>
    <t>C71</t>
  </si>
  <si>
    <t>STD|S|GUC|P|12|T1|&lt;64.99%|FICO 640-659|75.00%-80.00%</t>
  </si>
  <si>
    <t>D71</t>
  </si>
  <si>
    <t>STD|S|GUC|P|12|T1|&lt;64.99%|FICO 640-659|80.01%-85.00%</t>
  </si>
  <si>
    <t>E71</t>
  </si>
  <si>
    <t>STD|S|GUC|P|12|T1|&lt;64.99%|FICO 640-659|85.01%-87.50%</t>
  </si>
  <si>
    <t>F71</t>
  </si>
  <si>
    <t>STD|S|GUC|P|12|T1|&lt;64.99%|FICO 640-659|87.51%-89.99%</t>
  </si>
  <si>
    <t>G71</t>
  </si>
  <si>
    <t>STD|S|GUC|P|12|T1|&lt;64.99%|FICO 640-659|90.00%-92.50%</t>
  </si>
  <si>
    <t>H71</t>
  </si>
  <si>
    <t>STD|S|GUC|R|12|T1|&lt;64.99%|FICO 640-659|&lt;74.99%</t>
  </si>
  <si>
    <t>M71</t>
  </si>
  <si>
    <t>STD|S|GUC|R|12|T1|&lt;64.99%|FICO 640-659|75.00%-80.00%</t>
  </si>
  <si>
    <t>N71</t>
  </si>
  <si>
    <t>STD|S|GUC|R|12|T1|&lt;64.99%|FICO 640-659|80.01%-85.00%</t>
  </si>
  <si>
    <t>O71</t>
  </si>
  <si>
    <t>STD|S|GUC|R|12|T1|&lt;64.99%|FICO 640-659|85.01%-87.50%</t>
  </si>
  <si>
    <t>P71</t>
  </si>
  <si>
    <t>STD|S|GUC|R|12|T1|&lt;64.99%|FICO 640-659|87.51%-89.99%</t>
  </si>
  <si>
    <t>Q71</t>
  </si>
  <si>
    <t>STD|S|GUC|R|12|T1|&lt;64.99%|FICO 640-659|90.00%-92.50%</t>
  </si>
  <si>
    <t>R71</t>
  </si>
  <si>
    <t>STD|S|GUC|P|18|T1|&lt;64.99%|FICO 640-659|&lt;74.99%</t>
  </si>
  <si>
    <t>W71</t>
  </si>
  <si>
    <t>STD|S|GUC|P|18|T1|&lt;64.99%|FICO 640-659|75.00%-80.00%</t>
  </si>
  <si>
    <t>X71</t>
  </si>
  <si>
    <t>STD|S|GUC|P|18|T1|&lt;64.99%|FICO 640-659|80.01%-85.00%</t>
  </si>
  <si>
    <t>Y71</t>
  </si>
  <si>
    <t>STD|S|GUC|P|18|T1|&lt;64.99%|FICO 640-659|85.01%-87.50%</t>
  </si>
  <si>
    <t>Z71</t>
  </si>
  <si>
    <t>STD|S|GUC|P|18|T1|&lt;64.99%|FICO 640-659|87.51%-89.99%</t>
  </si>
  <si>
    <t>AA71</t>
  </si>
  <si>
    <t>STD|S|GUC|P|18|T1|&lt;64.99%|FICO 640-659|90.00%-92.50%</t>
  </si>
  <si>
    <t>AB71</t>
  </si>
  <si>
    <t>STD|S|GUC|R|18|T1|&lt;64.99%|FICO 640-659|&lt;74.99%</t>
  </si>
  <si>
    <t>AG71</t>
  </si>
  <si>
    <t>STD|S|GUC|R|18|T1|&lt;64.99%|FICO 640-659|75.00%-80.00%</t>
  </si>
  <si>
    <t>AH71</t>
  </si>
  <si>
    <t>STD|S|GUC|R|18|T1|&lt;64.99%|FICO 640-659|80.01%-85.00%</t>
  </si>
  <si>
    <t>AI71</t>
  </si>
  <si>
    <t>STD|S|GUC|R|18|T1|&lt;64.99%|FICO 640-659|85.01%-87.50%</t>
  </si>
  <si>
    <t>AJ71</t>
  </si>
  <si>
    <t>STD|S|GUC|R|18|T1|&lt;64.99%|FICO 640-659|87.51%-89.99%</t>
  </si>
  <si>
    <t>AK71</t>
  </si>
  <si>
    <t>STD|S|GUC|R|18|T1|&lt;64.99%|FICO 640-659|90.00%-92.50%</t>
  </si>
  <si>
    <t>AL71</t>
  </si>
  <si>
    <t>STD|S|GUC|P|24|T1|&lt;64.99%|FICO 640-659|&lt;74.99%</t>
  </si>
  <si>
    <t>AQ71</t>
  </si>
  <si>
    <t>STD|S|GUC|P|24|T1|&lt;64.99%|FICO 640-659|75.00%-80.00%</t>
  </si>
  <si>
    <t>AR71</t>
  </si>
  <si>
    <t>STD|S|GUC|P|24|T1|&lt;64.99%|FICO 640-659|80.01%-85.00%</t>
  </si>
  <si>
    <t>AS71</t>
  </si>
  <si>
    <t>STD|S|GUC|P|24|T1|&lt;64.99%|FICO 640-659|85.01%-87.50%</t>
  </si>
  <si>
    <t>AT71</t>
  </si>
  <si>
    <t>STD|S|GUC|P|24|T1|&lt;64.99%|FICO 640-659|87.51%-89.99%</t>
  </si>
  <si>
    <t>AU71</t>
  </si>
  <si>
    <t>STD|S|GUC|P|24|T1|&lt;64.99%|FICO 640-659|90.00%-92.50%</t>
  </si>
  <si>
    <t>AV71</t>
  </si>
  <si>
    <t>STD|S|GUC|P|12|T2|65.00%-70.00%|FICO 700+|&lt;74.99%</t>
  </si>
  <si>
    <t>C81</t>
  </si>
  <si>
    <t>STD|S|GUC|P|12|T2|65.00%-70.00%|FICO 700+|75.00%-80.00%</t>
  </si>
  <si>
    <t>D81</t>
  </si>
  <si>
    <t>STD|S|GUC|P|12|T2|65.00%-70.00%|FICO 700+|80.01%-85.00%</t>
  </si>
  <si>
    <t>E81</t>
  </si>
  <si>
    <t>STD|S|GUC|R|12|T2|65.00%-70.00%|FICO 700+|&lt;74.99%</t>
  </si>
  <si>
    <t>M81</t>
  </si>
  <si>
    <t>STD|S|GUC|R|12|T2|65.00%-70.00%|FICO 700+|75.00%-80.00%</t>
  </si>
  <si>
    <t>N81</t>
  </si>
  <si>
    <t>STD|S|GUC|R|12|T2|65.00%-70.00%|FICO 700+|80.01%-85.00%</t>
  </si>
  <si>
    <t>O81</t>
  </si>
  <si>
    <t>STD|S|GUC|P|18|T2|65.00%-70.00%|FICO 700+|&lt;74.99%</t>
  </si>
  <si>
    <t>W81</t>
  </si>
  <si>
    <t>STD|S|GUC|P|18|T2|65.00%-70.00%|FICO 700+|75.00%-80.00%</t>
  </si>
  <si>
    <t>X81</t>
  </si>
  <si>
    <t>STD|S|GUC|P|18|T2|65.00%-70.00%|FICO 700+|80.01%-85.00%</t>
  </si>
  <si>
    <t>Y81</t>
  </si>
  <si>
    <t>STD|S|GUC|R|18|T2|65.00%-70.00%|FICO 700+|&lt;74.99%</t>
  </si>
  <si>
    <t>AG81</t>
  </si>
  <si>
    <t>STD|S|GUC|R|18|T2|65.00%-70.00%|FICO 700+|75.00%-80.00%</t>
  </si>
  <si>
    <t>AH81</t>
  </si>
  <si>
    <t>STD|S|GUC|R|18|T2|65.00%-70.00%|FICO 700+|80.01%-85.00%</t>
  </si>
  <si>
    <t>AI81</t>
  </si>
  <si>
    <t>STD|S|GUC|P|24|T2|65.00%-70.00%|FICO 700+|&lt;74.99%</t>
  </si>
  <si>
    <t>AQ81</t>
  </si>
  <si>
    <t>STD|S|GUC|P|24|T2|65.00%-70.00%|FICO 700+|75.00%-80.00%</t>
  </si>
  <si>
    <t>AR81</t>
  </si>
  <si>
    <t>STD|S|GUC|P|24|T2|65.00%-70.00%|FICO 700+|80.01%-85.00%</t>
  </si>
  <si>
    <t>AS81</t>
  </si>
  <si>
    <t>STD|S|GUC|P|12|T2|65.00%-70.00%|FICO 660-699|&lt;74.99%</t>
  </si>
  <si>
    <t>C82</t>
  </si>
  <si>
    <t>STD|S|GUC|P|12|T2|65.00%-70.00%|FICO 660-699|75.00%-80.00%</t>
  </si>
  <si>
    <t>D82</t>
  </si>
  <si>
    <t>STD|S|GUC|P|12|T2|65.00%-70.00%|FICO 660-699|80.01%-85.00%</t>
  </si>
  <si>
    <t>E82</t>
  </si>
  <si>
    <t>STD|S|GUC|R|12|T2|65.00%-70.00%|FICO 660-699|&lt;74.99%</t>
  </si>
  <si>
    <t>M82</t>
  </si>
  <si>
    <t>STD|S|GUC|R|12|T2|65.00%-70.00%|FICO 660-699|75.00%-80.00%</t>
  </si>
  <si>
    <t>N82</t>
  </si>
  <si>
    <t>STD|S|GUC|R|12|T2|65.00%-70.00%|FICO 660-699|80.01%-85.00%</t>
  </si>
  <si>
    <t>O82</t>
  </si>
  <si>
    <t>STD|S|GUC|P|18|T2|65.00%-70.00%|FICO 660-699|&lt;74.99%</t>
  </si>
  <si>
    <t>W82</t>
  </si>
  <si>
    <t>STD|S|GUC|P|18|T2|65.00%-70.00%|FICO 660-699|75.00%-80.00%</t>
  </si>
  <si>
    <t>X82</t>
  </si>
  <si>
    <t>STD|S|GUC|P|18|T2|65.00%-70.00%|FICO 660-699|80.01%-85.00%</t>
  </si>
  <si>
    <t>Y82</t>
  </si>
  <si>
    <t>STD|S|GUC|R|18|T2|65.00%-70.00%|FICO 660-699|&lt;74.99%</t>
  </si>
  <si>
    <t>AG82</t>
  </si>
  <si>
    <t>STD|S|GUC|R|18|T2|65.00%-70.00%|FICO 660-699|75.00%-80.00%</t>
  </si>
  <si>
    <t>AH82</t>
  </si>
  <si>
    <t>STD|S|GUC|R|18|T2|65.00%-70.00%|FICO 660-699|80.01%-85.00%</t>
  </si>
  <si>
    <t>AI82</t>
  </si>
  <si>
    <t>STD|S|GUC|P|24|T2|65.00%-70.00%|FICO 660-699|&lt;74.99%</t>
  </si>
  <si>
    <t>AQ82</t>
  </si>
  <si>
    <t>STD|S|GUC|P|24|T2|65.00%-70.00%|FICO 660-699|75.00%-80.00%</t>
  </si>
  <si>
    <t>AR82</t>
  </si>
  <si>
    <t>STD|S|GUC|P|24|T2|65.00%-70.00%|FICO 660-699|80.01%-85.00%</t>
  </si>
  <si>
    <t>AS82</t>
  </si>
  <si>
    <t>STD|S|GUC|P|12|T2|&lt;64.99%|FICO 700+|&lt;74.99%</t>
  </si>
  <si>
    <t>C85</t>
  </si>
  <si>
    <t>STD|S|GUC|P|12|T2|&lt;64.99%|FICO 700+|75.00%-80.00%</t>
  </si>
  <si>
    <t>D85</t>
  </si>
  <si>
    <t>STD|S|GUC|P|12|T2|&lt;64.99%|FICO 700+|80.01%-85.00%</t>
  </si>
  <si>
    <t>E85</t>
  </si>
  <si>
    <t>STD|S|GUC|R|12|T2|&lt;64.99%|FICO 700+|&lt;74.99%</t>
  </si>
  <si>
    <t>M85</t>
  </si>
  <si>
    <t>STD|S|GUC|R|12|T2|&lt;64.99%|FICO 700+|75.00%-80.00%</t>
  </si>
  <si>
    <t>N85</t>
  </si>
  <si>
    <t>STD|S|GUC|R|12|T2|&lt;64.99%|FICO 700+|80.01%-85.00%</t>
  </si>
  <si>
    <t>O85</t>
  </si>
  <si>
    <t>STD|S|GUC|P|18|T2|&lt;64.99%|FICO 700+|&lt;74.99%</t>
  </si>
  <si>
    <t>W85</t>
  </si>
  <si>
    <t>STD|S|GUC|P|18|T2|&lt;64.99%|FICO 700+|75.00%-80.00%</t>
  </si>
  <si>
    <t>X85</t>
  </si>
  <si>
    <t>STD|S|GUC|P|18|T2|&lt;64.99%|FICO 700+|80.01%-85.00%</t>
  </si>
  <si>
    <t>Y85</t>
  </si>
  <si>
    <t>STD|S|GUC|R|18|T2|&lt;64.99%|FICO 700+|&lt;74.99%</t>
  </si>
  <si>
    <t>AG85</t>
  </si>
  <si>
    <t>STD|S|GUC|R|18|T2|&lt;64.99%|FICO 700+|75.00%-80.00%</t>
  </si>
  <si>
    <t>AH85</t>
  </si>
  <si>
    <t>STD|S|GUC|R|18|T2|&lt;64.99%|FICO 700+|80.01%-85.00%</t>
  </si>
  <si>
    <t>AI85</t>
  </si>
  <si>
    <t>STD|S|GUC|P|24|T2|&lt;64.99%|FICO 700+|&lt;74.99%</t>
  </si>
  <si>
    <t>AQ85</t>
  </si>
  <si>
    <t>STD|S|GUC|P|24|T2|&lt;64.99%|FICO 700+|75.00%-80.00%</t>
  </si>
  <si>
    <t>AR85</t>
  </si>
  <si>
    <t>STD|S|GUC|P|24|T2|&lt;64.99%|FICO 700+|80.01%-85.00%</t>
  </si>
  <si>
    <t>AS85</t>
  </si>
  <si>
    <t>STD|S|GUC|P|12|T2|&lt;64.99%|FICO 660-699|&lt;74.99%</t>
  </si>
  <si>
    <t>C86</t>
  </si>
  <si>
    <t>STD|S|GUC|P|12|T2|&lt;64.99%|FICO 660-699|75.00%-80.00%</t>
  </si>
  <si>
    <t>D86</t>
  </si>
  <si>
    <t>STD|S|GUC|P|12|T2|&lt;64.99%|FICO 660-699|80.01%-85.00%</t>
  </si>
  <si>
    <t>E86</t>
  </si>
  <si>
    <t>STD|S|GUC|R|12|T2|&lt;64.99%|FICO 660-699|&lt;74.99%</t>
  </si>
  <si>
    <t>M86</t>
  </si>
  <si>
    <t>STD|S|GUC|R|12|T2|&lt;64.99%|FICO 660-699|75.00%-80.00%</t>
  </si>
  <si>
    <t>N86</t>
  </si>
  <si>
    <t>STD|S|GUC|R|12|T2|&lt;64.99%|FICO 660-699|80.01%-85.00%</t>
  </si>
  <si>
    <t>O86</t>
  </si>
  <si>
    <t>STD|S|GUC|P|18|T2|&lt;64.99%|FICO 660-699|&lt;74.99%</t>
  </si>
  <si>
    <t>W86</t>
  </si>
  <si>
    <t>STD|S|GUC|P|18|T2|&lt;64.99%|FICO 660-699|75.00%-80.00%</t>
  </si>
  <si>
    <t>X86</t>
  </si>
  <si>
    <t>STD|S|GUC|P|18|T2|&lt;64.99%|FICO 660-699|80.01%-85.00%</t>
  </si>
  <si>
    <t>Y86</t>
  </si>
  <si>
    <t>STD|S|GUC|R|18|T2|&lt;64.99%|FICO 660-699|&lt;74.99%</t>
  </si>
  <si>
    <t>AG86</t>
  </si>
  <si>
    <t>STD|S|GUC|R|18|T2|&lt;64.99%|FICO 660-699|75.00%-80.00%</t>
  </si>
  <si>
    <t>AH86</t>
  </si>
  <si>
    <t>STD|S|GUC|R|18|T2|&lt;64.99%|FICO 660-699|80.01%-85.00%</t>
  </si>
  <si>
    <t>AI86</t>
  </si>
  <si>
    <t>STD|S|GUC|P|24|T2|&lt;64.99%|FICO 660-699|&lt;74.99%</t>
  </si>
  <si>
    <t>AQ86</t>
  </si>
  <si>
    <t>STD|S|GUC|P|24|T2|&lt;64.99%|FICO 660-699|75.00%-80.00%</t>
  </si>
  <si>
    <t>AR86</t>
  </si>
  <si>
    <t>STD|S|GUC|P|24|T2|&lt;64.99%|FICO 660-699|80.01%-85.00%</t>
  </si>
  <si>
    <t>AS86</t>
  </si>
  <si>
    <t>STD|S|GUC|P|12|T3|&lt;64.99%|FICO 700+|&lt;74.99%</t>
  </si>
  <si>
    <t>C101</t>
  </si>
  <si>
    <t>STD|S|GUC|P|12|T3|&lt;64.99%|FICO 700+|75.00%-80.00%</t>
  </si>
  <si>
    <t>D101</t>
  </si>
  <si>
    <t>STD|S|GUC|R|12|T3|&lt;64.99%|FICO 700+|&lt;74.99%</t>
  </si>
  <si>
    <t>M101</t>
  </si>
  <si>
    <t>STD|S|GUC|R|12|T3|&lt;64.99%|FICO 700+|75.00%-80.00%</t>
  </si>
  <si>
    <t>N101</t>
  </si>
  <si>
    <t>STD|S|GUC|P|18|T3|&lt;64.99%|FICO 700+|&lt;74.99%</t>
  </si>
  <si>
    <t>W101</t>
  </si>
  <si>
    <t>STD|S|GUC|P|18|T3|&lt;64.99%|FICO 700+|75.00%-80.00%</t>
  </si>
  <si>
    <t>X101</t>
  </si>
  <si>
    <t>STD|S|GUC|R|18|T3|&lt;64.99%|FICO 700+|&lt;74.99%</t>
  </si>
  <si>
    <t>AG101</t>
  </si>
  <si>
    <t>STD|S|GUC|R|18|T3|&lt;64.99%|FICO 700+|75.00%-80.00%</t>
  </si>
  <si>
    <t>AH101</t>
  </si>
  <si>
    <t>STD|S|GUC|P|24|T3|&lt;64.99%|FICO 700+|&lt;74.99%</t>
  </si>
  <si>
    <t>AQ101</t>
  </si>
  <si>
    <t>STD|S|GUC|P|24|T3|&lt;64.99%|FICO 700+|75.00%-80.00%</t>
  </si>
  <si>
    <t>AR101</t>
  </si>
  <si>
    <t>STD|S|GUC|P|12|T3|&lt;64.99%|FICO 680-699|&lt;74.99%</t>
  </si>
  <si>
    <t>C102</t>
  </si>
  <si>
    <t>STD|S|GUC|P|12|T3|&lt;64.99%|FICO 680-699|75.00%-80.00%</t>
  </si>
  <si>
    <t>D102</t>
  </si>
  <si>
    <t>STD|S|GUC|R|12|T3|&lt;64.99%|FICO 680-699|&lt;74.99%</t>
  </si>
  <si>
    <t>M102</t>
  </si>
  <si>
    <t>STD|S|GUC|R|12|T3|&lt;64.99%|FICO 680-699|75.00%-80.00%</t>
  </si>
  <si>
    <t>N102</t>
  </si>
  <si>
    <t>STD|S|GUC|P|18|T3|&lt;64.99%|FICO 680-699|&lt;74.99%</t>
  </si>
  <si>
    <t>W102</t>
  </si>
  <si>
    <t>STD|S|GUC|P|18|T3|&lt;64.99%|FICO 680-699|75.00%-80.00%</t>
  </si>
  <si>
    <t>X102</t>
  </si>
  <si>
    <t>STD|S|GUC|R|18|T3|&lt;64.99%|FICO 680-699|&lt;74.99%</t>
  </si>
  <si>
    <t>AG102</t>
  </si>
  <si>
    <t>STD|S|GUC|R|18|T3|&lt;64.99%|FICO 680-699|75.00%-80.00%</t>
  </si>
  <si>
    <t>AH102</t>
  </si>
  <si>
    <t>STD|S|GUC|P|24|T3|&lt;64.99%|FICO 680-699|&lt;74.99%</t>
  </si>
  <si>
    <t>AQ102</t>
  </si>
  <si>
    <t>STD|S|GUC|P|24|T3|&lt;64.99%|FICO 680-699|75.00%-80.00%</t>
  </si>
  <si>
    <t>AR102</t>
  </si>
  <si>
    <t>STD|S|BR|P|12|T1|70.01%-75.00%|FICO 700+|&lt;74.99%</t>
  </si>
  <si>
    <t>C116</t>
  </si>
  <si>
    <t>STD|S|BR|P|12|T1|70.01%-75.00%|FICO 700+|75.00%-80.00%</t>
  </si>
  <si>
    <t>D116</t>
  </si>
  <si>
    <t>STD|S|BR|R|12|T1|70.01%-75.00%|FICO 700+|&lt;74.99%</t>
  </si>
  <si>
    <t>M116</t>
  </si>
  <si>
    <t>STD|S|BR|P|18|T1|70.01%-75.00%|FICO 700+|&lt;74.99%</t>
  </si>
  <si>
    <t>W116</t>
  </si>
  <si>
    <t>STD|S|BR|P|18|T1|70.01%-75.00%|FICO 700+|75.00%-80.00%</t>
  </si>
  <si>
    <t>X116</t>
  </si>
  <si>
    <t>STD|S|BR|R|18|T1|70.01%-75.00%|FICO 700+|&lt;74.99%</t>
  </si>
  <si>
    <t>AG116</t>
  </si>
  <si>
    <t>STD|S|BR|P|24|T1|70.01%-75.00%|FICO 700+|&lt;74.99%</t>
  </si>
  <si>
    <t>AQ116</t>
  </si>
  <si>
    <t>STD|S|BR|P|24|T1|70.01%-75.00%|FICO 700+|75.00%-80.00%</t>
  </si>
  <si>
    <t>AR116</t>
  </si>
  <si>
    <t>STD|S|BR|P|12|T1|70.01%-75.00%|FICO 660-699|&lt;74.99%</t>
  </si>
  <si>
    <t>C117</t>
  </si>
  <si>
    <t>STD|S|BR|P|12|T1|70.01%-75.00%|FICO 660-699|75.00%-80.00%</t>
  </si>
  <si>
    <t>D117</t>
  </si>
  <si>
    <t>STD|S|BR|R|12|T1|70.01%-75.00%|FICO 660-699|&lt;74.99%</t>
  </si>
  <si>
    <t>M117</t>
  </si>
  <si>
    <t>STD|S|BR|P|18|T1|70.01%-75.00%|FICO 660-699|&lt;74.99%</t>
  </si>
  <si>
    <t>W117</t>
  </si>
  <si>
    <t>STD|S|BR|P|18|T1|70.01%-75.00%|FICO 660-699|75.00%-80.00%</t>
  </si>
  <si>
    <t>X117</t>
  </si>
  <si>
    <t>STD|S|BR|R|18|T1|70.01%-75.00%|FICO 660-699|&lt;74.99%</t>
  </si>
  <si>
    <t>AG117</t>
  </si>
  <si>
    <t>STD|S|BR|P|24|T1|70.01%-75.00%|FICO 660-699|&lt;74.99%</t>
  </si>
  <si>
    <t>AQ117</t>
  </si>
  <si>
    <t>STD|S|BR|P|24|T1|70.01%-75.00%|FICO 660-699|75.00%-80.00%</t>
  </si>
  <si>
    <t>AR117</t>
  </si>
  <si>
    <t>STD|S|BR|P|12|T1|70.01%-75.00%|FICO 640-659|&lt;74.99%</t>
  </si>
  <si>
    <t>C118</t>
  </si>
  <si>
    <t>STD|S|BR|P|12|T1|70.01%-75.00%|FICO 640-659|75.00%-80.00%</t>
  </si>
  <si>
    <t>D118</t>
  </si>
  <si>
    <t>STD|S|BR|R|12|T1|70.01%-75.00%|FICO 640-659|&lt;74.99%</t>
  </si>
  <si>
    <t>M118</t>
  </si>
  <si>
    <t>STD|S|BR|P|18|T1|70.01%-75.00%|FICO 640-659|&lt;74.99%</t>
  </si>
  <si>
    <t>W118</t>
  </si>
  <si>
    <t>STD|S|BR|P|18|T1|70.01%-75.00%|FICO 640-659|75.00%-80.00%</t>
  </si>
  <si>
    <t>X118</t>
  </si>
  <si>
    <t>STD|S|BR|R|18|T1|70.01%-75.00%|FICO 640-659|&lt;74.99%</t>
  </si>
  <si>
    <t>AG118</t>
  </si>
  <si>
    <t>STD|S|BR|P|24|T1|70.01%-75.00%|FICO 640-659|&lt;74.99%</t>
  </si>
  <si>
    <t>AQ118</t>
  </si>
  <si>
    <t>STD|S|BR|P|24|T1|70.01%-75.00%|FICO 640-659|75.00%-80.00%</t>
  </si>
  <si>
    <t>AR118</t>
  </si>
  <si>
    <t>STD|S|BR|P|12|T1|65.00%-70.00%|FICO 700+|&lt;74.99%</t>
  </si>
  <si>
    <t>C120</t>
  </si>
  <si>
    <t>STD|S|BR|P|12|T1|65.00%-70.00%|FICO 700+|75.00%-80.00%</t>
  </si>
  <si>
    <t>D120</t>
  </si>
  <si>
    <t>STD|S|BR|R|12|T1|65.00%-70.00%|FICO 700+|&lt;74.99%</t>
  </si>
  <si>
    <t>M120</t>
  </si>
  <si>
    <t>STD|S|BR|P|18|T1|65.00%-70.00%|FICO 700+|&lt;74.99%</t>
  </si>
  <si>
    <t>W120</t>
  </si>
  <si>
    <t>STD|S|BR|P|18|T1|65.00%-70.00%|FICO 700+|75.00%-80.00%</t>
  </si>
  <si>
    <t>X120</t>
  </si>
  <si>
    <t>STD|S|BR|R|18|T1|65.00%-70.00%|FICO 700+|&lt;74.99%</t>
  </si>
  <si>
    <t>AG120</t>
  </si>
  <si>
    <t>STD|S|BR|P|24|T1|65.00%-70.00%|FICO 700+|&lt;74.99%</t>
  </si>
  <si>
    <t>AQ120</t>
  </si>
  <si>
    <t>STD|S|BR|P|24|T1|65.00%-70.00%|FICO 700+|75.00%-80.00%</t>
  </si>
  <si>
    <t>AR120</t>
  </si>
  <si>
    <t>STD|S|BR|P|12|T1|65.00%-70.00%|FICO 660-699|&lt;74.99%</t>
  </si>
  <si>
    <t>C121</t>
  </si>
  <si>
    <t>STD|S|BR|P|12|T1|65.00%-70.00%|FICO 660-699|75.00%-80.00%</t>
  </si>
  <si>
    <t>D121</t>
  </si>
  <si>
    <t>STD|S|BR|R|12|T1|65.00%-70.00%|FICO 660-699|&lt;74.99%</t>
  </si>
  <si>
    <t>M121</t>
  </si>
  <si>
    <t>STD|S|BR|P|18|T1|65.00%-70.00%|FICO 660-699|&lt;74.99%</t>
  </si>
  <si>
    <t>W121</t>
  </si>
  <si>
    <t>STD|S|BR|P|18|T1|65.00%-70.00%|FICO 660-699|75.00%-80.00%</t>
  </si>
  <si>
    <t>X121</t>
  </si>
  <si>
    <t>STD|S|BR|R|18|T1|65.00%-70.00%|FICO 660-699|&lt;74.99%</t>
  </si>
  <si>
    <t>AG121</t>
  </si>
  <si>
    <t>STD|S|BR|P|24|T1|65.00%-70.00%|FICO 660-699|&lt;74.99%</t>
  </si>
  <si>
    <t>AQ121</t>
  </si>
  <si>
    <t>STD|S|BR|P|24|T1|65.00%-70.00%|FICO 660-699|75.00%-80.00%</t>
  </si>
  <si>
    <t>AR121</t>
  </si>
  <si>
    <t>STD|S|BR|P|12|T1|65.00%-70.00%|FICO 640-659|&lt;74.99%</t>
  </si>
  <si>
    <t>C122</t>
  </si>
  <si>
    <t>STD|S|BR|P|12|T1|65.00%-70.00%|FICO 640-659|75.00%-80.00%</t>
  </si>
  <si>
    <t>D122</t>
  </si>
  <si>
    <t>STD|S|BR|R|12|T1|65.00%-70.00%|FICO 640-659|&lt;74.99%</t>
  </si>
  <si>
    <t>M122</t>
  </si>
  <si>
    <t>STD|S|BR|P|18|T1|65.00%-70.00%|FICO 640-659|&lt;74.99%</t>
  </si>
  <si>
    <t>W122</t>
  </si>
  <si>
    <t>STD|S|BR|P|18|T1|65.00%-70.00%|FICO 640-659|75.00%-80.00%</t>
  </si>
  <si>
    <t>X122</t>
  </si>
  <si>
    <t>STD|S|BR|R|18|T1|65.00%-70.00%|FICO 640-659|&lt;74.99%</t>
  </si>
  <si>
    <t>AG122</t>
  </si>
  <si>
    <t>STD|S|BR|P|24|T1|65.00%-70.00%|FICO 640-659|&lt;74.99%</t>
  </si>
  <si>
    <t>AQ122</t>
  </si>
  <si>
    <t>STD|S|BR|P|24|T1|65.00%-70.00%|FICO 640-659|75.00%-80.00%</t>
  </si>
  <si>
    <t>AR122</t>
  </si>
  <si>
    <t>STD|S|BR|P|12|T1|&lt;64.99%|FICO 700+|&lt;74.99%</t>
  </si>
  <si>
    <t>C124</t>
  </si>
  <si>
    <t>STD|S|BR|P|12|T1|&lt;64.99%|FICO 700+|75.00%-80.00%</t>
  </si>
  <si>
    <t>D124</t>
  </si>
  <si>
    <t>STD|S|BR|R|12|T1|&lt;64.99%|FICO 700+|&lt;74.99%</t>
  </si>
  <si>
    <t>M124</t>
  </si>
  <si>
    <t>STD|S|BR|P|18|T1|&lt;64.99%|FICO 700+|&lt;74.99%</t>
  </si>
  <si>
    <t>W124</t>
  </si>
  <si>
    <t>STD|S|BR|P|18|T1|&lt;64.99%|FICO 700+|75.00%-80.00%</t>
  </si>
  <si>
    <t>X124</t>
  </si>
  <si>
    <t>STD|S|BR|R|18|T1|&lt;64.99%|FICO 700+|&lt;74.99%</t>
  </si>
  <si>
    <t>AG124</t>
  </si>
  <si>
    <t>STD|S|BR|P|24|T1|&lt;64.99%|FICO 700+|&lt;74.99%</t>
  </si>
  <si>
    <t>AQ124</t>
  </si>
  <si>
    <t>STD|S|BR|P|24|T1|&lt;64.99%|FICO 700+|75.00%-80.00%</t>
  </si>
  <si>
    <t>AR124</t>
  </si>
  <si>
    <t>STD|S|BR|P|12|T1|&lt;64.99%|FICO 660-699|&lt;74.99%</t>
  </si>
  <si>
    <t>C125</t>
  </si>
  <si>
    <t>STD|S|BR|P|12|T1|&lt;64.99%|FICO 660-699|75.00%-80.00%</t>
  </si>
  <si>
    <t>D125</t>
  </si>
  <si>
    <t>STD|S|BR|R|12|T1|&lt;64.99%|FICO 660-699|&lt;74.99%</t>
  </si>
  <si>
    <t>M125</t>
  </si>
  <si>
    <t>STD|S|BR|P|18|T1|&lt;64.99%|FICO 660-699|&lt;74.99%</t>
  </si>
  <si>
    <t>W125</t>
  </si>
  <si>
    <t>STD|S|BR|P|18|T1|&lt;64.99%|FICO 660-699|75.00%-80.00%</t>
  </si>
  <si>
    <t>X125</t>
  </si>
  <si>
    <t>STD|S|BR|R|18|T1|&lt;64.99%|FICO 660-699|&lt;74.99%</t>
  </si>
  <si>
    <t>AG125</t>
  </si>
  <si>
    <t>STD|S|BR|P|24|T1|&lt;64.99%|FICO 660-699|&lt;74.99%</t>
  </si>
  <si>
    <t>AQ125</t>
  </si>
  <si>
    <t>STD|S|BR|P|24|T1|&lt;64.99%|FICO 660-699|75.00%-80.00%</t>
  </si>
  <si>
    <t>AR125</t>
  </si>
  <si>
    <t>STD|S|BR|P|12|T1|&lt;64.99%|FICO 640-659|&lt;74.99%</t>
  </si>
  <si>
    <t>C126</t>
  </si>
  <si>
    <t>STD|S|BR|P|12|T1|&lt;64.99%|FICO 640-659|75.00%-80.00%</t>
  </si>
  <si>
    <t>D126</t>
  </si>
  <si>
    <t>STD|S|BR|R|12|T1|&lt;64.99%|FICO 640-659|&lt;74.99%</t>
  </si>
  <si>
    <t>M126</t>
  </si>
  <si>
    <t>STD|S|BR|P|18|T1|&lt;64.99%|FICO 640-659|&lt;74.99%</t>
  </si>
  <si>
    <t>W126</t>
  </si>
  <si>
    <t>STD|S|BR|P|18|T1|&lt;64.99%|FICO 640-659|75.00%-80.00%</t>
  </si>
  <si>
    <t>X126</t>
  </si>
  <si>
    <t>STD|S|BR|R|18|T1|&lt;64.99%|FICO 640-659|&lt;74.99%</t>
  </si>
  <si>
    <t>AG126</t>
  </si>
  <si>
    <t>STD|S|BR|P|24|T1|&lt;64.99%|FICO 640-659|&lt;74.99%</t>
  </si>
  <si>
    <t>AQ126</t>
  </si>
  <si>
    <t>STD|S|BR|P|24|T1|&lt;64.99%|FICO 640-659|75.00%-80.00%</t>
  </si>
  <si>
    <t>AR126</t>
  </si>
  <si>
    <t>STD|S|BR|P|12|T2|70.01%-75.00%|FICO 700+|&lt;74.99%</t>
  </si>
  <si>
    <t>C136</t>
  </si>
  <si>
    <t>STD|S|BR|P|12|T2|70.01%-75.00%|FICO 700+|75.00%-80.00%</t>
  </si>
  <si>
    <t>D136</t>
  </si>
  <si>
    <t>STD|S|BR|P|18|T2|70.01%-75.00%|FICO 700+|&lt;74.99%</t>
  </si>
  <si>
    <t>W136</t>
  </si>
  <si>
    <t>STD|S|BR|P|18|T2|70.01%-75.00%|FICO 700+|75.00%-80.00%</t>
  </si>
  <si>
    <t>X136</t>
  </si>
  <si>
    <t>STD|S|BR|P|24|T2|70.01%-75.00%|FICO 700+|&lt;74.99%</t>
  </si>
  <si>
    <t>AQ136</t>
  </si>
  <si>
    <t>STD|S|BR|P|24|T2|70.01%-75.00%|FICO 700+|75.00%-80.00%</t>
  </si>
  <si>
    <t>AR136</t>
  </si>
  <si>
    <t>STD|S|BR|P|12|T2|70.01%-75.00%|FICO 660-699|&lt;74.99%</t>
  </si>
  <si>
    <t>C137</t>
  </si>
  <si>
    <t>STD|S|BR|P|12|T2|70.01%-75.00%|FICO 660-699|75.00%-80.00%</t>
  </si>
  <si>
    <t>D137</t>
  </si>
  <si>
    <t>STD|S|BR|P|18|T2|70.01%-75.00%|FICO 660-699|&lt;74.99%</t>
  </si>
  <si>
    <t>W137</t>
  </si>
  <si>
    <t>STD|S|BR|P|18|T2|70.01%-75.00%|FICO 660-699|75.00%-80.00%</t>
  </si>
  <si>
    <t>X137</t>
  </si>
  <si>
    <t>STD|S|BR|P|24|T2|70.01%-75.00%|FICO 660-699|&lt;74.99%</t>
  </si>
  <si>
    <t>AQ137</t>
  </si>
  <si>
    <t>STD|S|BR|P|24|T2|70.01%-75.00%|FICO 660-699|75.00%-80.00%</t>
  </si>
  <si>
    <t>AR137</t>
  </si>
  <si>
    <t>STD|S|BR|P|12|T2|65.00%-70.00%|FICO 700+|&lt;74.99%</t>
  </si>
  <si>
    <t>C140</t>
  </si>
  <si>
    <t>STD|S|BR|P|12|T2|65.00%-70.00%|FICO 700+|75.00%-80.00%</t>
  </si>
  <si>
    <t>D140</t>
  </si>
  <si>
    <t>STD|S|BR|R|12|T2|65.00%-70.00%|FICO 700+|&lt;74.99%</t>
  </si>
  <si>
    <t>M140</t>
  </si>
  <si>
    <t>STD|S|BR|P|18|T2|65.00%-70.00%|FICO 700+|&lt;74.99%</t>
  </si>
  <si>
    <t>W140</t>
  </si>
  <si>
    <t>STD|S|BR|P|18|T2|65.00%-70.00%|FICO 700+|75.00%-80.00%</t>
  </si>
  <si>
    <t>X140</t>
  </si>
  <si>
    <t>STD|S|BR|R|18|T2|65.00%-70.00%|FICO 700+|&lt;74.99%</t>
  </si>
  <si>
    <t>AG140</t>
  </si>
  <si>
    <t>STD|S|BR|P|24|T2|65.00%-70.00%|FICO 700+|&lt;74.99%</t>
  </si>
  <si>
    <t>AQ140</t>
  </si>
  <si>
    <t>STD|S|BR|P|24|T2|65.00%-70.00%|FICO 700+|75.00%-80.00%</t>
  </si>
  <si>
    <t>AR140</t>
  </si>
  <si>
    <t>STD|S|BR|P|12|T2|65.00%-70.00%|FICO 660-699|&lt;74.99%</t>
  </si>
  <si>
    <t>C141</t>
  </si>
  <si>
    <t>STD|S|BR|P|12|T2|65.00%-70.00%|FICO 660-699|75.00%-80.00%</t>
  </si>
  <si>
    <t>D141</t>
  </si>
  <si>
    <t>STD|S|BR|R|12|T2|65.00%-70.00%|FICO 660-699|&lt;74.99%</t>
  </si>
  <si>
    <t>M141</t>
  </si>
  <si>
    <t>STD|S|BR|P|18|T2|65.00%-70.00%|FICO 660-699|&lt;74.99%</t>
  </si>
  <si>
    <t>W141</t>
  </si>
  <si>
    <t>STD|S|BR|P|18|T2|65.00%-70.00%|FICO 660-699|75.00%-80.00%</t>
  </si>
  <si>
    <t>X141</t>
  </si>
  <si>
    <t>STD|S|BR|R|18|T2|65.00%-70.00%|FICO 660-699|&lt;74.99%</t>
  </si>
  <si>
    <t>AG141</t>
  </si>
  <si>
    <t>STD|S|BR|P|24|T2|65.00%-70.00%|FICO 660-699|&lt;74.99%</t>
  </si>
  <si>
    <t>AQ141</t>
  </si>
  <si>
    <t>STD|S|BR|P|24|T2|65.00%-70.00%|FICO 660-699|75.00%-80.00%</t>
  </si>
  <si>
    <t>AR141</t>
  </si>
  <si>
    <t>STD|S|BR|P|12|T2|&lt;64.99%|FICO 700+|&lt;74.99%</t>
  </si>
  <si>
    <t>C144</t>
  </si>
  <si>
    <t>STD|S|BR|P|12|T2|&lt;64.99%|FICO 700+|75.00%-80.00%</t>
  </si>
  <si>
    <t>D144</t>
  </si>
  <si>
    <t>STD|S|BR|R|12|T2|&lt;64.99%|FICO 700+|&lt;74.99%</t>
  </si>
  <si>
    <t>M144</t>
  </si>
  <si>
    <t>STD|S|BR|P|18|T2|&lt;64.99%|FICO 700+|&lt;74.99%</t>
  </si>
  <si>
    <t>W144</t>
  </si>
  <si>
    <t>STD|S|BR|P|18|T2|&lt;64.99%|FICO 700+|75.00%-80.00%</t>
  </si>
  <si>
    <t>X144</t>
  </si>
  <si>
    <t>STD|S|BR|R|18|T2|&lt;64.99%|FICO 700+|&lt;74.99%</t>
  </si>
  <si>
    <t>AG144</t>
  </si>
  <si>
    <t>STD|S|BR|P|24|T2|&lt;64.99%|FICO 700+|&lt;74.99%</t>
  </si>
  <si>
    <t>AQ144</t>
  </si>
  <si>
    <t>STD|S|BR|P|24|T2|&lt;64.99%|FICO 700+|75.00%-80.00%</t>
  </si>
  <si>
    <t>AR144</t>
  </si>
  <si>
    <t>STD|S|BR|P|12|T2|&lt;64.99%|FICO 660-699|&lt;74.99%</t>
  </si>
  <si>
    <t>C145</t>
  </si>
  <si>
    <t>STD|S|BR|P|12|T2|&lt;64.99%|FICO 660-699|75.00%-80.00%</t>
  </si>
  <si>
    <t>D145</t>
  </si>
  <si>
    <t>STD|S|BR|R|12|T2|&lt;64.99%|FICO 660-699|&lt;74.99%</t>
  </si>
  <si>
    <t>M145</t>
  </si>
  <si>
    <t>STD|S|BR|P|18|T2|&lt;64.99%|FICO 660-699|&lt;74.99%</t>
  </si>
  <si>
    <t>W145</t>
  </si>
  <si>
    <t>STD|S|BR|P|18|T2|&lt;64.99%|FICO 660-699|75.00%-80.00%</t>
  </si>
  <si>
    <t>X145</t>
  </si>
  <si>
    <t>STD|S|BR|R|18|T2|&lt;64.99%|FICO 660-699|&lt;74.99%</t>
  </si>
  <si>
    <t>AG145</t>
  </si>
  <si>
    <t>STD|S|BR|P|24|T2|&lt;64.99%|FICO 660-699|&lt;74.99%</t>
  </si>
  <si>
    <t>AQ145</t>
  </si>
  <si>
    <t>STD|S|BR|P|24|T2|&lt;64.99%|FICO 660-699|75.00%-80.00%</t>
  </si>
  <si>
    <t>AR145</t>
  </si>
  <si>
    <t>STD|S|BR|P|12|T3|70.01%-75.00%|FICO 700+|&lt;74.99%</t>
  </si>
  <si>
    <t>C156</t>
  </si>
  <si>
    <t>STD|S|BR|P|18|T3|70.01%-75.00%|FICO 700+|&lt;74.99%</t>
  </si>
  <si>
    <t>W156</t>
  </si>
  <si>
    <t>STD|S|BR|P|24|T3|70.01%-75.00%|FICO 700+|&lt;74.99%</t>
  </si>
  <si>
    <t>AQ156</t>
  </si>
  <si>
    <t>STD|S|BR|P|12|T3|70.01%-75.00%|FICO 680-699|&lt;74.99%</t>
  </si>
  <si>
    <t>C157</t>
  </si>
  <si>
    <t>STD|S|BR|P|18|T3|70.01%-75.00%|FICO 680-699|&lt;74.99%</t>
  </si>
  <si>
    <t>W157</t>
  </si>
  <si>
    <t>STD|S|BR|P|24|T3|70.01%-75.00%|FICO 680-699|&lt;74.99%</t>
  </si>
  <si>
    <t>AQ157</t>
  </si>
  <si>
    <t>STD|S|BR|P|12|T3|65.00%-70.00%|FICO 700+|&lt;74.99%</t>
  </si>
  <si>
    <t>C160</t>
  </si>
  <si>
    <t>STD|S|BR|P|18|T3|65.00%-70.00%|FICO 700+|&lt;74.99%</t>
  </si>
  <si>
    <t>W160</t>
  </si>
  <si>
    <t>STD|S|BR|P|24|T3|65.00%-70.00%|FICO 700+|&lt;74.99%</t>
  </si>
  <si>
    <t>AQ160</t>
  </si>
  <si>
    <t>STD|S|BR|P|12|T3|65.00%-70.00%|FICO 680-699|&lt;74.99%</t>
  </si>
  <si>
    <t>C161</t>
  </si>
  <si>
    <t>STD|S|BR|P|18|T3|65.00%-70.00%|FICO 680-699|&lt;74.99%</t>
  </si>
  <si>
    <t>W161</t>
  </si>
  <si>
    <t>STD|S|BR|P|24|T3|65.00%-70.00%|FICO 680-699|&lt;74.99%</t>
  </si>
  <si>
    <t>AQ161</t>
  </si>
  <si>
    <t>STD|S|BR|P|12|T3|&lt;64.99%|FICO 700+|&lt;74.99%</t>
  </si>
  <si>
    <t>C164</t>
  </si>
  <si>
    <t>STD|S|BR|R|12|T3|&lt;64.99%|FICO 700+|&lt;74.99%</t>
  </si>
  <si>
    <t>M164</t>
  </si>
  <si>
    <t>STD|S|BR|P|18|T3|&lt;64.99%|FICO 700+|&lt;74.99%</t>
  </si>
  <si>
    <t>W164</t>
  </si>
  <si>
    <t>STD|S|BR|R|18|T3|&lt;64.99%|FICO 700+|&lt;74.99%</t>
  </si>
  <si>
    <t>AG164</t>
  </si>
  <si>
    <t>STD|S|BR|P|24|T3|&lt;64.99%|FICO 700+|&lt;74.99%</t>
  </si>
  <si>
    <t>AQ164</t>
  </si>
  <si>
    <t>STD|S|BR|P|12|T3|&lt;64.99%|FICO 680-699|&lt;74.99%</t>
  </si>
  <si>
    <t>C165</t>
  </si>
  <si>
    <t>STD|S|BR|R|12|T3|&lt;64.99%|FICO 680-699|&lt;74.99%</t>
  </si>
  <si>
    <t>M165</t>
  </si>
  <si>
    <t>STD|S|BR|P|18|T3|&lt;64.99%|FICO 680-699|&lt;74.99%</t>
  </si>
  <si>
    <t>W165</t>
  </si>
  <si>
    <t>STD|S|BR|R|18|T3|&lt;64.99%|FICO 680-699|&lt;74.99%</t>
  </si>
  <si>
    <t>AG165</t>
  </si>
  <si>
    <t>STD|S|BR|P|24|T3|&lt;64.99%|FICO 680-699|&lt;74.99%</t>
  </si>
  <si>
    <t>AQ165</t>
  </si>
  <si>
    <t>STD|L|FF|P|12|T1|70.01%-75.00%|FICO 700+|&lt;74.99%</t>
  </si>
  <si>
    <t>C177</t>
  </si>
  <si>
    <t>STD|L|FF|P|12|T1|70.01%-75.00%|FICO 700+|75.00%-80.00%</t>
  </si>
  <si>
    <t>D177</t>
  </si>
  <si>
    <t>STD|L|FF|P|12|T1|70.01%-75.00%|FICO 700+|80.01%-85.00%</t>
  </si>
  <si>
    <t>E177</t>
  </si>
  <si>
    <t>STD|L|FF|P|12|T1|70.01%-75.00%|FICO 700+|85.01%-87.50%</t>
  </si>
  <si>
    <t>F177</t>
  </si>
  <si>
    <t>STD|L|FF|P|12|T1|70.01%-75.00%|FICO 700+|87.51%-89.99%</t>
  </si>
  <si>
    <t>G177</t>
  </si>
  <si>
    <t>STD|L|FF|P|12|T1|70.01%-75.00%|FICO 700+|90.00%-92.50%</t>
  </si>
  <si>
    <t>H177</t>
  </si>
  <si>
    <t>STD|L|FF|R|12|T1|70.01%-75.00%|FICO 700+|&lt;74.99%</t>
  </si>
  <si>
    <t>M177</t>
  </si>
  <si>
    <t>STD|L|FF|R|12|T1|70.01%-75.00%|FICO 700+|75.00%-80.00%</t>
  </si>
  <si>
    <t>N177</t>
  </si>
  <si>
    <t>STD|L|FF|R|12|T1|70.01%-75.00%|FICO 700+|80.01%-85.00%</t>
  </si>
  <si>
    <t>O177</t>
  </si>
  <si>
    <t>STD|L|FF|P|18|T1|70.01%-75.00%|FICO 700+|&lt;74.99%</t>
  </si>
  <si>
    <t>W177</t>
  </si>
  <si>
    <t>STD|L|FF|P|18|T1|70.01%-75.00%|FICO 700+|75.00%-80.00%</t>
  </si>
  <si>
    <t>X177</t>
  </si>
  <si>
    <t>STD|L|FF|P|18|T1|70.01%-75.00%|FICO 700+|80.01%-85.00%</t>
  </si>
  <si>
    <t>Y177</t>
  </si>
  <si>
    <t>STD|L|FF|P|18|T1|70.01%-75.00%|FICO 700+|85.01%-87.50%</t>
  </si>
  <si>
    <t>Z177</t>
  </si>
  <si>
    <t>STD|L|FF|P|18|T1|70.01%-75.00%|FICO 700+|87.51%-89.99%</t>
  </si>
  <si>
    <t>AA177</t>
  </si>
  <si>
    <t>STD|L|FF|P|18|T1|70.01%-75.00%|FICO 700+|90.00%-92.50%</t>
  </si>
  <si>
    <t>AB177</t>
  </si>
  <si>
    <t>STD|L|FF|R|18|T1|70.01%-75.00%|FICO 700+|&lt;74.99%</t>
  </si>
  <si>
    <t>AG177</t>
  </si>
  <si>
    <t>STD|L|FF|R|18|T1|70.01%-75.00%|FICO 700+|75.00%-80.00%</t>
  </si>
  <si>
    <t>AH177</t>
  </si>
  <si>
    <t>STD|L|FF|R|18|T1|70.01%-75.00%|FICO 700+|80.01%-85.00%</t>
  </si>
  <si>
    <t>AI177</t>
  </si>
  <si>
    <t>STD|L|FF|P|24|T1|70.01%-75.00%|FICO 700+|&lt;74.99%</t>
  </si>
  <si>
    <t>AQ177</t>
  </si>
  <si>
    <t>STD|L|FF|P|24|T1|70.01%-75.00%|FICO 700+|75.00%-80.00%</t>
  </si>
  <si>
    <t>AR177</t>
  </si>
  <si>
    <t>STD|L|FF|P|24|T1|70.01%-75.00%|FICO 700+|80.01%-85.00%</t>
  </si>
  <si>
    <t>AS177</t>
  </si>
  <si>
    <t>STD|L|FF|P|24|T1|70.01%-75.00%|FICO 700+|85.01%-87.50%</t>
  </si>
  <si>
    <t>AT177</t>
  </si>
  <si>
    <t>STD|L|FF|P|24|T1|70.01%-75.00%|FICO 700+|87.51%-89.99%</t>
  </si>
  <si>
    <t>AU177</t>
  </si>
  <si>
    <t>STD|L|FF|P|24|T1|70.01%-75.00%|FICO 700+|90.00%-92.50%</t>
  </si>
  <si>
    <t>AV177</t>
  </si>
  <si>
    <t>STD|L|FF|P|12|T1|70.01%-75.00%|FICO 660-699|&lt;74.99%</t>
  </si>
  <si>
    <t>C178</t>
  </si>
  <si>
    <t>STD|L|FF|P|12|T1|70.01%-75.00%|FICO 660-699|75.00%-80.00%</t>
  </si>
  <si>
    <t>D178</t>
  </si>
  <si>
    <t>STD|L|FF|P|12|T1|70.01%-75.00%|FICO 660-699|80.01%-85.00%</t>
  </si>
  <si>
    <t>E178</t>
  </si>
  <si>
    <t>STD|L|FF|P|12|T1|70.01%-75.00%|FICO 660-699|85.01%-87.50%</t>
  </si>
  <si>
    <t>F178</t>
  </si>
  <si>
    <t>STD|L|FF|P|12|T1|70.01%-75.00%|FICO 660-699|87.51%-89.99%</t>
  </si>
  <si>
    <t>G178</t>
  </si>
  <si>
    <t>STD|L|FF|R|12|T1|70.01%-75.00%|FICO 660-699|&lt;74.99%</t>
  </si>
  <si>
    <t>M178</t>
  </si>
  <si>
    <t>STD|L|FF|R|12|T1|70.01%-75.00%|FICO 660-699|75.00%-80.00%</t>
  </si>
  <si>
    <t>N178</t>
  </si>
  <si>
    <t>STD|L|FF|R|12|T1|70.01%-75.00%|FICO 660-699|80.01%-85.00%</t>
  </si>
  <si>
    <t>O178</t>
  </si>
  <si>
    <t>STD|L|FF|P|18|T1|70.01%-75.00%|FICO 660-699|&lt;74.99%</t>
  </si>
  <si>
    <t>W178</t>
  </si>
  <si>
    <t>STD|L|FF|P|18|T1|70.01%-75.00%|FICO 660-699|75.00%-80.00%</t>
  </si>
  <si>
    <t>X178</t>
  </si>
  <si>
    <t>STD|L|FF|P|18|T1|70.01%-75.00%|FICO 660-699|80.01%-85.00%</t>
  </si>
  <si>
    <t>Y178</t>
  </si>
  <si>
    <t>STD|L|FF|P|18|T1|70.01%-75.00%|FICO 660-699|85.01%-87.50%</t>
  </si>
  <si>
    <t>Z178</t>
  </si>
  <si>
    <t>STD|L|FF|P|18|T1|70.01%-75.00%|FICO 660-699|87.51%-89.99%</t>
  </si>
  <si>
    <t>AA178</t>
  </si>
  <si>
    <t>STD|L|FF|R|18|T1|70.01%-75.00%|FICO 660-699|&lt;74.99%</t>
  </si>
  <si>
    <t>AG178</t>
  </si>
  <si>
    <t>STD|L|FF|R|18|T1|70.01%-75.00%|FICO 660-699|75.00%-80.00%</t>
  </si>
  <si>
    <t>AH178</t>
  </si>
  <si>
    <t>STD|L|FF|R|18|T1|70.01%-75.00%|FICO 660-699|80.01%-85.00%</t>
  </si>
  <si>
    <t>AI178</t>
  </si>
  <si>
    <t>STD|L|FF|P|24|T1|70.01%-75.00%|FICO 660-699|&lt;74.99%</t>
  </si>
  <si>
    <t>AQ178</t>
  </si>
  <si>
    <t>STD|L|FF|P|24|T1|70.01%-75.00%|FICO 660-699|75.00%-80.00%</t>
  </si>
  <si>
    <t>AR178</t>
  </si>
  <si>
    <t>STD|L|FF|P|24|T1|70.01%-75.00%|FICO 660-699|80.01%-85.00%</t>
  </si>
  <si>
    <t>AS178</t>
  </si>
  <si>
    <t>STD|L|FF|P|24|T1|70.01%-75.00%|FICO 660-699|85.01%-87.50%</t>
  </si>
  <si>
    <t>AT178</t>
  </si>
  <si>
    <t>STD|L|FF|P|24|T1|70.01%-75.00%|FICO 660-699|87.51%-89.99%</t>
  </si>
  <si>
    <t>AU178</t>
  </si>
  <si>
    <t>STD|L|FF|P|12|T1|65.00%-70.00%|FICO 700+|&lt;74.99%</t>
  </si>
  <si>
    <t>C181</t>
  </si>
  <si>
    <t>STD|L|FF|P|12|T1|65.00%-70.00%|FICO 700+|75.00%-80.00%</t>
  </si>
  <si>
    <t>D181</t>
  </si>
  <si>
    <t>STD|L|FF|P|12|T1|65.00%-70.00%|FICO 700+|80.01%-85.00%</t>
  </si>
  <si>
    <t>E181</t>
  </si>
  <si>
    <t>STD|L|FF|P|12|T1|65.00%-70.00%|FICO 700+|85.01%-87.50%</t>
  </si>
  <si>
    <t>F181</t>
  </si>
  <si>
    <t>STD|L|FF|P|12|T1|65.00%-70.00%|FICO 700+|87.51%-89.99%</t>
  </si>
  <si>
    <t>G181</t>
  </si>
  <si>
    <t>STD|L|FF|P|12|T1|65.00%-70.00%|FICO 700+|90.00%-92.50%</t>
  </si>
  <si>
    <t>H181</t>
  </si>
  <si>
    <t>STD|L|FF|R|12|T1|65.00%-70.00%|FICO 700+|&lt;74.99%</t>
  </si>
  <si>
    <t>M181</t>
  </si>
  <si>
    <t>STD|L|FF|R|12|T1|65.00%-70.00%|FICO 700+|75.00%-80.00%</t>
  </si>
  <si>
    <t>N181</t>
  </si>
  <si>
    <t>STD|L|FF|R|12|T1|65.00%-70.00%|FICO 700+|80.01%-85.00%</t>
  </si>
  <si>
    <t>O181</t>
  </si>
  <si>
    <t>STD|L|FF|P|18|T1|65.00%-70.00%|FICO 700+|&lt;74.99%</t>
  </si>
  <si>
    <t>W181</t>
  </si>
  <si>
    <t>STD|L|FF|P|18|T1|65.00%-70.00%|FICO 700+|75.00%-80.00%</t>
  </si>
  <si>
    <t>X181</t>
  </si>
  <si>
    <t>STD|L|FF|P|18|T1|65.00%-70.00%|FICO 700+|80.01%-85.00%</t>
  </si>
  <si>
    <t>Y181</t>
  </si>
  <si>
    <t>STD|L|FF|P|18|T1|65.00%-70.00%|FICO 700+|85.01%-87.50%</t>
  </si>
  <si>
    <t>Z181</t>
  </si>
  <si>
    <t>STD|L|FF|P|18|T1|65.00%-70.00%|FICO 700+|87.51%-89.99%</t>
  </si>
  <si>
    <t>AA181</t>
  </si>
  <si>
    <t>STD|L|FF|P|18|T1|65.00%-70.00%|FICO 700+|90.00%-92.50%</t>
  </si>
  <si>
    <t>AB181</t>
  </si>
  <si>
    <t>STD|L|FF|R|18|T1|65.00%-70.00%|FICO 700+|&lt;74.99%</t>
  </si>
  <si>
    <t>AG181</t>
  </si>
  <si>
    <t>STD|L|FF|R|18|T1|65.00%-70.00%|FICO 700+|75.00%-80.00%</t>
  </si>
  <si>
    <t>AH181</t>
  </si>
  <si>
    <t>STD|L|FF|R|18|T1|65.00%-70.00%|FICO 700+|80.01%-85.00%</t>
  </si>
  <si>
    <t>AI181</t>
  </si>
  <si>
    <t>STD|L|FF|P|24|T1|65.00%-70.00%|FICO 700+|&lt;74.99%</t>
  </si>
  <si>
    <t>AQ181</t>
  </si>
  <si>
    <t>STD|L|FF|P|24|T1|65.00%-70.00%|FICO 700+|75.00%-80.00%</t>
  </si>
  <si>
    <t>AR181</t>
  </si>
  <si>
    <t>STD|L|FF|P|24|T1|65.00%-70.00%|FICO 700+|80.01%-85.00%</t>
  </si>
  <si>
    <t>AS181</t>
  </si>
  <si>
    <t>STD|L|FF|P|24|T1|65.00%-70.00%|FICO 700+|85.01%-87.50%</t>
  </si>
  <si>
    <t>AT181</t>
  </si>
  <si>
    <t>STD|L|FF|P|24|T1|65.00%-70.00%|FICO 700+|87.51%-89.99%</t>
  </si>
  <si>
    <t>AU181</t>
  </si>
  <si>
    <t>STD|L|FF|P|24|T1|65.00%-70.00%|FICO 700+|90.00%-92.50%</t>
  </si>
  <si>
    <t>AV181</t>
  </si>
  <si>
    <t>STD|L|FF|P|12|T1|65.00%-70.00%|FICO 660-699|&lt;74.99%</t>
  </si>
  <si>
    <t>C182</t>
  </si>
  <si>
    <t>STD|L|FF|P|12|T1|65.00%-70.00%|FICO 660-699|75.00%-80.00%</t>
  </si>
  <si>
    <t>D182</t>
  </si>
  <si>
    <t>STD|L|FF|P|12|T1|65.00%-70.00%|FICO 660-699|80.01%-85.00%</t>
  </si>
  <si>
    <t>E182</t>
  </si>
  <si>
    <t>STD|L|FF|P|12|T1|65.00%-70.00%|FICO 660-699|85.01%-87.50%</t>
  </si>
  <si>
    <t>F182</t>
  </si>
  <si>
    <t>STD|L|FF|P|12|T1|65.00%-70.00%|FICO 660-699|87.51%-89.99%</t>
  </si>
  <si>
    <t>G182</t>
  </si>
  <si>
    <t>STD|L|FF|R|12|T1|65.00%-70.00%|FICO 660-699|&lt;74.99%</t>
  </si>
  <si>
    <t>M182</t>
  </si>
  <si>
    <t>STD|L|FF|R|12|T1|65.00%-70.00%|FICO 660-699|75.00%-80.00%</t>
  </si>
  <si>
    <t>N182</t>
  </si>
  <si>
    <t>STD|L|FF|R|12|T1|65.00%-70.00%|FICO 660-699|80.01%-85.00%</t>
  </si>
  <si>
    <t>O182</t>
  </si>
  <si>
    <t>STD|L|FF|P|18|T1|65.00%-70.00%|FICO 660-699|&lt;74.99%</t>
  </si>
  <si>
    <t>W182</t>
  </si>
  <si>
    <t>STD|L|FF|P|18|T1|65.00%-70.00%|FICO 660-699|75.00%-80.00%</t>
  </si>
  <si>
    <t>X182</t>
  </si>
  <si>
    <t>STD|L|FF|P|18|T1|65.00%-70.00%|FICO 660-699|80.01%-85.00%</t>
  </si>
  <si>
    <t>Y182</t>
  </si>
  <si>
    <t>STD|L|FF|P|18|T1|65.00%-70.00%|FICO 660-699|85.01%-87.50%</t>
  </si>
  <si>
    <t>Z182</t>
  </si>
  <si>
    <t>STD|L|FF|P|18|T1|65.00%-70.00%|FICO 660-699|87.51%-89.99%</t>
  </si>
  <si>
    <t>AA182</t>
  </si>
  <si>
    <t>STD|L|FF|R|18|T1|65.00%-70.00%|FICO 660-699|&lt;74.99%</t>
  </si>
  <si>
    <t>AG182</t>
  </si>
  <si>
    <t>STD|L|FF|R|18|T1|65.00%-70.00%|FICO 660-699|75.00%-80.00%</t>
  </si>
  <si>
    <t>AH182</t>
  </si>
  <si>
    <t>STD|L|FF|R|18|T1|65.00%-70.00%|FICO 660-699|80.01%-85.00%</t>
  </si>
  <si>
    <t>AI182</t>
  </si>
  <si>
    <t>STD|L|FF|P|24|T1|65.00%-70.00%|FICO 660-699|&lt;74.99%</t>
  </si>
  <si>
    <t>AQ182</t>
  </si>
  <si>
    <t>STD|L|FF|P|24|T1|65.00%-70.00%|FICO 660-699|75.00%-80.00%</t>
  </si>
  <si>
    <t>AR182</t>
  </si>
  <si>
    <t>STD|L|FF|P|24|T1|65.00%-70.00%|FICO 660-699|80.01%-85.00%</t>
  </si>
  <si>
    <t>AS182</t>
  </si>
  <si>
    <t>STD|L|FF|P|24|T1|65.00%-70.00%|FICO 660-699|85.01%-87.50%</t>
  </si>
  <si>
    <t>AT182</t>
  </si>
  <si>
    <t>STD|L|FF|P|24|T1|65.00%-70.00%|FICO 660-699|87.51%-89.99%</t>
  </si>
  <si>
    <t>AU182</t>
  </si>
  <si>
    <t>STD|L|FF|P|12|T1|&lt;64.99%|FICO 700+|&lt;74.99%</t>
  </si>
  <si>
    <t>C185</t>
  </si>
  <si>
    <t>STD|L|FF|P|12|T1|&lt;64.99%|FICO 700+|75.00%-80.00%</t>
  </si>
  <si>
    <t>D185</t>
  </si>
  <si>
    <t>STD|L|FF|P|12|T1|&lt;64.99%|FICO 700+|80.01%-85.00%</t>
  </si>
  <si>
    <t>E185</t>
  </si>
  <si>
    <t>STD|L|FF|P|12|T1|&lt;64.99%|FICO 700+|85.01%-87.50%</t>
  </si>
  <si>
    <t>F185</t>
  </si>
  <si>
    <t>STD|L|FF|P|12|T1|&lt;64.99%|FICO 700+|87.51%-89.99%</t>
  </si>
  <si>
    <t>G185</t>
  </si>
  <si>
    <t>STD|L|FF|P|12|T1|&lt;64.99%|FICO 700+|90.00%-92.50%</t>
  </si>
  <si>
    <t>H185</t>
  </si>
  <si>
    <t>STD|L|FF|R|12|T1|&lt;64.99%|FICO 700+|&lt;74.99%</t>
  </si>
  <si>
    <t>M185</t>
  </si>
  <si>
    <t>STD|L|FF|R|12|T1|&lt;64.99%|FICO 700+|75.00%-80.00%</t>
  </si>
  <si>
    <t>N185</t>
  </si>
  <si>
    <t>STD|L|FF|R|12|T1|&lt;64.99%|FICO 700+|80.01%-85.00%</t>
  </si>
  <si>
    <t>O185</t>
  </si>
  <si>
    <t>STD|L|FF|P|18|T1|&lt;64.99%|FICO 700+|&lt;74.99%</t>
  </si>
  <si>
    <t>W185</t>
  </si>
  <si>
    <t>STD|L|FF|P|18|T1|&lt;64.99%|FICO 700+|75.00%-80.00%</t>
  </si>
  <si>
    <t>X185</t>
  </si>
  <si>
    <t>STD|L|FF|P|18|T1|&lt;64.99%|FICO 700+|80.01%-85.00%</t>
  </si>
  <si>
    <t>Y185</t>
  </si>
  <si>
    <t>STD|L|FF|P|18|T1|&lt;64.99%|FICO 700+|85.01%-87.50%</t>
  </si>
  <si>
    <t>Z185</t>
  </si>
  <si>
    <t>STD|L|FF|P|18|T1|&lt;64.99%|FICO 700+|87.51%-89.99%</t>
  </si>
  <si>
    <t>AA185</t>
  </si>
  <si>
    <t>STD|L|FF|P|18|T1|&lt;64.99%|FICO 700+|90.00%-92.50%</t>
  </si>
  <si>
    <t>AB185</t>
  </si>
  <si>
    <t>STD|L|FF|R|18|T1|&lt;64.99%|FICO 700+|&lt;74.99%</t>
  </si>
  <si>
    <t>AG185</t>
  </si>
  <si>
    <t>STD|L|FF|R|18|T1|&lt;64.99%|FICO 700+|75.00%-80.00%</t>
  </si>
  <si>
    <t>AH185</t>
  </si>
  <si>
    <t>STD|L|FF|R|18|T1|&lt;64.99%|FICO 700+|80.01%-85.00%</t>
  </si>
  <si>
    <t>AI185</t>
  </si>
  <si>
    <t>STD|L|FF|P|24|T1|&lt;64.99%|FICO 700+|&lt;74.99%</t>
  </si>
  <si>
    <t>AQ185</t>
  </si>
  <si>
    <t>STD|L|FF|P|24|T1|&lt;64.99%|FICO 700+|75.00%-80.00%</t>
  </si>
  <si>
    <t>AR185</t>
  </si>
  <si>
    <t>STD|L|FF|P|24|T1|&lt;64.99%|FICO 700+|80.01%-85.00%</t>
  </si>
  <si>
    <t>AS185</t>
  </si>
  <si>
    <t>STD|L|FF|P|24|T1|&lt;64.99%|FICO 700+|85.01%-87.50%</t>
  </si>
  <si>
    <t>AT185</t>
  </si>
  <si>
    <t>STD|L|FF|P|24|T1|&lt;64.99%|FICO 700+|87.51%-89.99%</t>
  </si>
  <si>
    <t>AU185</t>
  </si>
  <si>
    <t>STD|L|FF|P|24|T1|&lt;64.99%|FICO 700+|90.00%-92.50%</t>
  </si>
  <si>
    <t>AV185</t>
  </si>
  <si>
    <t>STD|L|FF|P|12|T1|&lt;64.99%|FICO 660-699|&lt;74.99%</t>
  </si>
  <si>
    <t>C186</t>
  </si>
  <si>
    <t>STD|L|FF|P|12|T1|&lt;64.99%|FICO 660-699|75.00%-80.00%</t>
  </si>
  <si>
    <t>D186</t>
  </si>
  <si>
    <t>STD|L|FF|P|12|T1|&lt;64.99%|FICO 660-699|80.01%-85.00%</t>
  </si>
  <si>
    <t>E186</t>
  </si>
  <si>
    <t>STD|L|FF|P|12|T1|&lt;64.99%|FICO 660-699|85.01%-87.50%</t>
  </si>
  <si>
    <t>F186</t>
  </si>
  <si>
    <t>STD|L|FF|P|12|T1|&lt;64.99%|FICO 660-699|87.51%-89.99%</t>
  </si>
  <si>
    <t>G186</t>
  </si>
  <si>
    <t>STD|L|FF|P|12|T1|&lt;64.99%|FICO 660-699|90.00%-92.50%</t>
  </si>
  <si>
    <t>H186</t>
  </si>
  <si>
    <t>STD|L|FF|R|12|T1|&lt;64.99%|FICO 660-699|&lt;74.99%</t>
  </si>
  <si>
    <t>M186</t>
  </si>
  <si>
    <t>STD|L|FF|R|12|T1|&lt;64.99%|FICO 660-699|75.00%-80.00%</t>
  </si>
  <si>
    <t>N186</t>
  </si>
  <si>
    <t>STD|L|FF|R|12|T1|&lt;64.99%|FICO 660-699|80.01%-85.00%</t>
  </si>
  <si>
    <t>O186</t>
  </si>
  <si>
    <t>STD|L|FF|P|18|T1|&lt;64.99%|FICO 660-699|&lt;74.99%</t>
  </si>
  <si>
    <t>W186</t>
  </si>
  <si>
    <t>STD|L|FF|P|18|T1|&lt;64.99%|FICO 660-699|75.00%-80.00%</t>
  </si>
  <si>
    <t>X186</t>
  </si>
  <si>
    <t>STD|L|FF|P|18|T1|&lt;64.99%|FICO 660-699|80.01%-85.00%</t>
  </si>
  <si>
    <t>Y186</t>
  </si>
  <si>
    <t>STD|L|FF|P|18|T1|&lt;64.99%|FICO 660-699|85.01%-87.50%</t>
  </si>
  <si>
    <t>Z186</t>
  </si>
  <si>
    <t>STD|L|FF|P|18|T1|&lt;64.99%|FICO 660-699|87.51%-89.99%</t>
  </si>
  <si>
    <t>AA186</t>
  </si>
  <si>
    <t>STD|L|FF|P|18|T1|&lt;64.99%|FICO 660-699|90.00%-92.50%</t>
  </si>
  <si>
    <t>AB186</t>
  </si>
  <si>
    <t>STD|L|FF|R|18|T1|&lt;64.99%|FICO 660-699|&lt;74.99%</t>
  </si>
  <si>
    <t>AG186</t>
  </si>
  <si>
    <t>STD|L|FF|R|18|T1|&lt;64.99%|FICO 660-699|75.00%-80.00%</t>
  </si>
  <si>
    <t>AH186</t>
  </si>
  <si>
    <t>STD|L|FF|R|18|T1|&lt;64.99%|FICO 660-699|80.01%-85.00%</t>
  </si>
  <si>
    <t>AI186</t>
  </si>
  <si>
    <t>STD|L|FF|P|24|T1|&lt;64.99%|FICO 660-699|&lt;74.99%</t>
  </si>
  <si>
    <t>AQ186</t>
  </si>
  <si>
    <t>STD|L|FF|P|24|T1|&lt;64.99%|FICO 660-699|75.00%-80.00%</t>
  </si>
  <si>
    <t>AR186</t>
  </si>
  <si>
    <t>STD|L|FF|P|24|T1|&lt;64.99%|FICO 660-699|80.01%-85.00%</t>
  </si>
  <si>
    <t>AS186</t>
  </si>
  <si>
    <t>STD|L|FF|P|24|T1|&lt;64.99%|FICO 660-699|85.01%-87.50%</t>
  </si>
  <si>
    <t>AT186</t>
  </si>
  <si>
    <t>STD|L|FF|P|24|T1|&lt;64.99%|FICO 660-699|87.51%-89.99%</t>
  </si>
  <si>
    <t>AU186</t>
  </si>
  <si>
    <t>STD|L|FF|P|24|T1|&lt;64.99%|FICO 660-699|90.00%-92.50%</t>
  </si>
  <si>
    <t>AV186</t>
  </si>
  <si>
    <t>STD|L|FF|P|12|T2|65.00%-70.00%|FICO 700+|&lt;74.99%</t>
  </si>
  <si>
    <t>C197</t>
  </si>
  <si>
    <t>STD|L|FF|P|12|T2|65.00%-70.00%|FICO 700+|75.00%-80.00%</t>
  </si>
  <si>
    <t>D197</t>
  </si>
  <si>
    <t>STD|L|FF|P|12|T2|65.00%-70.00%|FICO 700+|80.01%-85.00%</t>
  </si>
  <si>
    <t>E197</t>
  </si>
  <si>
    <t>STD|L|FF|P|12|T2|65.00%-70.00%|FICO 700+|85.01%-87.50%</t>
  </si>
  <si>
    <t>F197</t>
  </si>
  <si>
    <t>STD|L|FF|P|12|T2|65.00%-70.00%|FICO 700+|87.51%-89.99%</t>
  </si>
  <si>
    <t>G197</t>
  </si>
  <si>
    <t>STD|L|FF|P|12|T2|65.00%-70.00%|FICO 700+|90.00%-92.50%</t>
  </si>
  <si>
    <t>H197</t>
  </si>
  <si>
    <t>STD|L|FF|R|12|T2|65.00%-70.00%|FICO 700+|&lt;74.99%</t>
  </si>
  <si>
    <t>M197</t>
  </si>
  <si>
    <t>STD|L|FF|R|12|T2|65.00%-70.00%|FICO 700+|75.00%-80.00%</t>
  </si>
  <si>
    <t>N197</t>
  </si>
  <si>
    <t>STD|L|FF|P|18|T2|65.00%-70.00%|FICO 700+|&lt;74.99%</t>
  </si>
  <si>
    <t>W197</t>
  </si>
  <si>
    <t>STD|L|FF|P|18|T2|65.00%-70.00%|FICO 700+|75.00%-80.00%</t>
  </si>
  <si>
    <t>X197</t>
  </si>
  <si>
    <t>STD|L|FF|P|18|T2|65.00%-70.00%|FICO 700+|80.01%-85.00%</t>
  </si>
  <si>
    <t>Y197</t>
  </si>
  <si>
    <t>STD|L|FF|P|18|T2|65.00%-70.00%|FICO 700+|85.01%-87.50%</t>
  </si>
  <si>
    <t>Z197</t>
  </si>
  <si>
    <t>STD|L|FF|P|18|T2|65.00%-70.00%|FICO 700+|87.51%-89.99%</t>
  </si>
  <si>
    <t>AA197</t>
  </si>
  <si>
    <t>STD|L|FF|P|18|T2|65.00%-70.00%|FICO 700+|90.00%-92.50%</t>
  </si>
  <si>
    <t>AB197</t>
  </si>
  <si>
    <t>STD|L|FF|P|24|T2|65.00%-70.00%|FICO 700+|&lt;74.99%</t>
  </si>
  <si>
    <t>AQ197</t>
  </si>
  <si>
    <t>STD|L|FF|P|24|T2|65.00%-70.00%|FICO 700+|75.00%-80.00%</t>
  </si>
  <si>
    <t>AR197</t>
  </si>
  <si>
    <t>STD|L|FF|P|24|T2|65.00%-70.00%|FICO 700+|80.01%-85.00%</t>
  </si>
  <si>
    <t>AS197</t>
  </si>
  <si>
    <t>STD|L|FF|P|24|T2|65.00%-70.00%|FICO 700+|85.01%-87.50%</t>
  </si>
  <si>
    <t>AT197</t>
  </si>
  <si>
    <t>STD|L|FF|P|24|T2|65.00%-70.00%|FICO 700+|87.51%-89.99%</t>
  </si>
  <si>
    <t>AU197</t>
  </si>
  <si>
    <t>STD|L|FF|P|24|T2|65.00%-70.00%|FICO 700+|90.00%-92.50%</t>
  </si>
  <si>
    <t>AV197</t>
  </si>
  <si>
    <t>STD|L|FF|P|12|T2|65.00%-70.00%|FICO 660-699|&lt;74.99%</t>
  </si>
  <si>
    <t>C198</t>
  </si>
  <si>
    <t>STD|L|FF|P|12|T2|65.00%-70.00%|FICO 660-699|75.00%-80.00%</t>
  </si>
  <si>
    <t>D198</t>
  </si>
  <si>
    <t>STD|L|FF|P|12|T2|65.00%-70.00%|FICO 660-699|80.01%-85.00%</t>
  </si>
  <si>
    <t>E198</t>
  </si>
  <si>
    <t>STD|L|FF|P|12|T2|65.00%-70.00%|FICO 660-699|85.01%-87.50%</t>
  </si>
  <si>
    <t>F198</t>
  </si>
  <si>
    <t>STD|L|FF|P|12|T2|65.00%-70.00%|FICO 660-699|87.51%-89.99%</t>
  </si>
  <si>
    <t>G198</t>
  </si>
  <si>
    <t>STD|L|FF|R|12|T2|65.00%-70.00%|FICO 660-699|&lt;74.99%</t>
  </si>
  <si>
    <t>M198</t>
  </si>
  <si>
    <t>STD|L|FF|R|12|T2|65.00%-70.00%|FICO 660-699|75.00%-80.00%</t>
  </si>
  <si>
    <t>N198</t>
  </si>
  <si>
    <t>STD|L|FF|P|18|T2|65.00%-70.00%|FICO 660-699|&lt;74.99%</t>
  </si>
  <si>
    <t>W198</t>
  </si>
  <si>
    <t>STD|L|FF|P|18|T2|65.00%-70.00%|FICO 660-699|75.00%-80.00%</t>
  </si>
  <si>
    <t>X198</t>
  </si>
  <si>
    <t>STD|L|FF|P|18|T2|65.00%-70.00%|FICO 660-699|80.01%-85.00%</t>
  </si>
  <si>
    <t>Y198</t>
  </si>
  <si>
    <t>STD|L|FF|P|18|T2|65.00%-70.00%|FICO 660-699|85.01%-87.50%</t>
  </si>
  <si>
    <t>Z198</t>
  </si>
  <si>
    <t>STD|L|FF|P|18|T2|65.00%-70.00%|FICO 660-699|87.51%-89.99%</t>
  </si>
  <si>
    <t>AA198</t>
  </si>
  <si>
    <t>STD|L|FF|P|24|T2|65.00%-70.00%|FICO 660-699|&lt;74.99%</t>
  </si>
  <si>
    <t>AQ198</t>
  </si>
  <si>
    <t>STD|L|FF|P|24|T2|65.00%-70.00%|FICO 660-699|75.00%-80.00%</t>
  </si>
  <si>
    <t>AR198</t>
  </si>
  <si>
    <t>STD|L|FF|P|24|T2|65.00%-70.00%|FICO 660-699|80.01%-85.00%</t>
  </si>
  <si>
    <t>AS198</t>
  </si>
  <si>
    <t>STD|L|FF|P|24|T2|65.00%-70.00%|FICO 660-699|85.01%-87.50%</t>
  </si>
  <si>
    <t>AT198</t>
  </si>
  <si>
    <t>STD|L|FF|P|24|T2|65.00%-70.00%|FICO 660-699|87.51%-89.99%</t>
  </si>
  <si>
    <t>AU198</t>
  </si>
  <si>
    <t>STD|L|FF|P|12|T2|&lt;64.99%|FICO 700+|&lt;74.99%</t>
  </si>
  <si>
    <t>C201</t>
  </si>
  <si>
    <t>STD|L|FF|P|12|T2|&lt;64.99%|FICO 700+|75.00%-80.00%</t>
  </si>
  <si>
    <t>D201</t>
  </si>
  <si>
    <t>STD|L|FF|P|12|T2|&lt;64.99%|FICO 700+|80.01%-85.00%</t>
  </si>
  <si>
    <t>E201</t>
  </si>
  <si>
    <t>STD|L|FF|P|12|T2|&lt;64.99%|FICO 700+|85.01%-87.50%</t>
  </si>
  <si>
    <t>F201</t>
  </si>
  <si>
    <t>STD|L|FF|P|12|T2|&lt;64.99%|FICO 700+|87.51%-89.99%</t>
  </si>
  <si>
    <t>G201</t>
  </si>
  <si>
    <t>STD|L|FF|P|12|T2|&lt;64.99%|FICO 700+|90.00%-92.50%</t>
  </si>
  <si>
    <t>H201</t>
  </si>
  <si>
    <t>STD|L|FF|R|12|T2|&lt;64.99%|FICO 700+|&lt;74.99%</t>
  </si>
  <si>
    <t>M201</t>
  </si>
  <si>
    <t>STD|L|FF|R|12|T2|&lt;64.99%|FICO 700+|75.00%-80.00%</t>
  </si>
  <si>
    <t>N201</t>
  </si>
  <si>
    <t>STD|L|FF|P|18|T2|&lt;64.99%|FICO 700+|&lt;74.99%</t>
  </si>
  <si>
    <t>W201</t>
  </si>
  <si>
    <t>STD|L|FF|P|18|T2|&lt;64.99%|FICO 700+|75.00%-80.00%</t>
  </si>
  <si>
    <t>X201</t>
  </si>
  <si>
    <t>STD|L|FF|P|18|T2|&lt;64.99%|FICO 700+|80.01%-85.00%</t>
  </si>
  <si>
    <t>Y201</t>
  </si>
  <si>
    <t>STD|L|FF|P|18|T2|&lt;64.99%|FICO 700+|85.01%-87.50%</t>
  </si>
  <si>
    <t>Z201</t>
  </si>
  <si>
    <t>STD|L|FF|P|18|T2|&lt;64.99%|FICO 700+|87.51%-89.99%</t>
  </si>
  <si>
    <t>AA201</t>
  </si>
  <si>
    <t>STD|L|FF|P|18|T2|&lt;64.99%|FICO 700+|90.00%-92.50%</t>
  </si>
  <si>
    <t>AB201</t>
  </si>
  <si>
    <t>STD|L|FF|P|24|T2|&lt;64.99%|FICO 700+|&lt;74.99%</t>
  </si>
  <si>
    <t>AQ201</t>
  </si>
  <si>
    <t>STD|L|FF|P|24|T2|&lt;64.99%|FICO 700+|75.00%-80.00%</t>
  </si>
  <si>
    <t>AR201</t>
  </si>
  <si>
    <t>STD|L|FF|P|24|T2|&lt;64.99%|FICO 700+|80.01%-85.00%</t>
  </si>
  <si>
    <t>AS201</t>
  </si>
  <si>
    <t>STD|L|FF|P|24|T2|&lt;64.99%|FICO 700+|85.01%-87.50%</t>
  </si>
  <si>
    <t>AT201</t>
  </si>
  <si>
    <t>STD|L|FF|P|24|T2|&lt;64.99%|FICO 700+|87.51%-89.99%</t>
  </si>
  <si>
    <t>AU201</t>
  </si>
  <si>
    <t>STD|L|FF|P|24|T2|&lt;64.99%|FICO 700+|90.00%-92.50%</t>
  </si>
  <si>
    <t>AV201</t>
  </si>
  <si>
    <t>STD|L|FF|P|12|T2|&lt;64.99%|FICO 660-699|&lt;74.99%</t>
  </si>
  <si>
    <t>C202</t>
  </si>
  <si>
    <t>STD|L|FF|P|12|T2|&lt;64.99%|FICO 660-699|75.00%-80.00%</t>
  </si>
  <si>
    <t>D202</t>
  </si>
  <si>
    <t>STD|L|FF|P|12|T2|&lt;64.99%|FICO 660-699|80.01%-85.00%</t>
  </si>
  <si>
    <t>E202</t>
  </si>
  <si>
    <t>STD|L|FF|P|12|T2|&lt;64.99%|FICO 660-699|85.01%-87.50%</t>
  </si>
  <si>
    <t>F202</t>
  </si>
  <si>
    <t>STD|L|FF|P|12|T2|&lt;64.99%|FICO 660-699|87.51%-89.99%</t>
  </si>
  <si>
    <t>G202</t>
  </si>
  <si>
    <t>STD|L|FF|P|12|T2|&lt;64.99%|FICO 660-699|90.00%-92.50%</t>
  </si>
  <si>
    <t>H202</t>
  </si>
  <si>
    <t>STD|L|FF|R|12|T2|&lt;64.99%|FICO 660-699|&lt;74.99%</t>
  </si>
  <si>
    <t>M202</t>
  </si>
  <si>
    <t>STD|L|FF|R|12|T2|&lt;64.99%|FICO 660-699|75.00%-80.00%</t>
  </si>
  <si>
    <t>N202</t>
  </si>
  <si>
    <t>STD|L|FF|P|18|T2|&lt;64.99%|FICO 660-699|&lt;74.99%</t>
  </si>
  <si>
    <t>W202</t>
  </si>
  <si>
    <t>STD|L|FF|P|18|T2|&lt;64.99%|FICO 660-699|75.00%-80.00%</t>
  </si>
  <si>
    <t>X202</t>
  </si>
  <si>
    <t>STD|L|FF|P|18|T2|&lt;64.99%|FICO 660-699|80.01%-85.00%</t>
  </si>
  <si>
    <t>Y202</t>
  </si>
  <si>
    <t>STD|L|FF|P|18|T2|&lt;64.99%|FICO 660-699|85.01%-87.50%</t>
  </si>
  <si>
    <t>Z202</t>
  </si>
  <si>
    <t>STD|L|FF|P|18|T2|&lt;64.99%|FICO 660-699|87.51%-89.99%</t>
  </si>
  <si>
    <t>AA202</t>
  </si>
  <si>
    <t>STD|L|FF|P|18|T2|&lt;64.99%|FICO 660-699|90.00%-92.50%</t>
  </si>
  <si>
    <t>AB202</t>
  </si>
  <si>
    <t>STD|L|FF|P|24|T2|&lt;64.99%|FICO 660-699|&lt;74.99%</t>
  </si>
  <si>
    <t>AQ202</t>
  </si>
  <si>
    <t>STD|L|FF|P|24|T2|&lt;64.99%|FICO 660-699|75.00%-80.00%</t>
  </si>
  <si>
    <t>AR202</t>
  </si>
  <si>
    <t>STD|L|FF|P|24|T2|&lt;64.99%|FICO 660-699|80.01%-85.00%</t>
  </si>
  <si>
    <t>AS202</t>
  </si>
  <si>
    <t>STD|L|FF|P|24|T2|&lt;64.99%|FICO 660-699|85.01%-87.50%</t>
  </si>
  <si>
    <t>AT202</t>
  </si>
  <si>
    <t>STD|L|FF|P|24|T2|&lt;64.99%|FICO 660-699|87.51%-89.99%</t>
  </si>
  <si>
    <t>AU202</t>
  </si>
  <si>
    <t>STD|L|FF|P|24|T2|&lt;64.99%|FICO 660-699|90.00%-92.50%</t>
  </si>
  <si>
    <t>AV202</t>
  </si>
  <si>
    <t>STD|L|GUC|P|12|T1|70.01%-75.00%|FICO 700+|&lt;74.99%</t>
  </si>
  <si>
    <t>C228</t>
  </si>
  <si>
    <t>STD|L|GUC|P|12|T1|70.01%-75.00%|FICO 700+|75.00%-80.00%</t>
  </si>
  <si>
    <t>D228</t>
  </si>
  <si>
    <t>STD|L|GUC|P|12|T1|70.01%-75.00%|FICO 700+|80.01%-85.00%</t>
  </si>
  <si>
    <t>E228</t>
  </si>
  <si>
    <t>STD|L|GUC|P|12|T1|70.01%-75.00%|FICO 700+|85.01%-87.50%</t>
  </si>
  <si>
    <t>F228</t>
  </si>
  <si>
    <t>STD|L|GUC|P|12|T1|70.01%-75.00%|FICO 700+|87.51%-89.99%</t>
  </si>
  <si>
    <t>G228</t>
  </si>
  <si>
    <t>STD|L|GUC|P|12|T1|70.01%-75.00%|FICO 700+|90.00%-92.50%</t>
  </si>
  <si>
    <t>H228</t>
  </si>
  <si>
    <t>STD|L|GUC|R|12|T1|70.01%-75.00%|FICO 700+|&lt;74.99%</t>
  </si>
  <si>
    <t>M228</t>
  </si>
  <si>
    <t>STD|L|GUC|R|12|T1|70.01%-75.00%|FICO 700+|75.00%-80.00%</t>
  </si>
  <si>
    <t>N228</t>
  </si>
  <si>
    <t>STD|L|GUC|R|12|T1|70.01%-75.00%|FICO 700+|80.01%-85.00%</t>
  </si>
  <si>
    <t>O228</t>
  </si>
  <si>
    <t>STD|L|GUC|R|12|T1|70.01%-75.00%|FICO 700+|85.01%-87.50%</t>
  </si>
  <si>
    <t>P228</t>
  </si>
  <si>
    <t>STD|L|GUC|R|12|T1|70.01%-75.00%|FICO 700+|87.51%-89.99%</t>
  </si>
  <si>
    <t>Q228</t>
  </si>
  <si>
    <t>STD|L|GUC|R|12|T1|70.01%-75.00%|FICO 700+|90.00%-92.50%</t>
  </si>
  <si>
    <t>R228</t>
  </si>
  <si>
    <t>STD|L|GUC|P|18|T1|70.01%-75.00%|FICO 700+|&lt;74.99%</t>
  </si>
  <si>
    <t>W228</t>
  </si>
  <si>
    <t>STD|L|GUC|P|18|T1|70.01%-75.00%|FICO 700+|75.00%-80.00%</t>
  </si>
  <si>
    <t>X228</t>
  </si>
  <si>
    <t>STD|L|GUC|P|18|T1|70.01%-75.00%|FICO 700+|80.01%-85.00%</t>
  </si>
  <si>
    <t>Y228</t>
  </si>
  <si>
    <t>STD|L|GUC|P|18|T1|70.01%-75.00%|FICO 700+|85.01%-87.50%</t>
  </si>
  <si>
    <t>Z228</t>
  </si>
  <si>
    <t>STD|L|GUC|P|18|T1|70.01%-75.00%|FICO 700+|87.51%-89.99%</t>
  </si>
  <si>
    <t>AA228</t>
  </si>
  <si>
    <t>STD|L|GUC|P|18|T1|70.01%-75.00%|FICO 700+|90.00%-92.50%</t>
  </si>
  <si>
    <t>AB228</t>
  </si>
  <si>
    <t>STD|L|GUC|R|18|T1|70.01%-75.00%|FICO 700+|&lt;74.99%</t>
  </si>
  <si>
    <t>AG228</t>
  </si>
  <si>
    <t>STD|L|GUC|R|18|T1|70.01%-75.00%|FICO 700+|75.00%-80.00%</t>
  </si>
  <si>
    <t>AH228</t>
  </si>
  <si>
    <t>STD|L|GUC|R|18|T1|70.01%-75.00%|FICO 700+|80.01%-85.00%</t>
  </si>
  <si>
    <t>AI228</t>
  </si>
  <si>
    <t>STD|L|GUC|R|18|T1|70.01%-75.00%|FICO 700+|85.01%-87.50%</t>
  </si>
  <si>
    <t>AJ228</t>
  </si>
  <si>
    <t>STD|L|GUC|R|18|T1|70.01%-75.00%|FICO 700+|87.51%-89.99%</t>
  </si>
  <si>
    <t>AK228</t>
  </si>
  <si>
    <t>STD|L|GUC|R|18|T1|70.01%-75.00%|FICO 700+|90.00%-92.50%</t>
  </si>
  <si>
    <t>AL228</t>
  </si>
  <si>
    <t>STD|L|GUC|P|24|T1|70.01%-75.00%|FICO 700+|&lt;74.99%</t>
  </si>
  <si>
    <t>AQ228</t>
  </si>
  <si>
    <t>STD|L|GUC|P|24|T1|70.01%-75.00%|FICO 700+|75.00%-80.00%</t>
  </si>
  <si>
    <t>AR228</t>
  </si>
  <si>
    <t>STD|L|GUC|P|24|T1|70.01%-75.00%|FICO 700+|80.01%-85.00%</t>
  </si>
  <si>
    <t>AS228</t>
  </si>
  <si>
    <t>STD|L|GUC|P|24|T1|70.01%-75.00%|FICO 700+|85.01%-87.50%</t>
  </si>
  <si>
    <t>AT228</t>
  </si>
  <si>
    <t>STD|L|GUC|P|24|T1|70.01%-75.00%|FICO 700+|87.51%-89.99%</t>
  </si>
  <si>
    <t>AU228</t>
  </si>
  <si>
    <t>STD|L|GUC|P|24|T1|70.01%-75.00%|FICO 700+|90.00%-92.50%</t>
  </si>
  <si>
    <t>AV228</t>
  </si>
  <si>
    <t>STD|L|GUC|P|12|T1|70.01%-75.00%|FICO 660-699|&lt;74.99%</t>
  </si>
  <si>
    <t>C229</t>
  </si>
  <si>
    <t>STD|L|GUC|P|12|T1|70.01%-75.00%|FICO 660-699|75.00%-80.00%</t>
  </si>
  <si>
    <t>D229</t>
  </si>
  <si>
    <t>STD|L|GUC|P|12|T1|70.01%-75.00%|FICO 660-699|80.01%-85.00%</t>
  </si>
  <si>
    <t>E229</t>
  </si>
  <si>
    <t>STD|L|GUC|P|12|T1|70.01%-75.00%|FICO 660-699|85.01%-87.50%</t>
  </si>
  <si>
    <t>F229</t>
  </si>
  <si>
    <t>STD|L|GUC|P|12|T1|70.01%-75.00%|FICO 660-699|87.51%-89.99%</t>
  </si>
  <si>
    <t>G229</t>
  </si>
  <si>
    <t>STD|L|GUC|R|12|T1|70.01%-75.00%|FICO 660-699|&lt;74.99%</t>
  </si>
  <si>
    <t>M229</t>
  </si>
  <si>
    <t>STD|L|GUC|R|12|T1|70.01%-75.00%|FICO 660-699|75.00%-80.00%</t>
  </si>
  <si>
    <t>N229</t>
  </si>
  <si>
    <t>STD|L|GUC|R|12|T1|70.01%-75.00%|FICO 660-699|80.01%-85.00%</t>
  </si>
  <si>
    <t>O229</t>
  </si>
  <si>
    <t>STD|L|GUC|R|12|T1|70.01%-75.00%|FICO 660-699|85.01%-87.50%</t>
  </si>
  <si>
    <t>P229</t>
  </si>
  <si>
    <t>STD|L|GUC|R|12|T1|70.01%-75.00%|FICO 660-699|87.51%-89.99%</t>
  </si>
  <si>
    <t>Q229</t>
  </si>
  <si>
    <t>STD|L|GUC|P|18|T1|70.01%-75.00%|FICO 660-699|&lt;74.99%</t>
  </si>
  <si>
    <t>W229</t>
  </si>
  <si>
    <t>STD|L|GUC|P|18|T1|70.01%-75.00%|FICO 660-699|75.00%-80.00%</t>
  </si>
  <si>
    <t>X229</t>
  </si>
  <si>
    <t>STD|L|GUC|P|18|T1|70.01%-75.00%|FICO 660-699|80.01%-85.00%</t>
  </si>
  <si>
    <t>Y229</t>
  </si>
  <si>
    <t>STD|L|GUC|P|18|T1|70.01%-75.00%|FICO 660-699|85.01%-87.50%</t>
  </si>
  <si>
    <t>Z229</t>
  </si>
  <si>
    <t>STD|L|GUC|P|18|T1|70.01%-75.00%|FICO 660-699|87.51%-89.99%</t>
  </si>
  <si>
    <t>AA229</t>
  </si>
  <si>
    <t>STD|L|GUC|R|18|T1|70.01%-75.00%|FICO 660-699|&lt;74.99%</t>
  </si>
  <si>
    <t>AG229</t>
  </si>
  <si>
    <t>STD|L|GUC|R|18|T1|70.01%-75.00%|FICO 660-699|75.00%-80.00%</t>
  </si>
  <si>
    <t>AH229</t>
  </si>
  <si>
    <t>STD|L|GUC|R|18|T1|70.01%-75.00%|FICO 660-699|80.01%-85.00%</t>
  </si>
  <si>
    <t>AI229</t>
  </si>
  <si>
    <t>STD|L|GUC|R|18|T1|70.01%-75.00%|FICO 660-699|85.01%-87.50%</t>
  </si>
  <si>
    <t>AJ229</t>
  </si>
  <si>
    <t>STD|L|GUC|R|18|T1|70.01%-75.00%|FICO 660-699|87.51%-89.99%</t>
  </si>
  <si>
    <t>AK229</t>
  </si>
  <si>
    <t>STD|L|GUC|P|24|T1|70.01%-75.00%|FICO 660-699|&lt;74.99%</t>
  </si>
  <si>
    <t>AQ229</t>
  </si>
  <si>
    <t>STD|L|GUC|P|24|T1|70.01%-75.00%|FICO 660-699|75.00%-80.00%</t>
  </si>
  <si>
    <t>AR229</t>
  </si>
  <si>
    <t>STD|L|GUC|P|24|T1|70.01%-75.00%|FICO 660-699|80.01%-85.00%</t>
  </si>
  <si>
    <t>AS229</t>
  </si>
  <si>
    <t>STD|L|GUC|P|24|T1|70.01%-75.00%|FICO 660-699|85.01%-87.50%</t>
  </si>
  <si>
    <t>AT229</t>
  </si>
  <si>
    <t>STD|L|GUC|P|24|T1|70.01%-75.00%|FICO 660-699|87.51%-89.99%</t>
  </si>
  <si>
    <t>AU229</t>
  </si>
  <si>
    <t>STD|L|GUC|P|12|T1|65.00%-70.00%|FICO 700+|&lt;74.99%</t>
  </si>
  <si>
    <t>C232</t>
  </si>
  <si>
    <t>STD|L|GUC|P|12|T1|65.00%-70.00%|FICO 700+|75.00%-80.00%</t>
  </si>
  <si>
    <t>D232</t>
  </si>
  <si>
    <t>STD|L|GUC|P|12|T1|65.00%-70.00%|FICO 700+|80.01%-85.00%</t>
  </si>
  <si>
    <t>E232</t>
  </si>
  <si>
    <t>STD|L|GUC|P|12|T1|65.00%-70.00%|FICO 700+|85.01%-87.50%</t>
  </si>
  <si>
    <t>F232</t>
  </si>
  <si>
    <t>STD|L|GUC|P|12|T1|65.00%-70.00%|FICO 700+|87.51%-89.99%</t>
  </si>
  <si>
    <t>G232</t>
  </si>
  <si>
    <t>STD|L|GUC|P|12|T1|65.00%-70.00%|FICO 700+|90.00%-92.50%</t>
  </si>
  <si>
    <t>H232</t>
  </si>
  <si>
    <t>STD|L|GUC|R|12|T1|65.00%-70.00%|FICO 700+|&lt;74.99%</t>
  </si>
  <si>
    <t>M232</t>
  </si>
  <si>
    <t>STD|L|GUC|R|12|T1|65.00%-70.00%|FICO 700+|75.00%-80.00%</t>
  </si>
  <si>
    <t>N232</t>
  </si>
  <si>
    <t>STD|L|GUC|R|12|T1|65.00%-70.00%|FICO 700+|80.01%-85.00%</t>
  </si>
  <si>
    <t>O232</t>
  </si>
  <si>
    <t>STD|L|GUC|R|12|T1|65.00%-70.00%|FICO 700+|85.01%-87.50%</t>
  </si>
  <si>
    <t>P232</t>
  </si>
  <si>
    <t>STD|L|GUC|R|12|T1|65.00%-70.00%|FICO 700+|87.51%-89.99%</t>
  </si>
  <si>
    <t>Q232</t>
  </si>
  <si>
    <t>STD|L|GUC|R|12|T1|65.00%-70.00%|FICO 700+|90.00%-92.50%</t>
  </si>
  <si>
    <t>R232</t>
  </si>
  <si>
    <t>STD|L|GUC|P|18|T1|65.00%-70.00%|FICO 700+|&lt;74.99%</t>
  </si>
  <si>
    <t>W232</t>
  </si>
  <si>
    <t>STD|L|GUC|P|18|T1|65.00%-70.00%|FICO 700+|75.00%-80.00%</t>
  </si>
  <si>
    <t>X232</t>
  </si>
  <si>
    <t>STD|L|GUC|P|18|T1|65.00%-70.00%|FICO 700+|80.01%-85.00%</t>
  </si>
  <si>
    <t>Y232</t>
  </si>
  <si>
    <t>STD|L|GUC|P|18|T1|65.00%-70.00%|FICO 700+|85.01%-87.50%</t>
  </si>
  <si>
    <t>Z232</t>
  </si>
  <si>
    <t>STD|L|GUC|P|18|T1|65.00%-70.00%|FICO 700+|87.51%-89.99%</t>
  </si>
  <si>
    <t>AA232</t>
  </si>
  <si>
    <t>STD|L|GUC|P|18|T1|65.00%-70.00%|FICO 700+|90.00%-92.50%</t>
  </si>
  <si>
    <t>AB232</t>
  </si>
  <si>
    <t>STD|L|GUC|R|18|T1|65.00%-70.00%|FICO 700+|&lt;74.99%</t>
  </si>
  <si>
    <t>AG232</t>
  </si>
  <si>
    <t>STD|L|GUC|R|18|T1|65.00%-70.00%|FICO 700+|75.00%-80.00%</t>
  </si>
  <si>
    <t>AH232</t>
  </si>
  <si>
    <t>STD|L|GUC|R|18|T1|65.00%-70.00%|FICO 700+|80.01%-85.00%</t>
  </si>
  <si>
    <t>AI232</t>
  </si>
  <si>
    <t>STD|L|GUC|R|18|T1|65.00%-70.00%|FICO 700+|85.01%-87.50%</t>
  </si>
  <si>
    <t>AJ232</t>
  </si>
  <si>
    <t>STD|L|GUC|R|18|T1|65.00%-70.00%|FICO 700+|87.51%-89.99%</t>
  </si>
  <si>
    <t>AK232</t>
  </si>
  <si>
    <t>STD|L|GUC|R|18|T1|65.00%-70.00%|FICO 700+|90.00%-92.50%</t>
  </si>
  <si>
    <t>AL232</t>
  </si>
  <si>
    <t>STD|L|GUC|P|24|T1|65.00%-70.00%|FICO 700+|&lt;74.99%</t>
  </si>
  <si>
    <t>AQ232</t>
  </si>
  <si>
    <t>STD|L|GUC|P|24|T1|65.00%-70.00%|FICO 700+|75.00%-80.00%</t>
  </si>
  <si>
    <t>AR232</t>
  </si>
  <si>
    <t>STD|L|GUC|P|24|T1|65.00%-70.00%|FICO 700+|80.01%-85.00%</t>
  </si>
  <si>
    <t>AS232</t>
  </si>
  <si>
    <t>STD|L|GUC|P|24|T1|65.00%-70.00%|FICO 700+|85.01%-87.50%</t>
  </si>
  <si>
    <t>AT232</t>
  </si>
  <si>
    <t>STD|L|GUC|P|24|T1|65.00%-70.00%|FICO 700+|87.51%-89.99%</t>
  </si>
  <si>
    <t>AU232</t>
  </si>
  <si>
    <t>STD|L|GUC|P|24|T1|65.00%-70.00%|FICO 700+|90.00%-92.50%</t>
  </si>
  <si>
    <t>AV232</t>
  </si>
  <si>
    <t>STD|L|GUC|P|12|T1|65.00%-70.00%|FICO 660-699|&lt;74.99%</t>
  </si>
  <si>
    <t>C233</t>
  </si>
  <si>
    <t>STD|L|GUC|P|12|T1|65.00%-70.00%|FICO 660-699|75.00%-80.00%</t>
  </si>
  <si>
    <t>D233</t>
  </si>
  <si>
    <t>STD|L|GUC|P|12|T1|65.00%-70.00%|FICO 660-699|80.01%-85.00%</t>
  </si>
  <si>
    <t>E233</t>
  </si>
  <si>
    <t>STD|L|GUC|P|12|T1|65.00%-70.00%|FICO 660-699|85.01%-87.50%</t>
  </si>
  <si>
    <t>F233</t>
  </si>
  <si>
    <t>STD|L|GUC|P|12|T1|65.00%-70.00%|FICO 660-699|87.51%-89.99%</t>
  </si>
  <si>
    <t>G233</t>
  </si>
  <si>
    <t>STD|L|GUC|R|12|T1|65.00%-70.00%|FICO 660-699|&lt;74.99%</t>
  </si>
  <si>
    <t>M233</t>
  </si>
  <si>
    <t>STD|L|GUC|R|12|T1|65.00%-70.00%|FICO 660-699|75.00%-80.00%</t>
  </si>
  <si>
    <t>N233</t>
  </si>
  <si>
    <t>STD|L|GUC|R|12|T1|65.00%-70.00%|FICO 660-699|80.01%-85.00%</t>
  </si>
  <si>
    <t>O233</t>
  </si>
  <si>
    <t>STD|L|GUC|R|12|T1|65.00%-70.00%|FICO 660-699|85.01%-87.50%</t>
  </si>
  <si>
    <t>P233</t>
  </si>
  <si>
    <t>STD|L|GUC|R|12|T1|65.00%-70.00%|FICO 660-699|87.51%-89.99%</t>
  </si>
  <si>
    <t>Q233</t>
  </si>
  <si>
    <t>STD|L|GUC|P|18|T1|65.00%-70.00%|FICO 660-699|&lt;74.99%</t>
  </si>
  <si>
    <t>W233</t>
  </si>
  <si>
    <t>STD|L|GUC|P|18|T1|65.00%-70.00%|FICO 660-699|75.00%-80.00%</t>
  </si>
  <si>
    <t>X233</t>
  </si>
  <si>
    <t>STD|L|GUC|P|18|T1|65.00%-70.00%|FICO 660-699|80.01%-85.00%</t>
  </si>
  <si>
    <t>Y233</t>
  </si>
  <si>
    <t>STD|L|GUC|P|18|T1|65.00%-70.00%|FICO 660-699|85.01%-87.50%</t>
  </si>
  <si>
    <t>Z233</t>
  </si>
  <si>
    <t>STD|L|GUC|P|18|T1|65.00%-70.00%|FICO 660-699|87.51%-89.99%</t>
  </si>
  <si>
    <t>AA233</t>
  </si>
  <si>
    <t>STD|L|GUC|R|18|T1|65.00%-70.00%|FICO 660-699|&lt;74.99%</t>
  </si>
  <si>
    <t>AG233</t>
  </si>
  <si>
    <t>STD|L|GUC|R|18|T1|65.00%-70.00%|FICO 660-699|75.00%-80.00%</t>
  </si>
  <si>
    <t>AH233</t>
  </si>
  <si>
    <t>STD|L|GUC|R|18|T1|65.00%-70.00%|FICO 660-699|80.01%-85.00%</t>
  </si>
  <si>
    <t>AI233</t>
  </si>
  <si>
    <t>STD|L|GUC|R|18|T1|65.00%-70.00%|FICO 660-699|85.01%-87.50%</t>
  </si>
  <si>
    <t>AJ233</t>
  </si>
  <si>
    <t>STD|L|GUC|R|18|T1|65.00%-70.00%|FICO 660-699|87.51%-89.99%</t>
  </si>
  <si>
    <t>AK233</t>
  </si>
  <si>
    <t>STD|L|GUC|P|24|T1|65.00%-70.00%|FICO 660-699|&lt;74.99%</t>
  </si>
  <si>
    <t>AQ233</t>
  </si>
  <si>
    <t>STD|L|GUC|P|24|T1|65.00%-70.00%|FICO 660-699|75.00%-80.00%</t>
  </si>
  <si>
    <t>AR233</t>
  </si>
  <si>
    <t>STD|L|GUC|P|24|T1|65.00%-70.00%|FICO 660-699|80.01%-85.00%</t>
  </si>
  <si>
    <t>AS233</t>
  </si>
  <si>
    <t>STD|L|GUC|P|24|T1|65.00%-70.00%|FICO 660-699|85.01%-87.50%</t>
  </si>
  <si>
    <t>AT233</t>
  </si>
  <si>
    <t>STD|L|GUC|P|24|T1|65.00%-70.00%|FICO 660-699|87.51%-89.99%</t>
  </si>
  <si>
    <t>AU233</t>
  </si>
  <si>
    <t>STD|L|GUC|P|12|T1|&lt;64.99%|FICO 700+|&lt;74.99%</t>
  </si>
  <si>
    <t>C236</t>
  </si>
  <si>
    <t>STD|L|GUC|P|12|T1|&lt;64.99%|FICO 700+|75.00%-80.00%</t>
  </si>
  <si>
    <t>D236</t>
  </si>
  <si>
    <t>STD|L|GUC|P|12|T1|&lt;64.99%|FICO 700+|80.01%-85.00%</t>
  </si>
  <si>
    <t>E236</t>
  </si>
  <si>
    <t>STD|L|GUC|P|12|T1|&lt;64.99%|FICO 700+|85.01%-87.50%</t>
  </si>
  <si>
    <t>F236</t>
  </si>
  <si>
    <t>STD|L|GUC|P|12|T1|&lt;64.99%|FICO 700+|87.51%-89.99%</t>
  </si>
  <si>
    <t>G236</t>
  </si>
  <si>
    <t>STD|L|GUC|P|12|T1|&lt;64.99%|FICO 700+|90.00%-92.50%</t>
  </si>
  <si>
    <t>H236</t>
  </si>
  <si>
    <t>STD|L|GUC|R|12|T1|&lt;64.99%|FICO 700+|&lt;74.99%</t>
  </si>
  <si>
    <t>M236</t>
  </si>
  <si>
    <t>STD|L|GUC|R|12|T1|&lt;64.99%|FICO 700+|75.00%-80.00%</t>
  </si>
  <si>
    <t>N236</t>
  </si>
  <si>
    <t>STD|L|GUC|R|12|T1|&lt;64.99%|FICO 700+|80.01%-85.00%</t>
  </si>
  <si>
    <t>O236</t>
  </si>
  <si>
    <t>STD|L|GUC|R|12|T1|&lt;64.99%|FICO 700+|85.01%-87.50%</t>
  </si>
  <si>
    <t>P236</t>
  </si>
  <si>
    <t>STD|L|GUC|R|12|T1|&lt;64.99%|FICO 700+|87.51%-89.99%</t>
  </si>
  <si>
    <t>Q236</t>
  </si>
  <si>
    <t>STD|L|GUC|R|12|T1|&lt;64.99%|FICO 700+|90.00%-92.50%</t>
  </si>
  <si>
    <t>R236</t>
  </si>
  <si>
    <t>STD|L|GUC|P|18|T1|&lt;64.99%|FICO 700+|&lt;74.99%</t>
  </si>
  <si>
    <t>W236</t>
  </si>
  <si>
    <t>STD|L|GUC|P|18|T1|&lt;64.99%|FICO 700+|75.00%-80.00%</t>
  </si>
  <si>
    <t>X236</t>
  </si>
  <si>
    <t>STD|L|GUC|P|18|T1|&lt;64.99%|FICO 700+|80.01%-85.00%</t>
  </si>
  <si>
    <t>Y236</t>
  </si>
  <si>
    <t>STD|L|GUC|P|18|T1|&lt;64.99%|FICO 700+|85.01%-87.50%</t>
  </si>
  <si>
    <t>Z236</t>
  </si>
  <si>
    <t>STD|L|GUC|P|18|T1|&lt;64.99%|FICO 700+|87.51%-89.99%</t>
  </si>
  <si>
    <t>AA236</t>
  </si>
  <si>
    <t>STD|L|GUC|P|18|T1|&lt;64.99%|FICO 700+|90.00%-92.50%</t>
  </si>
  <si>
    <t>AB236</t>
  </si>
  <si>
    <t>STD|L|GUC|R|18|T1|&lt;64.99%|FICO 700+|&lt;74.99%</t>
  </si>
  <si>
    <t>AG236</t>
  </si>
  <si>
    <t>STD|L|GUC|R|18|T1|&lt;64.99%|FICO 700+|75.00%-80.00%</t>
  </si>
  <si>
    <t>AH236</t>
  </si>
  <si>
    <t>STD|L|GUC|R|18|T1|&lt;64.99%|FICO 700+|80.01%-85.00%</t>
  </si>
  <si>
    <t>AI236</t>
  </si>
  <si>
    <t>STD|L|GUC|R|18|T1|&lt;64.99%|FICO 700+|85.01%-87.50%</t>
  </si>
  <si>
    <t>AJ236</t>
  </si>
  <si>
    <t>STD|L|GUC|R|18|T1|&lt;64.99%|FICO 700+|87.51%-89.99%</t>
  </si>
  <si>
    <t>AK236</t>
  </si>
  <si>
    <t>STD|L|GUC|R|18|T1|&lt;64.99%|FICO 700+|90.00%-92.50%</t>
  </si>
  <si>
    <t>AL236</t>
  </si>
  <si>
    <t>STD|L|GUC|P|24|T1|&lt;64.99%|FICO 700+|&lt;74.99%</t>
  </si>
  <si>
    <t>AQ236</t>
  </si>
  <si>
    <t>STD|L|GUC|P|24|T1|&lt;64.99%|FICO 700+|75.00%-80.00%</t>
  </si>
  <si>
    <t>AR236</t>
  </si>
  <si>
    <t>STD|L|GUC|P|24|T1|&lt;64.99%|FICO 700+|80.01%-85.00%</t>
  </si>
  <si>
    <t>AS236</t>
  </si>
  <si>
    <t>STD|L|GUC|P|24|T1|&lt;64.99%|FICO 700+|85.01%-87.50%</t>
  </si>
  <si>
    <t>AT236</t>
  </si>
  <si>
    <t>STD|L|GUC|P|24|T1|&lt;64.99%|FICO 700+|87.51%-89.99%</t>
  </si>
  <si>
    <t>AU236</t>
  </si>
  <si>
    <t>STD|L|GUC|P|24|T1|&lt;64.99%|FICO 700+|90.00%-92.50%</t>
  </si>
  <si>
    <t>AV236</t>
  </si>
  <si>
    <t>STD|L|GUC|P|12|T1|&lt;64.99%|FICO 660-699|&lt;74.99%</t>
  </si>
  <si>
    <t>C237</t>
  </si>
  <si>
    <t>STD|L|GUC|P|12|T1|&lt;64.99%|FICO 660-699|75.00%-80.00%</t>
  </si>
  <si>
    <t>D237</t>
  </si>
  <si>
    <t>STD|L|GUC|P|12|T1|&lt;64.99%|FICO 660-699|80.01%-85.00%</t>
  </si>
  <si>
    <t>E237</t>
  </si>
  <si>
    <t>STD|L|GUC|P|12|T1|&lt;64.99%|FICO 660-699|85.01%-87.50%</t>
  </si>
  <si>
    <t>F237</t>
  </si>
  <si>
    <t>STD|L|GUC|P|12|T1|&lt;64.99%|FICO 660-699|87.51%-89.99%</t>
  </si>
  <si>
    <t>G237</t>
  </si>
  <si>
    <t>STD|L|GUC|P|12|T1|&lt;64.99%|FICO 660-699|90.00%-92.50%</t>
  </si>
  <si>
    <t>H237</t>
  </si>
  <si>
    <t>STD|L|GUC|R|12|T1|&lt;64.99%|FICO 660-699|&lt;74.99%</t>
  </si>
  <si>
    <t>M237</t>
  </si>
  <si>
    <t>STD|L|GUC|R|12|T1|&lt;64.99%|FICO 660-699|75.00%-80.00%</t>
  </si>
  <si>
    <t>N237</t>
  </si>
  <si>
    <t>STD|L|GUC|R|12|T1|&lt;64.99%|FICO 660-699|80.01%-85.00%</t>
  </si>
  <si>
    <t>O237</t>
  </si>
  <si>
    <t>STD|L|GUC|R|12|T1|&lt;64.99%|FICO 660-699|85.01%-87.50%</t>
  </si>
  <si>
    <t>P237</t>
  </si>
  <si>
    <t>STD|L|GUC|R|12|T1|&lt;64.99%|FICO 660-699|87.51%-89.99%</t>
  </si>
  <si>
    <t>Q237</t>
  </si>
  <si>
    <t>STD|L|GUC|R|12|T1|&lt;64.99%|FICO 660-699|90.00%-92.50%</t>
  </si>
  <si>
    <t>R237</t>
  </si>
  <si>
    <t>STD|L|GUC|P|18|T1|&lt;64.99%|FICO 660-699|&lt;74.99%</t>
  </si>
  <si>
    <t>W237</t>
  </si>
  <si>
    <t>STD|L|GUC|P|18|T1|&lt;64.99%|FICO 660-699|75.00%-80.00%</t>
  </si>
  <si>
    <t>X237</t>
  </si>
  <si>
    <t>STD|L|GUC|P|18|T1|&lt;64.99%|FICO 660-699|80.01%-85.00%</t>
  </si>
  <si>
    <t>Y237</t>
  </si>
  <si>
    <t>STD|L|GUC|P|18|T1|&lt;64.99%|FICO 660-699|85.01%-87.50%</t>
  </si>
  <si>
    <t>Z237</t>
  </si>
  <si>
    <t>STD|L|GUC|P|18|T1|&lt;64.99%|FICO 660-699|87.51%-89.99%</t>
  </si>
  <si>
    <t>AA237</t>
  </si>
  <si>
    <t>STD|L|GUC|P|18|T1|&lt;64.99%|FICO 660-699|90.00%-92.50%</t>
  </si>
  <si>
    <t>AB237</t>
  </si>
  <si>
    <t>STD|L|GUC|R|18|T1|&lt;64.99%|FICO 660-699|&lt;74.99%</t>
  </si>
  <si>
    <t>AG237</t>
  </si>
  <si>
    <t>STD|L|GUC|R|18|T1|&lt;64.99%|FICO 660-699|75.00%-80.00%</t>
  </si>
  <si>
    <t>AH237</t>
  </si>
  <si>
    <t>STD|L|GUC|R|18|T1|&lt;64.99%|FICO 660-699|80.01%-85.00%</t>
  </si>
  <si>
    <t>AI237</t>
  </si>
  <si>
    <t>STD|L|GUC|R|18|T1|&lt;64.99%|FICO 660-699|85.01%-87.50%</t>
  </si>
  <si>
    <t>AJ237</t>
  </si>
  <si>
    <t>STD|L|GUC|R|18|T1|&lt;64.99%|FICO 660-699|87.51%-89.99%</t>
  </si>
  <si>
    <t>AK237</t>
  </si>
  <si>
    <t>STD|L|GUC|R|18|T1|&lt;64.99%|FICO 660-699|90.00%-92.50%</t>
  </si>
  <si>
    <t>AL237</t>
  </si>
  <si>
    <t>STD|L|GUC|P|24|T1|&lt;64.99%|FICO 660-699|&lt;74.99%</t>
  </si>
  <si>
    <t>AQ237</t>
  </si>
  <si>
    <t>STD|L|GUC|P|24|T1|&lt;64.99%|FICO 660-699|75.00%-80.00%</t>
  </si>
  <si>
    <t>AR237</t>
  </si>
  <si>
    <t>STD|L|GUC|P|24|T1|&lt;64.99%|FICO 660-699|80.01%-85.00%</t>
  </si>
  <si>
    <t>AS237</t>
  </si>
  <si>
    <t>STD|L|GUC|P|24|T1|&lt;64.99%|FICO 660-699|85.01%-87.50%</t>
  </si>
  <si>
    <t>AT237</t>
  </si>
  <si>
    <t>STD|L|GUC|P|24|T1|&lt;64.99%|FICO 660-699|87.51%-89.99%</t>
  </si>
  <si>
    <t>AU237</t>
  </si>
  <si>
    <t>STD|L|GUC|P|24|T1|&lt;64.99%|FICO 660-699|90.00%-92.50%</t>
  </si>
  <si>
    <t>AV237</t>
  </si>
  <si>
    <t>STD|L|GUC|P|12|T2|65.00%-70.00%|FICO 700+|&lt;74.99%</t>
  </si>
  <si>
    <t>C248</t>
  </si>
  <si>
    <t>STD|L|GUC|P|12|T2|65.00%-70.00%|FICO 700+|75.00%-80.00%</t>
  </si>
  <si>
    <t>D248</t>
  </si>
  <si>
    <t>STD|L|GUC|P|12|T2|65.00%-70.00%|FICO 700+|80.01%-85.00%</t>
  </si>
  <si>
    <t>E248</t>
  </si>
  <si>
    <t>STD|L|GUC|R|12|T2|65.00%-70.00%|FICO 700+|&lt;74.99%</t>
  </si>
  <si>
    <t>M248</t>
  </si>
  <si>
    <t>STD|L|GUC|R|12|T2|65.00%-70.00%|FICO 700+|75.00%-80.00%</t>
  </si>
  <si>
    <t>N248</t>
  </si>
  <si>
    <t>STD|L|GUC|R|12|T2|65.00%-70.00%|FICO 700+|80.01%-85.00%</t>
  </si>
  <si>
    <t>O248</t>
  </si>
  <si>
    <t>STD|L|GUC|P|18|T2|65.00%-70.00%|FICO 700+|&lt;74.99%</t>
  </si>
  <si>
    <t>W248</t>
  </si>
  <si>
    <t>STD|L|GUC|P|18|T2|65.00%-70.00%|FICO 700+|75.00%-80.00%</t>
  </si>
  <si>
    <t>X248</t>
  </si>
  <si>
    <t>STD|L|GUC|P|18|T2|65.00%-70.00%|FICO 700+|80.01%-85.00%</t>
  </si>
  <si>
    <t>Y248</t>
  </si>
  <si>
    <t>STD|L|GUC|R|18|T2|65.00%-70.00%|FICO 700+|&lt;74.99%</t>
  </si>
  <si>
    <t>AG248</t>
  </si>
  <si>
    <t>STD|L|GUC|R|18|T2|65.00%-70.00%|FICO 700+|75.00%-80.00%</t>
  </si>
  <si>
    <t>AH248</t>
  </si>
  <si>
    <t>STD|L|GUC|R|18|T2|65.00%-70.00%|FICO 700+|80.01%-85.00%</t>
  </si>
  <si>
    <t>AI248</t>
  </si>
  <si>
    <t>STD|L|GUC|P|24|T2|65.00%-70.00%|FICO 700+|&lt;74.99%</t>
  </si>
  <si>
    <t>AQ248</t>
  </si>
  <si>
    <t>STD|L|GUC|P|24|T2|65.00%-70.00%|FICO 700+|75.00%-80.00%</t>
  </si>
  <si>
    <t>AR248</t>
  </si>
  <si>
    <t>STD|L|GUC|P|24|T2|65.00%-70.00%|FICO 700+|80.01%-85.00%</t>
  </si>
  <si>
    <t>AS248</t>
  </si>
  <si>
    <t>STD|L|GUC|P|12|T2|65.00%-70.00%|FICO 660-699|&lt;74.99%</t>
  </si>
  <si>
    <t>C249</t>
  </si>
  <si>
    <t>STD|L|GUC|P|12|T2|65.00%-70.00%|FICO 660-699|75.00%-80.00%</t>
  </si>
  <si>
    <t>D249</t>
  </si>
  <si>
    <t>STD|L|GUC|P|12|T2|65.00%-70.00%|FICO 660-699|80.01%-85.00%</t>
  </si>
  <si>
    <t>E249</t>
  </si>
  <si>
    <t>STD|L|GUC|R|12|T2|65.00%-70.00%|FICO 660-699|&lt;74.99%</t>
  </si>
  <si>
    <t>M249</t>
  </si>
  <si>
    <t>STD|L|GUC|R|12|T2|65.00%-70.00%|FICO 660-699|75.00%-80.00%</t>
  </si>
  <si>
    <t>N249</t>
  </si>
  <si>
    <t>STD|L|GUC|R|12|T2|65.00%-70.00%|FICO 660-699|80.01%-85.00%</t>
  </si>
  <si>
    <t>O249</t>
  </si>
  <si>
    <t>STD|L|GUC|P|18|T2|65.00%-70.00%|FICO 660-699|&lt;74.99%</t>
  </si>
  <si>
    <t>W249</t>
  </si>
  <si>
    <t>STD|L|GUC|P|18|T2|65.00%-70.00%|FICO 660-699|75.00%-80.00%</t>
  </si>
  <si>
    <t>X249</t>
  </si>
  <si>
    <t>STD|L|GUC|P|18|T2|65.00%-70.00%|FICO 660-699|80.01%-85.00%</t>
  </si>
  <si>
    <t>Y249</t>
  </si>
  <si>
    <t>STD|L|GUC|R|18|T2|65.00%-70.00%|FICO 660-699|&lt;74.99%</t>
  </si>
  <si>
    <t>AG249</t>
  </si>
  <si>
    <t>STD|L|GUC|R|18|T2|65.00%-70.00%|FICO 660-699|75.00%-80.00%</t>
  </si>
  <si>
    <t>AH249</t>
  </si>
  <si>
    <t>STD|L|GUC|R|18|T2|65.00%-70.00%|FICO 660-699|80.01%-85.00%</t>
  </si>
  <si>
    <t>AI249</t>
  </si>
  <si>
    <t>STD|L|GUC|P|24|T2|65.00%-70.00%|FICO 660-699|&lt;74.99%</t>
  </si>
  <si>
    <t>AQ249</t>
  </si>
  <si>
    <t>STD|L|GUC|P|24|T2|65.00%-70.00%|FICO 660-699|75.00%-80.00%</t>
  </si>
  <si>
    <t>AR249</t>
  </si>
  <si>
    <t>STD|L|GUC|P|24|T2|65.00%-70.00%|FICO 660-699|80.01%-85.00%</t>
  </si>
  <si>
    <t>AS249</t>
  </si>
  <si>
    <t>STD|L|GUC|P|12|T2|&lt;64.99%|FICO 700+|&lt;74.99%</t>
  </si>
  <si>
    <t>C252</t>
  </si>
  <si>
    <t>STD|L|GUC|P|12|T2|&lt;64.99%|FICO 700+|75.00%-80.00%</t>
  </si>
  <si>
    <t>D252</t>
  </si>
  <si>
    <t>STD|L|GUC|P|12|T2|&lt;64.99%|FICO 700+|80.01%-85.00%</t>
  </si>
  <si>
    <t>E252</t>
  </si>
  <si>
    <t>STD|L|GUC|R|12|T2|&lt;64.99%|FICO 700+|&lt;74.99%</t>
  </si>
  <si>
    <t>M252</t>
  </si>
  <si>
    <t>STD|L|GUC|R|12|T2|&lt;64.99%|FICO 700+|75.00%-80.00%</t>
  </si>
  <si>
    <t>N252</t>
  </si>
  <si>
    <t>STD|L|GUC|R|12|T2|&lt;64.99%|FICO 700+|80.01%-85.00%</t>
  </si>
  <si>
    <t>O252</t>
  </si>
  <si>
    <t>STD|L|GUC|P|18|T2|&lt;64.99%|FICO 700+|&lt;74.99%</t>
  </si>
  <si>
    <t>W252</t>
  </si>
  <si>
    <t>STD|L|GUC|P|18|T2|&lt;64.99%|FICO 700+|75.00%-80.00%</t>
  </si>
  <si>
    <t>X252</t>
  </si>
  <si>
    <t>STD|L|GUC|P|18|T2|&lt;64.99%|FICO 700+|80.01%-85.00%</t>
  </si>
  <si>
    <t>Y252</t>
  </si>
  <si>
    <t>STD|L|GUC|R|18|T2|&lt;64.99%|FICO 700+|&lt;74.99%</t>
  </si>
  <si>
    <t>AG252</t>
  </si>
  <si>
    <t>STD|L|GUC|R|18|T2|&lt;64.99%|FICO 700+|75.00%-80.00%</t>
  </si>
  <si>
    <t>AH252</t>
  </si>
  <si>
    <t>STD|L|GUC|R|18|T2|&lt;64.99%|FICO 700+|80.01%-85.00%</t>
  </si>
  <si>
    <t>AI252</t>
  </si>
  <si>
    <t>STD|L|GUC|P|24|T2|&lt;64.99%|FICO 700+|&lt;74.99%</t>
  </si>
  <si>
    <t>AQ252</t>
  </si>
  <si>
    <t>STD|L|GUC|P|24|T2|&lt;64.99%|FICO 700+|75.00%-80.00%</t>
  </si>
  <si>
    <t>AR252</t>
  </si>
  <si>
    <t>STD|L|GUC|P|24|T2|&lt;64.99%|FICO 700+|80.01%-85.00%</t>
  </si>
  <si>
    <t>AS252</t>
  </si>
  <si>
    <t>STD|L|GUC|P|12|T2|&lt;64.99%|FICO 660-699|&lt;74.99%</t>
  </si>
  <si>
    <t>C253</t>
  </si>
  <si>
    <t>STD|L|GUC|P|12|T2|&lt;64.99%|FICO 660-699|75.00%-80.00%</t>
  </si>
  <si>
    <t>D253</t>
  </si>
  <si>
    <t>STD|L|GUC|P|12|T2|&lt;64.99%|FICO 660-699|80.01%-85.00%</t>
  </si>
  <si>
    <t>E253</t>
  </si>
  <si>
    <t>STD|L|GUC|R|12|T2|&lt;64.99%|FICO 660-699|&lt;74.99%</t>
  </si>
  <si>
    <t>M253</t>
  </si>
  <si>
    <t>STD|L|GUC|R|12|T2|&lt;64.99%|FICO 660-699|75.00%-80.00%</t>
  </si>
  <si>
    <t>N253</t>
  </si>
  <si>
    <t>STD|L|GUC|R|12|T2|&lt;64.99%|FICO 660-699|80.01%-85.00%</t>
  </si>
  <si>
    <t>O253</t>
  </si>
  <si>
    <t>STD|L|GUC|P|18|T2|&lt;64.99%|FICO 660-699|&lt;74.99%</t>
  </si>
  <si>
    <t>W253</t>
  </si>
  <si>
    <t>STD|L|GUC|P|18|T2|&lt;64.99%|FICO 660-699|75.00%-80.00%</t>
  </si>
  <si>
    <t>X253</t>
  </si>
  <si>
    <t>STD|L|GUC|P|18|T2|&lt;64.99%|FICO 660-699|80.01%-85.00%</t>
  </si>
  <si>
    <t>Y253</t>
  </si>
  <si>
    <t>STD|L|GUC|R|18|T2|&lt;64.99%|FICO 660-699|&lt;74.99%</t>
  </si>
  <si>
    <t>AG253</t>
  </si>
  <si>
    <t>STD|L|GUC|R|18|T2|&lt;64.99%|FICO 660-699|75.00%-80.00%</t>
  </si>
  <si>
    <t>AH253</t>
  </si>
  <si>
    <t>STD|L|GUC|R|18|T2|&lt;64.99%|FICO 660-699|80.01%-85.00%</t>
  </si>
  <si>
    <t>AI253</t>
  </si>
  <si>
    <t>STD|L|GUC|P|24|T2|&lt;64.99%|FICO 660-699|&lt;74.99%</t>
  </si>
  <si>
    <t>AQ253</t>
  </si>
  <si>
    <t>STD|L|GUC|P|24|T2|&lt;64.99%|FICO 660-699|75.00%-80.00%</t>
  </si>
  <si>
    <t>AR253</t>
  </si>
  <si>
    <t>STD|L|GUC|P|24|T2|&lt;64.99%|FICO 660-699|80.01%-85.00%</t>
  </si>
  <si>
    <t>AS253</t>
  </si>
  <si>
    <t>STD|L|GUC|P|12|T3|&lt;64.99%|FICO 700+|&lt;74.99%</t>
  </si>
  <si>
    <t>C268</t>
  </si>
  <si>
    <t>STD|L|GUC|P|12|T3|&lt;64.99%|FICO 700+|75.00%-80.00%</t>
  </si>
  <si>
    <t>D268</t>
  </si>
  <si>
    <t>STD|L|GUC|R|12|T3|&lt;64.99%|FICO 700+|&lt;74.99%</t>
  </si>
  <si>
    <t>M268</t>
  </si>
  <si>
    <t>STD|L|GUC|R|12|T3|&lt;64.99%|FICO 700+|75.00%-80.00%</t>
  </si>
  <si>
    <t>N268</t>
  </si>
  <si>
    <t>STD|L|GUC|P|18|T3|&lt;64.99%|FICO 700+|&lt;74.99%</t>
  </si>
  <si>
    <t>W268</t>
  </si>
  <si>
    <t>STD|L|GUC|P|18|T3|&lt;64.99%|FICO 700+|75.00%-80.00%</t>
  </si>
  <si>
    <t>X268</t>
  </si>
  <si>
    <t>STD|L|GUC|R|18|T3|&lt;64.99%|FICO 700+|&lt;74.99%</t>
  </si>
  <si>
    <t>AG268</t>
  </si>
  <si>
    <t>STD|L|GUC|R|18|T3|&lt;64.99%|FICO 700+|75.00%-80.00%</t>
  </si>
  <si>
    <t>AH268</t>
  </si>
  <si>
    <t>STD|L|GUC|P|24|T3|&lt;64.99%|FICO 700+|&lt;74.99%</t>
  </si>
  <si>
    <t>AQ268</t>
  </si>
  <si>
    <t>STD|L|GUC|P|24|T3|&lt;64.99%|FICO 700+|75.00%-80.00%</t>
  </si>
  <si>
    <t>AR268</t>
  </si>
  <si>
    <t>STD|L|GUC|P|12|T3|&lt;64.99%|FICO 680-699|&lt;74.99%</t>
  </si>
  <si>
    <t>C269</t>
  </si>
  <si>
    <t>STD|L|GUC|P|12|T3|&lt;64.99%|FICO 680-699|75.00%-80.00%</t>
  </si>
  <si>
    <t>D269</t>
  </si>
  <si>
    <t>STD|L|GUC|R|12|T3|&lt;64.99%|FICO 680-699|&lt;74.99%</t>
  </si>
  <si>
    <t>M269</t>
  </si>
  <si>
    <t>STD|L|GUC|R|12|T3|&lt;64.99%|FICO 680-699|75.00%-80.00%</t>
  </si>
  <si>
    <t>N269</t>
  </si>
  <si>
    <t>STD|L|GUC|P|18|T3|&lt;64.99%|FICO 680-699|&lt;74.99%</t>
  </si>
  <si>
    <t>W269</t>
  </si>
  <si>
    <t>STD|L|GUC|P|18|T3|&lt;64.99%|FICO 680-699|75.00%-80.00%</t>
  </si>
  <si>
    <t>X269</t>
  </si>
  <si>
    <t>STD|L|GUC|R|18|T3|&lt;64.99%|FICO 680-699|&lt;74.99%</t>
  </si>
  <si>
    <t>AG269</t>
  </si>
  <si>
    <t>STD|L|GUC|R|18|T3|&lt;64.99%|FICO 680-699|75.00%-80.00%</t>
  </si>
  <si>
    <t>AH269</t>
  </si>
  <si>
    <t>STD|L|GUC|P|24|T3|&lt;64.99%|FICO 680-699|&lt;74.99%</t>
  </si>
  <si>
    <t>AQ269</t>
  </si>
  <si>
    <t>STD|L|GUC|P|24|T3|&lt;64.99%|FICO 680-699|75.00%-80.00%</t>
  </si>
  <si>
    <t>AR269</t>
  </si>
  <si>
    <t>STD|L|BR|P|12|T1|70.01%-75.00%|FICO 700+|&lt;74.99%</t>
  </si>
  <si>
    <t>C283</t>
  </si>
  <si>
    <t>STD|L|BR|P|12|T1|70.01%-75.00%|FICO 700+|75.00%-80.00%</t>
  </si>
  <si>
    <t>D283</t>
  </si>
  <si>
    <t>STD|L|BR|R|12|T1|70.01%-75.00%|FICO 700+|&lt;74.99%</t>
  </si>
  <si>
    <t>M283</t>
  </si>
  <si>
    <t>STD|L|BR|P|18|T1|70.01%-75.00%|FICO 700+|&lt;74.99%</t>
  </si>
  <si>
    <t>W283</t>
  </si>
  <si>
    <t>STD|L|BR|P|18|T1|70.01%-75.00%|FICO 700+|75.00%-80.00%</t>
  </si>
  <si>
    <t>X283</t>
  </si>
  <si>
    <t>STD|L|BR|R|18|T1|70.01%-75.00%|FICO 700+|&lt;74.99%</t>
  </si>
  <si>
    <t>AG283</t>
  </si>
  <si>
    <t>STD|L|BR|P|24|T1|70.01%-75.00%|FICO 700+|&lt;74.99%</t>
  </si>
  <si>
    <t>AQ283</t>
  </si>
  <si>
    <t>STD|L|BR|P|24|T1|70.01%-75.00%|FICO 700+|75.00%-80.00%</t>
  </si>
  <si>
    <t>AR283</t>
  </si>
  <si>
    <t>STD|L|BR|P|12|T1|70.01%-75.00%|FICO 660-699|&lt;74.99%</t>
  </si>
  <si>
    <t>C284</t>
  </si>
  <si>
    <t>STD|L|BR|P|12|T1|70.01%-75.00%|FICO 660-699|75.00%-80.00%</t>
  </si>
  <si>
    <t>D284</t>
  </si>
  <si>
    <t>STD|L|BR|R|12|T1|70.01%-75.00%|FICO 660-699|&lt;74.99%</t>
  </si>
  <si>
    <t>M284</t>
  </si>
  <si>
    <t>STD|L|BR|P|18|T1|70.01%-75.00%|FICO 660-699|&lt;74.99%</t>
  </si>
  <si>
    <t>W284</t>
  </si>
  <si>
    <t>STD|L|BR|P|18|T1|70.01%-75.00%|FICO 660-699|75.00%-80.00%</t>
  </si>
  <si>
    <t>X284</t>
  </si>
  <si>
    <t>STD|L|BR|R|18|T1|70.01%-75.00%|FICO 660-699|&lt;74.99%</t>
  </si>
  <si>
    <t>AG284</t>
  </si>
  <si>
    <t>STD|L|BR|P|24|T1|70.01%-75.00%|FICO 660-699|&lt;74.99%</t>
  </si>
  <si>
    <t>AQ284</t>
  </si>
  <si>
    <t>STD|L|BR|P|24|T1|70.01%-75.00%|FICO 660-699|75.00%-80.00%</t>
  </si>
  <si>
    <t>AR284</t>
  </si>
  <si>
    <t>STD|L|BR|P|12|T1|65.00%-70.00%|FICO 700+|&lt;74.99%</t>
  </si>
  <si>
    <t>C287</t>
  </si>
  <si>
    <t>STD|L|BR|P|12|T1|65.00%-70.00%|FICO 700+|75.00%-80.00%</t>
  </si>
  <si>
    <t>D287</t>
  </si>
  <si>
    <t>STD|L|BR|R|12|T1|65.00%-70.00%|FICO 700+|&lt;74.99%</t>
  </si>
  <si>
    <t>M287</t>
  </si>
  <si>
    <t>STD|L|BR|P|18|T1|65.00%-70.00%|FICO 700+|&lt;74.99%</t>
  </si>
  <si>
    <t>W287</t>
  </si>
  <si>
    <t>STD|L|BR|P|18|T1|65.00%-70.00%|FICO 700+|75.00%-80.00%</t>
  </si>
  <si>
    <t>X287</t>
  </si>
  <si>
    <t>STD|L|BR|R|18|T1|65.00%-70.00%|FICO 700+|&lt;74.99%</t>
  </si>
  <si>
    <t>AG287</t>
  </si>
  <si>
    <t>STD|L|BR|P|24|T1|65.00%-70.00%|FICO 700+|&lt;74.99%</t>
  </si>
  <si>
    <t>AQ287</t>
  </si>
  <si>
    <t>STD|L|BR|P|24|T1|65.00%-70.00%|FICO 700+|75.00%-80.00%</t>
  </si>
  <si>
    <t>AR287</t>
  </si>
  <si>
    <t>STD|L|BR|P|12|T1|65.00%-70.00%|FICO 660-699|&lt;74.99%</t>
  </si>
  <si>
    <t>C288</t>
  </si>
  <si>
    <t>STD|L|BR|P|12|T1|65.00%-70.00%|FICO 660-699|75.00%-80.00%</t>
  </si>
  <si>
    <t>D288</t>
  </si>
  <si>
    <t>STD|L|BR|R|12|T1|65.00%-70.00%|FICO 660-699|&lt;74.99%</t>
  </si>
  <si>
    <t>M288</t>
  </si>
  <si>
    <t>STD|L|BR|P|18|T1|65.00%-70.00%|FICO 660-699|&lt;74.99%</t>
  </si>
  <si>
    <t>W288</t>
  </si>
  <si>
    <t>STD|L|BR|P|18|T1|65.00%-70.00%|FICO 660-699|75.00%-80.00%</t>
  </si>
  <si>
    <t>X288</t>
  </si>
  <si>
    <t>STD|L|BR|R|18|T1|65.00%-70.00%|FICO 660-699|&lt;74.99%</t>
  </si>
  <si>
    <t>AG288</t>
  </si>
  <si>
    <t>STD|L|BR|P|24|T1|65.00%-70.00%|FICO 660-699|&lt;74.99%</t>
  </si>
  <si>
    <t>AQ288</t>
  </si>
  <si>
    <t>STD|L|BR|P|24|T1|65.00%-70.00%|FICO 660-699|75.00%-80.00%</t>
  </si>
  <si>
    <t>AR288</t>
  </si>
  <si>
    <t>STD|L|BR|P|12|T1|&lt;64.99%|FICO 700+|&lt;74.99%</t>
  </si>
  <si>
    <t>C291</t>
  </si>
  <si>
    <t>STD|L|BR|P|12|T1|&lt;64.99%|FICO 700+|75.00%-80.00%</t>
  </si>
  <si>
    <t>D291</t>
  </si>
  <si>
    <t>STD|L|BR|R|12|T1|&lt;64.99%|FICO 700+|&lt;74.99%</t>
  </si>
  <si>
    <t>M291</t>
  </si>
  <si>
    <t>STD|L|BR|P|18|T1|&lt;64.99%|FICO 700+|&lt;74.99%</t>
  </si>
  <si>
    <t>W291</t>
  </si>
  <si>
    <t>STD|L|BR|P|18|T1|&lt;64.99%|FICO 700+|75.00%-80.00%</t>
  </si>
  <si>
    <t>X291</t>
  </si>
  <si>
    <t>STD|L|BR|R|18|T1|&lt;64.99%|FICO 700+|&lt;74.99%</t>
  </si>
  <si>
    <t>AG291</t>
  </si>
  <si>
    <t>STD|L|BR|P|24|T1|&lt;64.99%|FICO 700+|&lt;74.99%</t>
  </si>
  <si>
    <t>AQ291</t>
  </si>
  <si>
    <t>STD|L|BR|P|24|T1|&lt;64.99%|FICO 700+|75.00%-80.00%</t>
  </si>
  <si>
    <t>AR291</t>
  </si>
  <si>
    <t>STD|L|BR|P|12|T1|&lt;64.99%|FICO 660-699|&lt;74.99%</t>
  </si>
  <si>
    <t>C292</t>
  </si>
  <si>
    <t>STD|L|BR|P|12|T1|&lt;64.99%|FICO 660-699|75.00%-80.00%</t>
  </si>
  <si>
    <t>D292</t>
  </si>
  <si>
    <t>STD|L|BR|R|12|T1|&lt;64.99%|FICO 660-699|&lt;74.99%</t>
  </si>
  <si>
    <t>M292</t>
  </si>
  <si>
    <t>STD|L|BR|P|18|T1|&lt;64.99%|FICO 660-699|&lt;74.99%</t>
  </si>
  <si>
    <t>W292</t>
  </si>
  <si>
    <t>STD|L|BR|P|18|T1|&lt;64.99%|FICO 660-699|75.00%-80.00%</t>
  </si>
  <si>
    <t>X292</t>
  </si>
  <si>
    <t>STD|L|BR|R|18|T1|&lt;64.99%|FICO 660-699|&lt;74.99%</t>
  </si>
  <si>
    <t>AG292</t>
  </si>
  <si>
    <t>STD|L|BR|P|24|T1|&lt;64.99%|FICO 660-699|&lt;74.99%</t>
  </si>
  <si>
    <t>AQ292</t>
  </si>
  <si>
    <t>STD|L|BR|P|24|T1|&lt;64.99%|FICO 660-699|75.00%-80.00%</t>
  </si>
  <si>
    <t>AR292</t>
  </si>
  <si>
    <t>STD|L|BR|P|12|T2|70.01%-75.00%|FICO 700+|&lt;74.99%</t>
  </si>
  <si>
    <t>C303</t>
  </si>
  <si>
    <t>STD|L|BR|P|12|T2|70.01%-75.00%|FICO 700+|75.00%-80.00%</t>
  </si>
  <si>
    <t>D303</t>
  </si>
  <si>
    <t>STD|L|BR|P|18|T2|70.01%-75.00%|FICO 700+|&lt;74.99%</t>
  </si>
  <si>
    <t>W303</t>
  </si>
  <si>
    <t>STD|L|BR|P|18|T2|70.01%-75.00%|FICO 700+|75.00%-80.00%</t>
  </si>
  <si>
    <t>X303</t>
  </si>
  <si>
    <t>STD|L|BR|P|24|T2|70.01%-75.00%|FICO 700+|&lt;74.99%</t>
  </si>
  <si>
    <t>AQ303</t>
  </si>
  <si>
    <t>STD|L|BR|P|24|T2|70.01%-75.00%|FICO 700+|75.00%-80.00%</t>
  </si>
  <si>
    <t>AR303</t>
  </si>
  <si>
    <t>STD|L|BR|P|12|T2|70.01%-75.00%|FICO 660-699|&lt;74.99%</t>
  </si>
  <si>
    <t>C304</t>
  </si>
  <si>
    <t>STD|L|BR|P|12|T2|70.01%-75.00%|FICO 660-699|75.00%-80.00%</t>
  </si>
  <si>
    <t>D304</t>
  </si>
  <si>
    <t>STD|L|BR|P|18|T2|70.01%-75.00%|FICO 660-699|&lt;74.99%</t>
  </si>
  <si>
    <t>W304</t>
  </si>
  <si>
    <t>STD|L|BR|P|18|T2|70.01%-75.00%|FICO 660-699|75.00%-80.00%</t>
  </si>
  <si>
    <t>X304</t>
  </si>
  <si>
    <t>STD|L|BR|P|24|T2|70.01%-75.00%|FICO 660-699|&lt;74.99%</t>
  </si>
  <si>
    <t>AQ304</t>
  </si>
  <si>
    <t>STD|L|BR|P|24|T2|70.01%-75.00%|FICO 660-699|75.00%-80.00%</t>
  </si>
  <si>
    <t>AR304</t>
  </si>
  <si>
    <t>STD|L|BR|P|12|T2|65.00%-70.00%|FICO 700+|&lt;74.99%</t>
  </si>
  <si>
    <t>C307</t>
  </si>
  <si>
    <t>STD|L|BR|P|12|T2|65.00%-70.00%|FICO 700+|75.00%-80.00%</t>
  </si>
  <si>
    <t>D307</t>
  </si>
  <si>
    <t>STD|L|BR|R|12|T2|65.00%-70.00%|FICO 700+|&lt;74.99%</t>
  </si>
  <si>
    <t>M307</t>
  </si>
  <si>
    <t>STD|L|BR|P|18|T2|65.00%-70.00%|FICO 700+|&lt;74.99%</t>
  </si>
  <si>
    <t>W307</t>
  </si>
  <si>
    <t>STD|L|BR|P|18|T2|65.00%-70.00%|FICO 700+|75.00%-80.00%</t>
  </si>
  <si>
    <t>X307</t>
  </si>
  <si>
    <t>STD|L|BR|R|18|T2|65.00%-70.00%|FICO 700+|&lt;74.99%</t>
  </si>
  <si>
    <t>AG307</t>
  </si>
  <si>
    <t>STD|L|BR|P|24|T2|65.00%-70.00%|FICO 700+|&lt;74.99%</t>
  </si>
  <si>
    <t>AQ307</t>
  </si>
  <si>
    <t>STD|L|BR|P|24|T2|65.00%-70.00%|FICO 700+|75.00%-80.00%</t>
  </si>
  <si>
    <t>AR307</t>
  </si>
  <si>
    <t>STD|L|BR|P|12|T2|65.00%-70.00%|FICO 660-699|&lt;74.99%</t>
  </si>
  <si>
    <t>C308</t>
  </si>
  <si>
    <t>STD|L|BR|P|12|T2|65.00%-70.00%|FICO 660-699|75.00%-80.00%</t>
  </si>
  <si>
    <t>D308</t>
  </si>
  <si>
    <t>STD|L|BR|R|12|T2|65.00%-70.00%|FICO 660-699|&lt;74.99%</t>
  </si>
  <si>
    <t>M308</t>
  </si>
  <si>
    <t>STD|L|BR|P|18|T2|65.00%-70.00%|FICO 660-699|&lt;74.99%</t>
  </si>
  <si>
    <t>W308</t>
  </si>
  <si>
    <t>STD|L|BR|P|18|T2|65.00%-70.00%|FICO 660-699|75.00%-80.00%</t>
  </si>
  <si>
    <t>X308</t>
  </si>
  <si>
    <t>STD|L|BR|R|18|T2|65.00%-70.00%|FICO 660-699|&lt;74.99%</t>
  </si>
  <si>
    <t>AG308</t>
  </si>
  <si>
    <t>STD|L|BR|P|24|T2|65.00%-70.00%|FICO 660-699|&lt;74.99%</t>
  </si>
  <si>
    <t>AQ308</t>
  </si>
  <si>
    <t>STD|L|BR|P|24|T2|65.00%-70.00%|FICO 660-699|75.00%-80.00%</t>
  </si>
  <si>
    <t>AR308</t>
  </si>
  <si>
    <t>STD|L|BR|P|12|T2|&lt;64.99%|FICO 700+|&lt;74.99%</t>
  </si>
  <si>
    <t>C311</t>
  </si>
  <si>
    <t>STD|L|BR|P|12|T2|&lt;64.99%|FICO 700+|75.00%-80.00%</t>
  </si>
  <si>
    <t>D311</t>
  </si>
  <si>
    <t>STD|L|BR|R|12|T2|&lt;64.99%|FICO 700+|&lt;74.99%</t>
  </si>
  <si>
    <t>M311</t>
  </si>
  <si>
    <t>STD|L|BR|P|18|T2|&lt;64.99%|FICO 700+|&lt;74.99%</t>
  </si>
  <si>
    <t>W311</t>
  </si>
  <si>
    <t>STD|L|BR|P|18|T2|&lt;64.99%|FICO 700+|75.00%-80.00%</t>
  </si>
  <si>
    <t>X311</t>
  </si>
  <si>
    <t>STD|L|BR|R|18|T2|&lt;64.99%|FICO 700+|&lt;74.99%</t>
  </si>
  <si>
    <t>AG311</t>
  </si>
  <si>
    <t>STD|L|BR|P|24|T2|&lt;64.99%|FICO 700+|&lt;74.99%</t>
  </si>
  <si>
    <t>AQ311</t>
  </si>
  <si>
    <t>STD|L|BR|P|24|T2|&lt;64.99%|FICO 700+|75.00%-80.00%</t>
  </si>
  <si>
    <t>AR311</t>
  </si>
  <si>
    <t>STD|L|BR|P|12|T2|&lt;64.99%|FICO 660-699|&lt;74.99%</t>
  </si>
  <si>
    <t>C312</t>
  </si>
  <si>
    <t>STD|L|BR|P|12|T2|&lt;64.99%|FICO 660-699|75.00%-80.00%</t>
  </si>
  <si>
    <t>D312</t>
  </si>
  <si>
    <t>STD|L|BR|R|12|T2|&lt;64.99%|FICO 660-699|&lt;74.99%</t>
  </si>
  <si>
    <t>M312</t>
  </si>
  <si>
    <t>STD|L|BR|P|18|T2|&lt;64.99%|FICO 660-699|&lt;74.99%</t>
  </si>
  <si>
    <t>W312</t>
  </si>
  <si>
    <t>STD|L|BR|P|18|T2|&lt;64.99%|FICO 660-699|75.00%-80.00%</t>
  </si>
  <si>
    <t>X312</t>
  </si>
  <si>
    <t>STD|L|BR|R|18|T2|&lt;64.99%|FICO 660-699|&lt;74.99%</t>
  </si>
  <si>
    <t>AG312</t>
  </si>
  <si>
    <t>STD|L|BR|P|24|T2|&lt;64.99%|FICO 660-699|&lt;74.99%</t>
  </si>
  <si>
    <t>AQ312</t>
  </si>
  <si>
    <t>STD|L|BR|P|24|T2|&lt;64.99%|FICO 660-699|75.00%-80.00%</t>
  </si>
  <si>
    <t>AR312</t>
  </si>
  <si>
    <t>STD|L|BR|P|12|T3|70.01%-75.00%|FICO 700+|&lt;74.99%</t>
  </si>
  <si>
    <t>C323</t>
  </si>
  <si>
    <t>STD|L|BR|P|18|T3|70.01%-75.00%|FICO 700+|&lt;74.99%</t>
  </si>
  <si>
    <t>W323</t>
  </si>
  <si>
    <t>STD|L|BR|P|24|T3|70.01%-75.00%|FICO 700+|&lt;74.99%</t>
  </si>
  <si>
    <t>AQ323</t>
  </si>
  <si>
    <t>STD|L|BR|P|12|T3|70.01%-75.00%|FICO 680-699|&lt;74.99%</t>
  </si>
  <si>
    <t>C324</t>
  </si>
  <si>
    <t>STD|L|BR|P|18|T3|70.01%-75.00%|FICO 680-699|&lt;74.99%</t>
  </si>
  <si>
    <t>W324</t>
  </si>
  <si>
    <t>STD|L|BR|P|24|T3|70.01%-75.00%|FICO 680-699|&lt;74.99%</t>
  </si>
  <si>
    <t>AQ324</t>
  </si>
  <si>
    <t>STD|L|BR|P|12|T3|65.00%-70.00%|FICO 700+|&lt;74.99%</t>
  </si>
  <si>
    <t>C327</t>
  </si>
  <si>
    <t>STD|L|BR|P|18|T3|65.00%-70.00%|FICO 700+|&lt;74.99%</t>
  </si>
  <si>
    <t>W327</t>
  </si>
  <si>
    <t>STD|L|BR|P|24|T3|65.00%-70.00%|FICO 700+|&lt;74.99%</t>
  </si>
  <si>
    <t>AQ327</t>
  </si>
  <si>
    <t>STD|L|BR|P|12|T3|65.00%-70.00%|FICO 680-699|&lt;74.99%</t>
  </si>
  <si>
    <t>C328</t>
  </si>
  <si>
    <t>STD|L|BR|P|18|T3|65.00%-70.00%|FICO 680-699|&lt;74.99%</t>
  </si>
  <si>
    <t>W328</t>
  </si>
  <si>
    <t>STD|L|BR|P|24|T3|65.00%-70.00%|FICO 680-699|&lt;74.99%</t>
  </si>
  <si>
    <t>AQ328</t>
  </si>
  <si>
    <t>STD|L|BR|P|12|T3|&lt;64.99%|FICO 700+|&lt;74.99%</t>
  </si>
  <si>
    <t>C331</t>
  </si>
  <si>
    <t>STD|L|BR|R|12|T3|&lt;64.99%|FICO 700+|&lt;74.99%</t>
  </si>
  <si>
    <t>M331</t>
  </si>
  <si>
    <t>STD|L|BR|P|18|T3|&lt;64.99%|FICO 700+|&lt;74.99%</t>
  </si>
  <si>
    <t>W331</t>
  </si>
  <si>
    <t>STD|L|BR|R|18|T3|&lt;64.99%|FICO 700+|&lt;74.99%</t>
  </si>
  <si>
    <t>AG331</t>
  </si>
  <si>
    <t>STD|L|BR|P|24|T3|&lt;64.99%|FICO 700+|&lt;74.99%</t>
  </si>
  <si>
    <t>AQ331</t>
  </si>
  <si>
    <t>STD|L|BR|P|12|T3|&lt;64.99%|FICO 680-699|&lt;74.99%</t>
  </si>
  <si>
    <t>C332</t>
  </si>
  <si>
    <t>STD|L|BR|R|12|T3|&lt;64.99%|FICO 680-699|&lt;74.99%</t>
  </si>
  <si>
    <t>M332</t>
  </si>
  <si>
    <t>STD|L|BR|P|18|T3|&lt;64.99%|FICO 680-699|&lt;74.99%</t>
  </si>
  <si>
    <t>W332</t>
  </si>
  <si>
    <t>STD|L|BR|R|18|T3|&lt;64.99%|FICO 680-699|&lt;74.99%</t>
  </si>
  <si>
    <t>AG332</t>
  </si>
  <si>
    <t>STD|L|BR|P|24|T3|&lt;64.99%|FICO 680-699|&lt;74.99%</t>
  </si>
  <si>
    <t>AQ332</t>
  </si>
  <si>
    <t>NYC|S|FF|P|12|T1|70.01%-75.00%|FICO 700+|&lt;74.99%</t>
  </si>
  <si>
    <t>C345</t>
  </si>
  <si>
    <t>NYC|S|FF|P|12|T1|70.01%-75.00%|FICO 700+|75.00%-80.00%</t>
  </si>
  <si>
    <t>D345</t>
  </si>
  <si>
    <t>NYC|S|FF|P|18|T1|70.01%-75.00%|FICO 700+|&lt;74.99%</t>
  </si>
  <si>
    <t>W345</t>
  </si>
  <si>
    <t>NYC|S|FF|P|18|T1|70.01%-75.00%|FICO 700+|75.00%-80.00%</t>
  </si>
  <si>
    <t>X345</t>
  </si>
  <si>
    <t>NYC|S|FF|P|24|T1|70.01%-75.00%|FICO 700+|&lt;74.99%</t>
  </si>
  <si>
    <t>AQ345</t>
  </si>
  <si>
    <t>NYC|S|FF|P|24|T1|70.01%-75.00%|FICO 700+|75.00%-80.00%</t>
  </si>
  <si>
    <t>AR345</t>
  </si>
  <si>
    <t>NYC|S|FF|P|12|T1|65.00%-70.00%|FICO 700+|&lt;74.99%</t>
  </si>
  <si>
    <t>C349</t>
  </si>
  <si>
    <t>NYC|S|FF|P|12|T1|65.00%-70.00%|FICO 700+|75.00%-80.00%</t>
  </si>
  <si>
    <t>D349</t>
  </si>
  <si>
    <t>NYC|S|FF|P|18|T1|65.00%-70.00%|FICO 700+|&lt;74.99%</t>
  </si>
  <si>
    <t>W349</t>
  </si>
  <si>
    <t>NYC|S|FF|P|18|T1|65.00%-70.00%|FICO 700+|75.00%-80.00%</t>
  </si>
  <si>
    <t>X349</t>
  </si>
  <si>
    <t>NYC|S|FF|P|24|T1|65.00%-70.00%|FICO 700+|&lt;74.99%</t>
  </si>
  <si>
    <t>AQ349</t>
  </si>
  <si>
    <t>NYC|S|FF|P|24|T1|65.00%-70.00%|FICO 700+|75.00%-80.00%</t>
  </si>
  <si>
    <t>AR349</t>
  </si>
  <si>
    <t>NYC|S|FF|P|12|T1|&lt;64.99%|FICO 700+|&lt;74.99%</t>
  </si>
  <si>
    <t>C353</t>
  </si>
  <si>
    <t>NYC|S|FF|P|12|T1|&lt;64.99%|FICO 700+|75.00%-80.00%</t>
  </si>
  <si>
    <t>D353</t>
  </si>
  <si>
    <t>NYC|S|FF|P|18|T1|&lt;64.99%|FICO 700+|&lt;74.99%</t>
  </si>
  <si>
    <t>W353</t>
  </si>
  <si>
    <t>NYC|S|FF|P|18|T1|&lt;64.99%|FICO 700+|75.00%-80.00%</t>
  </si>
  <si>
    <t>X353</t>
  </si>
  <si>
    <t>NYC|S|FF|P|24|T1|&lt;64.99%|FICO 700+|&lt;74.99%</t>
  </si>
  <si>
    <t>AQ353</t>
  </si>
  <si>
    <t>NYC|S|FF|P|24|T1|&lt;64.99%|FICO 700+|75.00%-80.00%</t>
  </si>
  <si>
    <t>AR353</t>
  </si>
  <si>
    <t>NYC|S|FF|P|12|T2|70.01%-75.00%|FICO 700+|&lt;74.99%</t>
  </si>
  <si>
    <t>C361</t>
  </si>
  <si>
    <t>NYC|S|FF|P|12|T2|70.01%-75.00%|FICO 700+|75.00%-80.00%</t>
  </si>
  <si>
    <t>D361</t>
  </si>
  <si>
    <t>NYC|S|FF|P|18|T2|70.01%-75.00%|FICO 700+|&lt;74.99%</t>
  </si>
  <si>
    <t>W361</t>
  </si>
  <si>
    <t>NYC|S|FF|P|18|T2|70.01%-75.00%|FICO 700+|75.00%-80.00%</t>
  </si>
  <si>
    <t>X361</t>
  </si>
  <si>
    <t>NYC|S|FF|P|24|T2|70.01%-75.00%|FICO 700+|&lt;74.99%</t>
  </si>
  <si>
    <t>AQ361</t>
  </si>
  <si>
    <t>NYC|S|FF|P|24|T2|70.01%-75.00%|FICO 700+|75.00%-80.00%</t>
  </si>
  <si>
    <t>AR361</t>
  </si>
  <si>
    <t>NYC|S|FF|P|12|T2|65.00%-70.00%|FICO 700+|&lt;74.99%</t>
  </si>
  <si>
    <t>C365</t>
  </si>
  <si>
    <t>NYC|S|FF|P|12|T2|65.00%-70.00%|FICO 700+|75.00%-80.00%</t>
  </si>
  <si>
    <t>D365</t>
  </si>
  <si>
    <t>NYC|S|FF|P|18|T2|65.00%-70.00%|FICO 700+|&lt;74.99%</t>
  </si>
  <si>
    <t>W365</t>
  </si>
  <si>
    <t>NYC|S|FF|P|18|T2|65.00%-70.00%|FICO 700+|75.00%-80.00%</t>
  </si>
  <si>
    <t>X365</t>
  </si>
  <si>
    <t>NYC|S|FF|P|24|T2|65.00%-70.00%|FICO 700+|&lt;74.99%</t>
  </si>
  <si>
    <t>AQ365</t>
  </si>
  <si>
    <t>NYC|S|FF|P|24|T2|65.00%-70.00%|FICO 700+|75.00%-80.00%</t>
  </si>
  <si>
    <t>AR365</t>
  </si>
  <si>
    <t>NYC|S|FF|P|12|T2|&lt;64.99%|FICO 700+|&lt;74.99%</t>
  </si>
  <si>
    <t>C369</t>
  </si>
  <si>
    <t>NYC|S|FF|P|12|T2|&lt;64.99%|FICO 700+|75.00%-80.00%</t>
  </si>
  <si>
    <t>D369</t>
  </si>
  <si>
    <t>NYC|S|FF|P|18|T2|&lt;64.99%|FICO 700+|&lt;74.99%</t>
  </si>
  <si>
    <t>W369</t>
  </si>
  <si>
    <t>NYC|S|FF|P|18|T2|&lt;64.99%|FICO 700+|75.00%-80.00%</t>
  </si>
  <si>
    <t>X369</t>
  </si>
  <si>
    <t>NYC|S|FF|P|24|T2|&lt;64.99%|FICO 700+|&lt;74.99%</t>
  </si>
  <si>
    <t>AQ369</t>
  </si>
  <si>
    <t>NYC|S|FF|P|24|T2|&lt;64.99%|FICO 700+|75.00%-80.00%</t>
  </si>
  <si>
    <t>AR369</t>
  </si>
  <si>
    <t>NYC|S|GUC|P|12|T1|70.01%-75.00%|FICO 700+|&lt;74.99%</t>
  </si>
  <si>
    <t>C396</t>
  </si>
  <si>
    <t>NYC|S|GUC|P|12|T1|70.01%-75.00%|FICO 700+|75.00%-80.00%</t>
  </si>
  <si>
    <t>D396</t>
  </si>
  <si>
    <t>NYC|S|GUC|R|12|T1|70.01%-75.00%|FICO 700+|&lt;74.99%</t>
  </si>
  <si>
    <t>M396</t>
  </si>
  <si>
    <t>NYC|S|GUC|R|12|T1|70.01%-75.00%|FICO 700+|75.00%-80.00%</t>
  </si>
  <si>
    <t>N396</t>
  </si>
  <si>
    <t>NYC|S|GUC|P|18|T1|70.01%-75.00%|FICO 700+|&lt;74.99%</t>
  </si>
  <si>
    <t>W396</t>
  </si>
  <si>
    <t>NYC|S|GUC|P|18|T1|70.01%-75.00%|FICO 700+|75.00%-80.00%</t>
  </si>
  <si>
    <t>X396</t>
  </si>
  <si>
    <t>NYC|S|GUC|R|18|T1|70.01%-75.00%|FICO 700+|&lt;74.99%</t>
  </si>
  <si>
    <t>AG396</t>
  </si>
  <si>
    <t>NYC|S|GUC|R|18|T1|70.01%-75.00%|FICO 700+|75.00%-80.00%</t>
  </si>
  <si>
    <t>AH396</t>
  </si>
  <si>
    <t>NYC|S|GUC|P|24|T1|70.01%-75.00%|FICO 700+|&lt;74.99%</t>
  </si>
  <si>
    <t>AQ396</t>
  </si>
  <si>
    <t>NYC|S|GUC|P|24|T1|70.01%-75.00%|FICO 700+|75.00%-80.00%</t>
  </si>
  <si>
    <t>AR396</t>
  </si>
  <si>
    <t>NYC|S|GUC|P|12|T1|65.00%-70.00%|FICO 700+|&lt;74.99%</t>
  </si>
  <si>
    <t>C400</t>
  </si>
  <si>
    <t>NYC|S|GUC|P|12|T1|65.00%-70.00%|FICO 700+|75.00%-80.00%</t>
  </si>
  <si>
    <t>D400</t>
  </si>
  <si>
    <t>NYC|S|GUC|R|12|T1|65.00%-70.00%|FICO 700+|&lt;74.99%</t>
  </si>
  <si>
    <t>M400</t>
  </si>
  <si>
    <t>NYC|S|GUC|R|12|T1|65.00%-70.00%|FICO 700+|75.00%-80.00%</t>
  </si>
  <si>
    <t>N400</t>
  </si>
  <si>
    <t>NYC|S|GUC|P|18|T1|65.00%-70.00%|FICO 700+|&lt;74.99%</t>
  </si>
  <si>
    <t>W400</t>
  </si>
  <si>
    <t>NYC|S|GUC|P|18|T1|65.00%-70.00%|FICO 700+|75.00%-80.00%</t>
  </si>
  <si>
    <t>X400</t>
  </si>
  <si>
    <t>NYC|S|GUC|R|18|T1|65.00%-70.00%|FICO 700+|&lt;74.99%</t>
  </si>
  <si>
    <t>AG400</t>
  </si>
  <si>
    <t>NYC|S|GUC|R|18|T1|65.00%-70.00%|FICO 700+|75.00%-80.00%</t>
  </si>
  <si>
    <t>AH400</t>
  </si>
  <si>
    <t>NYC|S|GUC|P|24|T1|65.00%-70.00%|FICO 700+|&lt;74.99%</t>
  </si>
  <si>
    <t>AQ400</t>
  </si>
  <si>
    <t>NYC|S|GUC|P|24|T1|65.00%-70.00%|FICO 700+|75.00%-80.00%</t>
  </si>
  <si>
    <t>AR400</t>
  </si>
  <si>
    <t>NYC|S|GUC|P|12|T1|&lt;64.99%|FICO 700+|&lt;74.99%</t>
  </si>
  <si>
    <t>C404</t>
  </si>
  <si>
    <t>NYC|S|GUC|P|12|T1|&lt;64.99%|FICO 700+|75.00%-80.00%</t>
  </si>
  <si>
    <t>D404</t>
  </si>
  <si>
    <t>NYC|S|GUC|R|12|T1|&lt;64.99%|FICO 700+|&lt;74.99%</t>
  </si>
  <si>
    <t>M404</t>
  </si>
  <si>
    <t>NYC|S|GUC|R|12|T1|&lt;64.99%|FICO 700+|75.00%-80.00%</t>
  </si>
  <si>
    <t>N404</t>
  </si>
  <si>
    <t>NYC|S|GUC|P|18|T1|&lt;64.99%|FICO 700+|&lt;74.99%</t>
  </si>
  <si>
    <t>W404</t>
  </si>
  <si>
    <t>NYC|S|GUC|P|18|T1|&lt;64.99%|FICO 700+|75.00%-80.00%</t>
  </si>
  <si>
    <t>X404</t>
  </si>
  <si>
    <t>NYC|S|GUC|R|18|T1|&lt;64.99%|FICO 700+|&lt;74.99%</t>
  </si>
  <si>
    <t>AG404</t>
  </si>
  <si>
    <t>NYC|S|GUC|R|18|T1|&lt;64.99%|FICO 700+|75.00%-80.00%</t>
  </si>
  <si>
    <t>AH404</t>
  </si>
  <si>
    <t>NYC|S|GUC|P|24|T1|&lt;64.99%|FICO 700+|&lt;74.99%</t>
  </si>
  <si>
    <t>AQ404</t>
  </si>
  <si>
    <t>NYC|S|GUC|P|24|T1|&lt;64.99%|FICO 700+|75.00%-80.00%</t>
  </si>
  <si>
    <t>AR404</t>
  </si>
  <si>
    <t>NYC|S|GUC|P|12|T2|65.00%-70.00%|FICO 700+|&lt;74.99%</t>
  </si>
  <si>
    <t>C416</t>
  </si>
  <si>
    <t>NYC|S|GUC|P|12|T2|65.00%-70.00%|FICO 700+|75.00%-80.00%</t>
  </si>
  <si>
    <t>D416</t>
  </si>
  <si>
    <t>NYC|S|GUC|R|12|T2|65.00%-70.00%|FICO 700+|&lt;74.99%</t>
  </si>
  <si>
    <t>M416</t>
  </si>
  <si>
    <t>NYC|S|GUC|R|12|T2|65.00%-70.00%|FICO 700+|75.00%-80.00%</t>
  </si>
  <si>
    <t>N416</t>
  </si>
  <si>
    <t>NYC|S|GUC|P|18|T2|65.00%-70.00%|FICO 700+|&lt;74.99%</t>
  </si>
  <si>
    <t>W416</t>
  </si>
  <si>
    <t>NYC|S|GUC|P|18|T2|65.00%-70.00%|FICO 700+|75.00%-80.00%</t>
  </si>
  <si>
    <t>X416</t>
  </si>
  <si>
    <t>NYC|S|GUC|R|18|T2|65.00%-70.00%|FICO 700+|&lt;74.99%</t>
  </si>
  <si>
    <t>AG416</t>
  </si>
  <si>
    <t>NYC|S|GUC|R|18|T2|65.00%-70.00%|FICO 700+|75.00%-80.00%</t>
  </si>
  <si>
    <t>AH416</t>
  </si>
  <si>
    <t>NYC|S|GUC|P|24|T2|65.00%-70.00%|FICO 700+|&lt;74.99%</t>
  </si>
  <si>
    <t>AQ416</t>
  </si>
  <si>
    <t>NYC|S|GUC|P|24|T2|65.00%-70.00%|FICO 700+|75.00%-80.00%</t>
  </si>
  <si>
    <t>AR416</t>
  </si>
  <si>
    <t>NYC|S|GUC|P|12|T2|65.00%-70.00%|FICO 660-699|&lt;74.99%</t>
  </si>
  <si>
    <t>C417</t>
  </si>
  <si>
    <t>NYC|S|GUC|P|12|T2|65.00%-70.00%|FICO 660-699|75.00%-80.00%</t>
  </si>
  <si>
    <t>D417</t>
  </si>
  <si>
    <t>NYC|S|GUC|R|12|T2|65.00%-70.00%|FICO 660-699|&lt;74.99%</t>
  </si>
  <si>
    <t>M417</t>
  </si>
  <si>
    <t>NYC|S|GUC|R|12|T2|65.00%-70.00%|FICO 660-699|75.00%-80.00%</t>
  </si>
  <si>
    <t>N417</t>
  </si>
  <si>
    <t>NYC|S|GUC|P|18|T2|65.00%-70.00%|FICO 660-699|&lt;74.99%</t>
  </si>
  <si>
    <t>W417</t>
  </si>
  <si>
    <t>NYC|S|GUC|P|18|T2|65.00%-70.00%|FICO 660-699|75.00%-80.00%</t>
  </si>
  <si>
    <t>X417</t>
  </si>
  <si>
    <t>NYC|S|GUC|R|18|T2|65.00%-70.00%|FICO 660-699|&lt;74.99%</t>
  </si>
  <si>
    <t>AG417</t>
  </si>
  <si>
    <t>NYC|S|GUC|R|18|T2|65.00%-70.00%|FICO 660-699|75.00%-80.00%</t>
  </si>
  <si>
    <t>AH417</t>
  </si>
  <si>
    <t>NYC|S|GUC|P|24|T2|65.00%-70.00%|FICO 660-699|&lt;74.99%</t>
  </si>
  <si>
    <t>AQ417</t>
  </si>
  <si>
    <t>NYC|S|GUC|P|24|T2|65.00%-70.00%|FICO 660-699|75.00%-80.00%</t>
  </si>
  <si>
    <t>AR417</t>
  </si>
  <si>
    <t>NYC|S|GUC|P|12|T2|&lt;64.99%|FICO 700+|&lt;74.99%</t>
  </si>
  <si>
    <t>C420</t>
  </si>
  <si>
    <t>NYC|S|GUC|P|12|T2|&lt;64.99%|FICO 700+|75.00%-80.00%</t>
  </si>
  <si>
    <t>D420</t>
  </si>
  <si>
    <t>NYC|S|GUC|R|12|T2|&lt;64.99%|FICO 700+|&lt;74.99%</t>
  </si>
  <si>
    <t>M420</t>
  </si>
  <si>
    <t>NYC|S|GUC|R|12|T2|&lt;64.99%|FICO 700+|75.00%-80.00%</t>
  </si>
  <si>
    <t>N420</t>
  </si>
  <si>
    <t>NYC|S|GUC|P|18|T2|&lt;64.99%|FICO 700+|&lt;74.99%</t>
  </si>
  <si>
    <t>W420</t>
  </si>
  <si>
    <t>NYC|S|GUC|P|18|T2|&lt;64.99%|FICO 700+|75.00%-80.00%</t>
  </si>
  <si>
    <t>X420</t>
  </si>
  <si>
    <t>NYC|S|GUC|R|18|T2|&lt;64.99%|FICO 700+|&lt;74.99%</t>
  </si>
  <si>
    <t>AG420</t>
  </si>
  <si>
    <t>NYC|S|GUC|R|18|T2|&lt;64.99%|FICO 700+|75.00%-80.00%</t>
  </si>
  <si>
    <t>AH420</t>
  </si>
  <si>
    <t>NYC|S|GUC|P|24|T2|&lt;64.99%|FICO 700+|&lt;74.99%</t>
  </si>
  <si>
    <t>AQ420</t>
  </si>
  <si>
    <t>NYC|S|GUC|P|24|T2|&lt;64.99%|FICO 700+|75.00%-80.00%</t>
  </si>
  <si>
    <t>AR420</t>
  </si>
  <si>
    <t>NYC|S|GUC|P|12|T2|&lt;64.99%|FICO 660-699|&lt;74.99%</t>
  </si>
  <si>
    <t>C421</t>
  </si>
  <si>
    <t>NYC|S|GUC|P|12|T2|&lt;64.99%|FICO 660-699|75.00%-80.00%</t>
  </si>
  <si>
    <t>D421</t>
  </si>
  <si>
    <t>NYC|S|GUC|R|12|T2|&lt;64.99%|FICO 660-699|&lt;74.99%</t>
  </si>
  <si>
    <t>M421</t>
  </si>
  <si>
    <t>NYC|S|GUC|R|12|T2|&lt;64.99%|FICO 660-699|75.00%-80.00%</t>
  </si>
  <si>
    <t>N421</t>
  </si>
  <si>
    <t>NYC|S|GUC|P|18|T2|&lt;64.99%|FICO 660-699|&lt;74.99%</t>
  </si>
  <si>
    <t>W421</t>
  </si>
  <si>
    <t>NYC|S|GUC|P|18|T2|&lt;64.99%|FICO 660-699|75.00%-80.00%</t>
  </si>
  <si>
    <t>X421</t>
  </si>
  <si>
    <t>NYC|S|GUC|R|18|T2|&lt;64.99%|FICO 660-699|&lt;74.99%</t>
  </si>
  <si>
    <t>AG421</t>
  </si>
  <si>
    <t>NYC|S|GUC|R|18|T2|&lt;64.99%|FICO 660-699|75.00%-80.00%</t>
  </si>
  <si>
    <t>AH421</t>
  </si>
  <si>
    <t>NYC|S|GUC|P|24|T2|&lt;64.99%|FICO 660-699|&lt;74.99%</t>
  </si>
  <si>
    <t>AQ421</t>
  </si>
  <si>
    <t>NYC|S|GUC|P|24|T2|&lt;64.99%|FICO 660-699|75.00%-80.00%</t>
  </si>
  <si>
    <t>AR421</t>
  </si>
  <si>
    <t>NYC|S|BR|P|12|T1|70.01%-75.00%|FICO 700+|&lt;74.99%</t>
  </si>
  <si>
    <t>C451</t>
  </si>
  <si>
    <t>NYC|S|BR|P|12|T1|70.01%-75.00%|FICO 700+|75.00%-80.00%</t>
  </si>
  <si>
    <t>D451</t>
  </si>
  <si>
    <t>NYC|S|BR|R|12|T1|70.01%-75.00%|FICO 700+|&lt;74.99%</t>
  </si>
  <si>
    <t>M451</t>
  </si>
  <si>
    <t>NYC|S|BR|P|18|T1|70.01%-75.00%|FICO 700+|&lt;74.99%</t>
  </si>
  <si>
    <t>W451</t>
  </si>
  <si>
    <t>NYC|S|BR|P|18|T1|70.01%-75.00%|FICO 700+|75.00%-80.00%</t>
  </si>
  <si>
    <t>X451</t>
  </si>
  <si>
    <t>NYC|S|BR|R|18|T1|70.01%-75.00%|FICO 700+|&lt;74.99%</t>
  </si>
  <si>
    <t>AG451</t>
  </si>
  <si>
    <t>NYC|S|BR|P|24|T1|70.01%-75.00%|FICO 700+|&lt;74.99%</t>
  </si>
  <si>
    <t>AQ451</t>
  </si>
  <si>
    <t>NYC|S|BR|P|24|T1|70.01%-75.00%|FICO 700+|75.00%-80.00%</t>
  </si>
  <si>
    <t>AR451</t>
  </si>
  <si>
    <t>NYC|S|BR|P|12|T1|65.00%-70.00%|FICO 700+|&lt;74.99%</t>
  </si>
  <si>
    <t>C455</t>
  </si>
  <si>
    <t>NYC|S|BR|P|12|T1|65.00%-70.00%|FICO 700+|75.00%-80.00%</t>
  </si>
  <si>
    <t>D455</t>
  </si>
  <si>
    <t>NYC|S|BR|R|12|T1|65.00%-70.00%|FICO 700+|&lt;74.99%</t>
  </si>
  <si>
    <t>M455</t>
  </si>
  <si>
    <t>NYC|S|BR|P|18|T1|65.00%-70.00%|FICO 700+|&lt;74.99%</t>
  </si>
  <si>
    <t>W455</t>
  </si>
  <si>
    <t>NYC|S|BR|P|18|T1|65.00%-70.00%|FICO 700+|75.00%-80.00%</t>
  </si>
  <si>
    <t>X455</t>
  </si>
  <si>
    <t>NYC|S|BR|R|18|T1|65.00%-70.00%|FICO 700+|&lt;74.99%</t>
  </si>
  <si>
    <t>AG455</t>
  </si>
  <si>
    <t>NYC|S|BR|P|24|T1|65.00%-70.00%|FICO 700+|&lt;74.99%</t>
  </si>
  <si>
    <t>AQ455</t>
  </si>
  <si>
    <t>NYC|S|BR|P|24|T1|65.00%-70.00%|FICO 700+|75.00%-80.00%</t>
  </si>
  <si>
    <t>AR455</t>
  </si>
  <si>
    <t>NYC|S|BR|P|12|T1|&lt;64.99%|FICO 700+|&lt;74.99%</t>
  </si>
  <si>
    <t>C459</t>
  </si>
  <si>
    <t>NYC|S|BR|P|12|T1|&lt;64.99%|FICO 700+|75.00%-80.00%</t>
  </si>
  <si>
    <t>D459</t>
  </si>
  <si>
    <t>NYC|S|BR|R|12|T1|&lt;64.99%|FICO 700+|&lt;74.99%</t>
  </si>
  <si>
    <t>M459</t>
  </si>
  <si>
    <t>NYC|S|BR|P|18|T1|&lt;64.99%|FICO 700+|&lt;74.99%</t>
  </si>
  <si>
    <t>W459</t>
  </si>
  <si>
    <t>NYC|S|BR|P|18|T1|&lt;64.99%|FICO 700+|75.00%-80.00%</t>
  </si>
  <si>
    <t>X459</t>
  </si>
  <si>
    <t>NYC|S|BR|R|18|T1|&lt;64.99%|FICO 700+|&lt;74.99%</t>
  </si>
  <si>
    <t>AG459</t>
  </si>
  <si>
    <t>NYC|S|BR|P|24|T1|&lt;64.99%|FICO 700+|&lt;74.99%</t>
  </si>
  <si>
    <t>AQ459</t>
  </si>
  <si>
    <t>NYC|S|BR|P|24|T1|&lt;64.99%|FICO 700+|75.00%-80.00%</t>
  </si>
  <si>
    <t>AR459</t>
  </si>
  <si>
    <t>NYC|S|BR|P|12|T2|70.01%-75.00%|FICO 700+|&lt;74.99%</t>
  </si>
  <si>
    <t>C471</t>
  </si>
  <si>
    <t>NYC|S|BR|P|12|T2|70.01%-75.00%|FICO 700+|75.00%-80.00%</t>
  </si>
  <si>
    <t>D471</t>
  </si>
  <si>
    <t>NYC|S|BR|P|18|T2|70.01%-75.00%|FICO 700+|&lt;74.99%</t>
  </si>
  <si>
    <t>W471</t>
  </si>
  <si>
    <t>NYC|S|BR|P|18|T2|70.01%-75.00%|FICO 700+|75.00%-80.00%</t>
  </si>
  <si>
    <t>X471</t>
  </si>
  <si>
    <t>NYC|S|BR|P|24|T2|70.01%-75.00%|FICO 700+|&lt;74.99%</t>
  </si>
  <si>
    <t>AQ471</t>
  </si>
  <si>
    <t>NYC|S|BR|P|24|T2|70.01%-75.00%|FICO 700+|75.00%-80.00%</t>
  </si>
  <si>
    <t>AR471</t>
  </si>
  <si>
    <t>NYC|S|BR|P|12|T2|65.00%-70.00%|FICO 700+|&lt;74.99%</t>
  </si>
  <si>
    <t>C475</t>
  </si>
  <si>
    <t>NYC|S|BR|P|12|T2|65.00%-70.00%|FICO 700+|75.00%-80.00%</t>
  </si>
  <si>
    <t>D475</t>
  </si>
  <si>
    <t>NYC|S|BR|R|12|T2|65.00%-70.00%|FICO 700+|&lt;74.99%</t>
  </si>
  <si>
    <t>M475</t>
  </si>
  <si>
    <t>NYC|S|BR|P|18|T2|65.00%-70.00%|FICO 700+|&lt;74.99%</t>
  </si>
  <si>
    <t>W475</t>
  </si>
  <si>
    <t>NYC|S|BR|P|18|T2|65.00%-70.00%|FICO 700+|75.00%-80.00%</t>
  </si>
  <si>
    <t>X475</t>
  </si>
  <si>
    <t>NYC|S|BR|R|18|T2|65.00%-70.00%|FICO 700+|&lt;74.99%</t>
  </si>
  <si>
    <t>AG475</t>
  </si>
  <si>
    <t>NYC|S|BR|P|24|T2|65.00%-70.00%|FICO 700+|&lt;74.99%</t>
  </si>
  <si>
    <t>AQ475</t>
  </si>
  <si>
    <t>NYC|S|BR|P|24|T2|65.00%-70.00%|FICO 700+|75.00%-80.00%</t>
  </si>
  <si>
    <t>AR475</t>
  </si>
  <si>
    <t>NYC|S|BR|P|12|T2|&lt;64.99%|FICO 700+|&lt;74.99%</t>
  </si>
  <si>
    <t>C479</t>
  </si>
  <si>
    <t>NYC|S|BR|P|12|T2|&lt;64.99%|FICO 700+|75.00%-80.00%</t>
  </si>
  <si>
    <t>D479</t>
  </si>
  <si>
    <t>NYC|S|BR|R|12|T2|&lt;64.99%|FICO 700+|&lt;74.99%</t>
  </si>
  <si>
    <t>M479</t>
  </si>
  <si>
    <t>NYC|S|BR|P|18|T2|&lt;64.99%|FICO 700+|&lt;74.99%</t>
  </si>
  <si>
    <t>W479</t>
  </si>
  <si>
    <t>NYC|S|BR|P|18|T2|&lt;64.99%|FICO 700+|75.00%-80.00%</t>
  </si>
  <si>
    <t>X479</t>
  </si>
  <si>
    <t>NYC|S|BR|R|18|T2|&lt;64.99%|FICO 700+|&lt;74.99%</t>
  </si>
  <si>
    <t>AG479</t>
  </si>
  <si>
    <t>NYC|S|BR|P|24|T2|&lt;64.99%|FICO 700+|&lt;74.99%</t>
  </si>
  <si>
    <t>AQ479</t>
  </si>
  <si>
    <t>NYC|S|BR|P|24|T2|&lt;64.99%|FICO 700+|75.00%-80.00%</t>
  </si>
  <si>
    <t>AR479</t>
  </si>
  <si>
    <t>NYC|S|BR|P|12|T3|70.01%-75.00%|FICO 700+|&lt;74.99%</t>
  </si>
  <si>
    <t>C491</t>
  </si>
  <si>
    <t>NYC|S|BR|P|18|T3|70.01%-75.00%|FICO 700+|&lt;74.99%</t>
  </si>
  <si>
    <t>W491</t>
  </si>
  <si>
    <t>NYC|S|BR|P|24|T3|70.01%-75.00%|FICO 700+|&lt;74.99%</t>
  </si>
  <si>
    <t>AQ491</t>
  </si>
  <si>
    <t>NYC|S|BR|P|12|T3|65.00%-70.00%|FICO 700+|&lt;74.99%</t>
  </si>
  <si>
    <t>C495</t>
  </si>
  <si>
    <t>NYC|S|BR|P|18|T3|65.00%-70.00%|FICO 700+|&lt;74.99%</t>
  </si>
  <si>
    <t>W495</t>
  </si>
  <si>
    <t>NYC|S|BR|P|24|T3|65.00%-70.00%|FICO 700+|&lt;74.99%</t>
  </si>
  <si>
    <t>AQ495</t>
  </si>
  <si>
    <t>NYC|S|BR|P|12|T3|&lt;64.99%|FICO 700+|&lt;74.99%</t>
  </si>
  <si>
    <t>C499</t>
  </si>
  <si>
    <t>NYC|S|BR|R|12|T3|&lt;64.99%|FICO 700+|&lt;74.99%</t>
  </si>
  <si>
    <t>M499</t>
  </si>
  <si>
    <t>NYC|S|BR|P|18|T3|&lt;64.99%|FICO 700+|&lt;74.99%</t>
  </si>
  <si>
    <t>W499</t>
  </si>
  <si>
    <t>NYC|S|BR|R|18|T3|&lt;64.99%|FICO 700+|&lt;74.99%</t>
  </si>
  <si>
    <t>AG499</t>
  </si>
  <si>
    <t>NYC|S|BR|P|24|T3|&lt;64.99%|FICO 700+|&lt;74.99%</t>
  </si>
  <si>
    <t>AQ499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</si>
</sst>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00%"/>
    <numFmt numFmtId="166" formatCode="0.0%"/>
  </numFmts>
  <fonts count="27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404040"/>
      <name val="Arial"/>
      <charset val="1"/>
    </font>
    <font>
      <b/>
      <sz val="11"/>
      <color rgb="FFFFFFFF"/>
      <name val="Arial"/>
      <charset val="1"/>
    </font>
    <font>
      <sz val="8"/>
      <color rgb="FF808080"/>
      <name val="Arial"/>
      <charset val="1"/>
    </font>
    <font>
      <sz val="10"/>
      <name val="Arial"/>
      <charset val="1"/>
    </font>
    <font>
      <b/>
      <sz val="10"/>
      <color rgb="FF0000FF"/>
      <name val="Arial"/>
      <charset val="1"/>
    </font>
    <font>
      <i/>
      <sz val="10"/>
      <color rgb="FF006100"/>
      <name val="Arial"/>
      <charset val="1"/>
    </font>
    <font>
      <b/>
      <sz val="12"/>
      <name val="Arial"/>
      <charset val="1"/>
    </font>
    <font>
      <b/>
      <sz val="14"/>
      <color rgb="FF1F3864"/>
      <name val="Arial"/>
      <charset val="1"/>
    </font>
    <font>
      <i/>
      <sz val="8"/>
      <color rgb="FF808080"/>
      <name val="Arial"/>
      <charset val="1"/>
    </font>
    <font>
      <sz val="9"/>
      <color rgb="FFC00000"/>
      <name val="Arial"/>
      <charset val="1"/>
    </font>
    <font>
      <b/>
      <i/>
      <sz val="9"/>
      <color rgb="FF9C0006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sz val="9"/>
      <color rgb="FF9C0006"/>
      <name val="Arial"/>
      <charset val="1"/>
    </font>
    <font>
      <sz val="8"/>
      <name val="Arial"/>
      <charset val="1"/>
    </font>
    <font>
      <sz val="16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color theme="0"/>
      <name val="Garamond"/>
      <family val="1"/>
      <charset val="1"/>
    </font>
    <font>
      <sz val="10"/>
      <color theme="1"/>
      <name val="Garamond"/>
      <family val="1"/>
      <charset val="1"/>
    </font>
    <font>
      <sz val="12"/>
      <color theme="1"/>
      <name val="Garamond"/>
      <family val="1"/>
      <charset val="1"/>
    </font>
    <font>
      <b/>
      <sz val="10"/>
      <color theme="1"/>
      <name val="Garamond"/>
      <family val="1"/>
      <charset val="1"/>
    </font>
    <font>
      <b/>
      <sz val="10"/>
      <color theme="0"/>
      <name val="Garamond"/>
      <family val="1"/>
      <charset val="1"/>
    </font>
    <font>
      <sz val="10"/>
      <color theme="1"/>
      <name val="Calibri"/>
      <family val="2"/>
      <charset val="1"/>
    </font>
    <font>
      <sz val="11"/>
      <color theme="1"/>
      <name val="Garamond"/>
      <family val="1"/>
      <charset val="1"/>
    </font>
    <font>
      <b/>
      <sz val="11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203864"/>
      </patternFill>
    </fill>
    <fill>
      <patternFill patternType="solid">
        <fgColor rgb="FF2E5496"/>
        <bgColor rgb="FF2F5597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theme="1"/>
        <bgColor rgb="FF003300"/>
      </patternFill>
    </fill>
    <fill>
      <patternFill patternType="solid">
        <fgColor theme="0"/>
        <bgColor rgb="FFF2F2F2"/>
      </patternFill>
    </fill>
    <fill>
      <patternFill patternType="solid">
        <fgColor rgb="FF227ACB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theme="4" tint="-0.249977111117893"/>
        <bgColor rgb="FF2E5496"/>
      </patternFill>
    </fill>
    <fill>
      <patternFill patternType="solid">
        <fgColor theme="2" tint="-9.9978637043366805E-2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0070C0"/>
        <bgColor rgb="FF227ACB"/>
      </patternFill>
    </fill>
    <fill>
      <patternFill patternType="solid">
        <fgColor theme="4" tint="-0.499984740745262"/>
        <bgColor rgb="FF1F38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1" fontId="6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 wrapText="1"/>
    </xf>
    <xf numFmtId="164" fontId="6" fillId="4" borderId="1" xfId="0" applyNumberFormat="1" applyFont="1" applyFill="1" applyBorder="1" applyAlignment="1" applyProtection="1">
      <alignment horizontal="center" vertical="center"/>
      <protection locked="0"/>
    </xf>
    <xf numFmtId="165" fontId="6" fillId="4" borderId="1" xfId="0" applyNumberFormat="1" applyFont="1" applyFill="1" applyBorder="1" applyAlignment="1" applyProtection="1">
      <alignment horizontal="center" vertical="center"/>
      <protection locked="0"/>
    </xf>
    <xf numFmtId="165" fontId="0" fillId="0" borderId="0" xfId="0" applyNumberFormat="1"/>
    <xf numFmtId="0" fontId="5" fillId="0" borderId="0" xfId="0" applyFont="1" applyAlignment="1">
      <alignment vertical="center" wrapText="1"/>
    </xf>
    <xf numFmtId="2" fontId="5" fillId="0" borderId="0" xfId="0" applyNumberFormat="1" applyFont="1" applyAlignment="1">
      <alignment horizontal="center" vertical="center"/>
    </xf>
    <xf numFmtId="2" fontId="6" fillId="4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166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0" xfId="0" applyFont="1"/>
    <xf numFmtId="165" fontId="9" fillId="6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3" fillId="5" borderId="1" xfId="0" applyFont="1" applyFill="1" applyBorder="1"/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14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17" fillId="9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0" fillId="13" borderId="5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0" fontId="22" fillId="13" borderId="3" xfId="0" applyNumberFormat="1" applyFont="1" applyFill="1" applyBorder="1" applyAlignment="1">
      <alignment horizontal="center" vertical="center"/>
    </xf>
    <xf numFmtId="10" fontId="22" fillId="9" borderId="0" xfId="0" applyNumberFormat="1" applyFont="1" applyFill="1" applyAlignment="1">
      <alignment horizontal="center" vertical="center"/>
    </xf>
    <xf numFmtId="10" fontId="22" fillId="10" borderId="0" xfId="0" applyNumberFormat="1" applyFont="1" applyFill="1" applyAlignment="1">
      <alignment horizontal="center" vertical="center"/>
    </xf>
    <xf numFmtId="0" fontId="20" fillId="0" borderId="6" xfId="0" applyFont="1" applyBorder="1" applyAlignment="1">
      <alignment horizontal="right" vertical="center"/>
    </xf>
    <xf numFmtId="165" fontId="20" fillId="0" borderId="0" xfId="0" applyNumberFormat="1" applyFont="1" applyAlignment="1">
      <alignment horizontal="center" vertical="center"/>
    </xf>
    <xf numFmtId="10" fontId="20" fillId="13" borderId="0" xfId="0" applyNumberFormat="1" applyFont="1" applyFill="1" applyAlignment="1">
      <alignment horizontal="center" vertical="center"/>
    </xf>
    <xf numFmtId="10" fontId="20" fillId="9" borderId="0" xfId="0" applyNumberFormat="1" applyFont="1" applyFill="1" applyAlignment="1">
      <alignment horizontal="center" vertical="center"/>
    </xf>
    <xf numFmtId="10" fontId="20" fillId="10" borderId="0" xfId="0" applyNumberFormat="1" applyFont="1" applyFill="1" applyAlignment="1">
      <alignment horizontal="center" vertical="center"/>
    </xf>
    <xf numFmtId="0" fontId="20" fillId="0" borderId="4" xfId="0" applyFont="1" applyBorder="1" applyAlignment="1">
      <alignment horizontal="right" vertical="center"/>
    </xf>
    <xf numFmtId="165" fontId="20" fillId="0" borderId="2" xfId="0" applyNumberFormat="1" applyFont="1" applyBorder="1" applyAlignment="1">
      <alignment horizontal="center" vertical="center"/>
    </xf>
    <xf numFmtId="10" fontId="20" fillId="13" borderId="2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65" fontId="22" fillId="11" borderId="2" xfId="0" applyNumberFormat="1" applyFont="1" applyFill="1" applyBorder="1" applyAlignment="1">
      <alignment horizontal="center" vertical="center"/>
    </xf>
    <xf numFmtId="165" fontId="22" fillId="9" borderId="2" xfId="0" applyNumberFormat="1" applyFont="1" applyFill="1" applyBorder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10" fontId="22" fillId="13" borderId="2" xfId="0" applyNumberFormat="1" applyFont="1" applyFill="1" applyBorder="1" applyAlignment="1">
      <alignment horizontal="center" vertical="center"/>
    </xf>
    <xf numFmtId="10" fontId="20" fillId="8" borderId="0" xfId="0" applyNumberFormat="1" applyFont="1" applyFill="1" applyAlignment="1">
      <alignment horizontal="center" vertical="center"/>
    </xf>
    <xf numFmtId="165" fontId="22" fillId="9" borderId="0" xfId="0" applyNumberFormat="1" applyFont="1" applyFill="1" applyAlignment="1">
      <alignment horizontal="center" vertical="center"/>
    </xf>
    <xf numFmtId="165" fontId="22" fillId="10" borderId="0" xfId="0" applyNumberFormat="1" applyFont="1" applyFill="1" applyAlignment="1">
      <alignment horizontal="center" vertical="center"/>
    </xf>
    <xf numFmtId="165" fontId="20" fillId="9" borderId="0" xfId="0" applyNumberFormat="1" applyFont="1" applyFill="1" applyAlignment="1">
      <alignment horizontal="center" vertical="center"/>
    </xf>
    <xf numFmtId="165" fontId="20" fillId="10" borderId="0" xfId="0" applyNumberFormat="1" applyFont="1" applyFill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13" borderId="4" xfId="0" applyFont="1" applyFill="1" applyBorder="1" applyAlignment="1">
      <alignment horizontal="center" vertical="center"/>
    </xf>
    <xf numFmtId="165" fontId="22" fillId="11" borderId="3" xfId="0" applyNumberFormat="1" applyFont="1" applyFill="1" applyBorder="1" applyAlignment="1">
      <alignment horizontal="center" vertical="center"/>
    </xf>
    <xf numFmtId="165" fontId="22" fillId="9" borderId="3" xfId="0" applyNumberFormat="1" applyFont="1" applyFill="1" applyBorder="1" applyAlignment="1">
      <alignment horizontal="center" vertical="center"/>
    </xf>
    <xf numFmtId="10" fontId="20" fillId="13" borderId="3" xfId="0" applyNumberFormat="1" applyFont="1" applyFill="1" applyBorder="1" applyAlignment="1">
      <alignment horizontal="center" vertical="center"/>
    </xf>
    <xf numFmtId="165" fontId="20" fillId="13" borderId="0" xfId="0" applyNumberFormat="1" applyFont="1" applyFill="1" applyAlignment="1">
      <alignment horizontal="center" vertical="center"/>
    </xf>
    <xf numFmtId="0" fontId="24" fillId="0" borderId="0" xfId="0" applyFont="1"/>
    <xf numFmtId="0" fontId="24" fillId="0" borderId="7" xfId="0" applyFont="1" applyBorder="1"/>
    <xf numFmtId="49" fontId="24" fillId="0" borderId="0" xfId="0" applyNumberFormat="1" applyFont="1"/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5" borderId="2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6" fontId="25" fillId="0" borderId="0" xfId="0" applyNumberFormat="1" applyFont="1" applyAlignment="1">
      <alignment horizontal="center" vertical="center"/>
    </xf>
    <xf numFmtId="10" fontId="25" fillId="0" borderId="0" xfId="0" applyNumberFormat="1" applyFont="1" applyAlignment="1">
      <alignment horizontal="center" vertical="center"/>
    </xf>
    <xf numFmtId="0" fontId="26" fillId="0" borderId="0" xfId="0" applyFont="1"/>
    <xf numFmtId="0" fontId="11" fillId="7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2" fillId="7" borderId="0" xfId="0" applyFont="1" applyFill="1" applyAlignment="1">
      <alignment horizontal="left" vertical="center" wrapText="1"/>
    </xf>
    <xf numFmtId="0" fontId="3" fillId="3" borderId="0" xfId="0" applyFont="1" applyFill="1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1" fillId="4" borderId="0" xfId="0" applyFont="1" applyFill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18" fillId="14" borderId="3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23" fillId="15" borderId="0" xfId="0" applyFont="1" applyFill="1" applyAlignment="1">
      <alignment horizontal="center" vertical="center"/>
    </xf>
    <xf numFmtId="0" fontId="19" fillId="16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2E5496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70C0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27ACB"/>
      <rgbColor rgb="FF33CCCC"/>
      <rgbColor rgb="FF99CC00"/>
      <rgbColor rgb="FFFFC000"/>
      <rgbColor rgb="FFFF9900"/>
      <rgbColor rgb="FFFF6600"/>
      <rgbColor rgb="FF2F5597"/>
      <rgbColor rgb="FF969696"/>
      <rgbColor rgb="FF1F3864"/>
      <rgbColor rgb="FF339966"/>
      <rgbColor rgb="FF003300"/>
      <rgbColor rgb="FF333300"/>
      <rgbColor rgb="FF993300"/>
      <rgbColor rgb="FF993366"/>
      <rgbColor rgb="FF20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67"/>
  <sheetViews>
    <sheetView showGridLines="0" tabSelected="1" zoomScaleNormal="100" workbookViewId="0">
      <pane xSplit="1" ySplit="4" topLeftCell="B39" activePane="bottomRight" state="frozen"/>
      <selection pane="topRight" activeCell="B1" sqref="B1"/>
      <selection pane="bottomLeft" activeCell="A5" sqref="A5"/>
      <selection pane="bottomRight" activeCell="D17" sqref="D17"/>
    </sheetView>
  </sheetViews>
  <sheetFormatPr defaultColWidth="8.73046875" defaultRowHeight="14.25" x14ac:dyDescent="0.45"/>
  <cols>
    <col min="1" max="1" width="2.3984375" customWidth="1"/>
    <col min="2" max="2" width="52" customWidth="1"/>
    <col min="3" max="3" width="40" customWidth="1"/>
    <col min="4" max="4" width="64" customWidth="1"/>
    <col min="5" max="5" width="50" customWidth="1"/>
    <col min="10" max="11" width="30" hidden="1" customWidth="1"/>
  </cols>
  <sheetData>
    <row r="2" spans="2:11" ht="27.75" customHeight="1" x14ac:dyDescent="0.45">
      <c r="B2" s="92" t="s">
        <v>0</v>
      </c>
      <c r="C2" s="92"/>
      <c r="D2" s="92"/>
    </row>
    <row r="3" spans="2:11" ht="30.75" customHeight="1" x14ac:dyDescent="0.45">
      <c r="B3" s="93" t="s">
        <v>1</v>
      </c>
      <c r="C3" s="93"/>
      <c r="D3" s="93"/>
    </row>
    <row r="4" spans="2:11" ht="15.75" customHeight="1" x14ac:dyDescent="0.45"/>
    <row r="5" spans="2:11" ht="19.5" customHeight="1" x14ac:dyDescent="0.45">
      <c r="B5" s="91" t="s">
        <v>2</v>
      </c>
      <c r="C5" s="91"/>
      <c r="D5" s="91"/>
      <c r="J5" s="1" t="s">
        <v>3</v>
      </c>
      <c r="K5" t="str">
        <f>INDEX(MktTokens,MATCH(C9,MktLabels,0))</f>
        <v>STD</v>
      </c>
    </row>
    <row r="6" spans="2:11" ht="15.75" customHeight="1" x14ac:dyDescent="0.45">
      <c r="B6" s="2" t="s">
        <v>4</v>
      </c>
      <c r="C6" s="3" t="s">
        <v>288</v>
      </c>
      <c r="J6" s="1" t="s">
        <v>6</v>
      </c>
      <c r="K6" t="str">
        <f>IF(C17&lt;=2500000,"S","L")</f>
        <v>S</v>
      </c>
    </row>
    <row r="7" spans="2:11" ht="15.75" customHeight="1" x14ac:dyDescent="0.45">
      <c r="B7" s="2" t="s">
        <v>7</v>
      </c>
      <c r="C7" s="3" t="s">
        <v>8</v>
      </c>
      <c r="J7" s="1" t="s">
        <v>9</v>
      </c>
      <c r="K7" t="str">
        <f>INDEX(ProdTokens,MATCH(C6,ProdLabels,0))</f>
        <v>GUC</v>
      </c>
    </row>
    <row r="8" spans="2:11" ht="15.75" customHeight="1" x14ac:dyDescent="0.45">
      <c r="B8" s="2" t="s">
        <v>10</v>
      </c>
      <c r="C8" s="4">
        <v>18</v>
      </c>
      <c r="J8" s="1" t="s">
        <v>11</v>
      </c>
      <c r="K8" t="str">
        <f>INDEX(PurpTokens,MATCH(C7,PurpLabels,0))</f>
        <v>P</v>
      </c>
    </row>
    <row r="9" spans="2:11" ht="15.75" customHeight="1" x14ac:dyDescent="0.45">
      <c r="B9" s="2" t="s">
        <v>12</v>
      </c>
      <c r="C9" s="3" t="s">
        <v>13</v>
      </c>
      <c r="J9" s="1" t="s">
        <v>14</v>
      </c>
      <c r="K9" t="str">
        <f>TEXT(C8,"0")</f>
        <v>18</v>
      </c>
    </row>
    <row r="10" spans="2:11" ht="15.75" customHeight="1" x14ac:dyDescent="0.45">
      <c r="B10" s="2" t="s">
        <v>15</v>
      </c>
      <c r="C10" s="3">
        <v>19133</v>
      </c>
      <c r="J10" s="1" t="s">
        <v>16</v>
      </c>
      <c r="K10" t="str">
        <f>INDEX(ExitTokens,MATCH(C11,ExitLabels,0))</f>
        <v>FLIP</v>
      </c>
    </row>
    <row r="11" spans="2:11" ht="15.75" customHeight="1" x14ac:dyDescent="0.45">
      <c r="B11" s="2" t="s">
        <v>17</v>
      </c>
      <c r="C11" s="3" t="s">
        <v>18</v>
      </c>
      <c r="J11" s="1" t="s">
        <v>19</v>
      </c>
      <c r="K11">
        <f>IF(K6="S",IF(C14&gt;=3,1,IF(C14&gt;=1,2,3)),IF(C14&gt;=5,1,IF(C14&gt;=2,2,3)))</f>
        <v>1</v>
      </c>
    </row>
    <row r="12" spans="2:11" ht="15.75" customHeight="1" x14ac:dyDescent="0.45">
      <c r="B12" s="5"/>
      <c r="J12" s="1" t="s">
        <v>20</v>
      </c>
      <c r="K12">
        <f>IF(C15="Yes",IF(K6="S",MAX(K11,2),3),K11)</f>
        <v>1</v>
      </c>
    </row>
    <row r="13" spans="2:11" ht="15.75" customHeight="1" x14ac:dyDescent="0.45">
      <c r="B13" s="2" t="s">
        <v>21</v>
      </c>
      <c r="C13" s="4">
        <v>760</v>
      </c>
      <c r="J13" s="1" t="s">
        <v>22</v>
      </c>
      <c r="K13" t="str">
        <f>"T"&amp;K12</f>
        <v>T1</v>
      </c>
    </row>
    <row r="14" spans="2:11" ht="15.75" customHeight="1" x14ac:dyDescent="0.45">
      <c r="B14" s="2" t="s">
        <v>23</v>
      </c>
      <c r="C14" s="4">
        <v>5</v>
      </c>
      <c r="J14" s="1" t="s">
        <v>24</v>
      </c>
      <c r="K14">
        <f>IF(C20&gt;0,C17/C20,"")</f>
        <v>0.75</v>
      </c>
    </row>
    <row r="15" spans="2:11" ht="15.75" customHeight="1" x14ac:dyDescent="0.45">
      <c r="B15" s="2" t="s">
        <v>25</v>
      </c>
      <c r="C15" s="3" t="s">
        <v>26</v>
      </c>
      <c r="J15" s="1" t="s">
        <v>27</v>
      </c>
      <c r="K15">
        <f>IF((C18+C19)&gt;0,C17/(C18+C19),"")</f>
        <v>0.92307692307692313</v>
      </c>
    </row>
    <row r="16" spans="2:11" ht="15.75" customHeight="1" x14ac:dyDescent="0.45">
      <c r="B16" s="5"/>
      <c r="J16" s="1" t="s">
        <v>28</v>
      </c>
      <c r="K16">
        <f>IF(C18&gt;0,(C17-C19)/C18,"")</f>
        <v>0.8</v>
      </c>
    </row>
    <row r="17" spans="2:11" ht="15.75" customHeight="1" x14ac:dyDescent="0.45">
      <c r="B17" s="2" t="s">
        <v>29</v>
      </c>
      <c r="C17" s="6">
        <v>600000</v>
      </c>
      <c r="J17" s="1" t="s">
        <v>30</v>
      </c>
      <c r="K17" t="str">
        <f>IF(K14="","",IF(K14&lt;=0.6499,"&lt;64.99%",IF(K14&lt;=0.7,"65.00%-70.00%",IF(K14&lt;=0.75,"70.01%-75.00%","&gt;75%"))))</f>
        <v>70.01%-75.00%</v>
      </c>
    </row>
    <row r="18" spans="2:11" ht="15.75" customHeight="1" x14ac:dyDescent="0.45">
      <c r="B18" s="2" t="s">
        <v>31</v>
      </c>
      <c r="C18" s="6">
        <v>250000</v>
      </c>
      <c r="J18" s="1" t="s">
        <v>32</v>
      </c>
      <c r="K18" t="str">
        <f>IF(C13="","",IF(K12=3,IF(C13&gt;=700,"FICO 700+",IF(C13&gt;=680,"FICO 680-699",IF(C13&gt;=640,"FICO 640-679","BELOW"))),IF(C13&gt;=700,"FICO 700+",IF(C13&gt;=660,"FICO 660-699",IF(C13&gt;=640,"FICO 640-659","BELOW")))))</f>
        <v>FICO 700+</v>
      </c>
    </row>
    <row r="19" spans="2:11" ht="15.75" customHeight="1" x14ac:dyDescent="0.45">
      <c r="B19" s="2" t="s">
        <v>33</v>
      </c>
      <c r="C19" s="6">
        <v>400000</v>
      </c>
      <c r="J19" s="1" t="s">
        <v>34</v>
      </c>
      <c r="K19" t="str">
        <f>IF(K15="","",IF(K15&lt;=0.7499,"&lt;74.99%",IF(K15&lt;=0.8,"75.00%-80.00%",IF(K15&lt;=0.85,"80.01%-85.00%",IF(K15&lt;=0.875,"85.01%-87.50%",IF(K15&lt;=0.8999,"87.51%-89.99%",IF(K15&lt;=0.925,"90.00%-92.50%","&gt;92.5%")))))))</f>
        <v>90.00%-92.50%</v>
      </c>
    </row>
    <row r="20" spans="2:11" ht="15.75" customHeight="1" x14ac:dyDescent="0.45">
      <c r="B20" s="2" t="s">
        <v>35</v>
      </c>
      <c r="C20" s="6">
        <v>800000</v>
      </c>
      <c r="J20" s="1" t="s">
        <v>36</v>
      </c>
      <c r="K20" t="str">
        <f>_xlfn.TEXTJOIN("|",FALSE(),K5,K6,K7,K8,K9,K13,K17,K18,K19)</f>
        <v>STD|S|GUC|P|18|T1|70.01%-75.00%|FICO 700+|90.00%-92.50%</v>
      </c>
    </row>
    <row r="21" spans="2:11" ht="15.75" customHeight="1" x14ac:dyDescent="0.45">
      <c r="B21" s="2" t="s">
        <v>37</v>
      </c>
      <c r="C21" s="7">
        <v>9.2499999999999999E-2</v>
      </c>
      <c r="J21" s="1" t="s">
        <v>38</v>
      </c>
      <c r="K21" s="8">
        <f>IFERROR(INDEX(RateVals,MATCH(K20,RateKeys,0)),"NO RATE")</f>
        <v>9.5000000000000015E-2</v>
      </c>
    </row>
    <row r="22" spans="2:11" ht="15.75" customHeight="1" x14ac:dyDescent="0.45">
      <c r="B22" s="9"/>
      <c r="C22" s="10"/>
      <c r="J22" s="1" t="s">
        <v>39</v>
      </c>
      <c r="K22" t="str">
        <f>K7&amp;"|"&amp;K8&amp;"|"&amp;K13</f>
        <v>GUC|P|T1</v>
      </c>
    </row>
    <row r="23" spans="2:11" ht="15.75" customHeight="1" x14ac:dyDescent="0.45">
      <c r="B23" s="2" t="s">
        <v>40</v>
      </c>
      <c r="C23" s="11">
        <v>0</v>
      </c>
      <c r="J23" s="1" t="s">
        <v>41</v>
      </c>
      <c r="K23">
        <f>IFERROR(INDEX(TGmaxloan,MATCH(K22,TGKeys,0)),0)</f>
        <v>4500000</v>
      </c>
    </row>
    <row r="24" spans="2:11" ht="15.75" customHeight="1" x14ac:dyDescent="0.45">
      <c r="B24" s="2" t="s">
        <v>42</v>
      </c>
      <c r="C24" s="6">
        <v>0</v>
      </c>
      <c r="J24" s="1" t="s">
        <v>43</v>
      </c>
      <c r="K24">
        <f>IFERROR(INDEX(TGminfico,MATCH(K22,TGKeys,0)),"")</f>
        <v>640</v>
      </c>
    </row>
    <row r="25" spans="2:11" ht="15.75" customHeight="1" x14ac:dyDescent="0.45">
      <c r="B25" s="2" t="s">
        <v>44</v>
      </c>
      <c r="C25" s="6">
        <v>0</v>
      </c>
      <c r="J25" s="1" t="s">
        <v>45</v>
      </c>
      <c r="K25">
        <f>IFERROR(INDEX(TGmaxacq,MATCH(K22,TGKeys,0)),"")</f>
        <v>0.8</v>
      </c>
    </row>
    <row r="26" spans="2:11" ht="19.5" customHeight="1" x14ac:dyDescent="0.45">
      <c r="B26" s="91" t="s">
        <v>46</v>
      </c>
      <c r="C26" s="91"/>
      <c r="D26" s="91"/>
      <c r="J26" s="1" t="s">
        <v>47</v>
      </c>
      <c r="K26">
        <f>IFERROR(INDEX(TGmaxar,MATCH(K22,TGKeys,0)),"")</f>
        <v>0.75</v>
      </c>
    </row>
    <row r="27" spans="2:11" ht="15.75" customHeight="1" x14ac:dyDescent="0.45">
      <c r="B27" s="12" t="s">
        <v>48</v>
      </c>
      <c r="C27" s="13">
        <f>IF(K16="","n/a",K16)</f>
        <v>0.8</v>
      </c>
      <c r="J27" s="1" t="s">
        <v>49</v>
      </c>
      <c r="K27">
        <f>IFERROR(INDEX(TGmaxltc,MATCH(K22,TGKeys,0)),"")</f>
        <v>0.92500000000000004</v>
      </c>
    </row>
    <row r="28" spans="2:11" ht="15.75" customHeight="1" x14ac:dyDescent="0.45">
      <c r="B28" s="12" t="s">
        <v>50</v>
      </c>
      <c r="C28" s="13">
        <f>IF(K15="","n/a",K15)</f>
        <v>0.92307692307692313</v>
      </c>
      <c r="J28" s="1" t="s">
        <v>51</v>
      </c>
      <c r="K28" t="str">
        <f>IF(C10="","",LEFT(TEXT(C10,"00000"),3))</f>
        <v>191</v>
      </c>
    </row>
    <row r="29" spans="2:11" ht="15.75" customHeight="1" x14ac:dyDescent="0.45">
      <c r="B29" s="12" t="s">
        <v>52</v>
      </c>
      <c r="C29" s="13">
        <f>IF(K14="","n/a",K14)</f>
        <v>0.75</v>
      </c>
      <c r="J29" s="1" t="s">
        <v>53</v>
      </c>
      <c r="K29">
        <f>IF(OR(K28="191",K28="606",K28="607",K28="608"),1,0)</f>
        <v>1</v>
      </c>
    </row>
    <row r="30" spans="2:11" ht="15.75" customHeight="1" x14ac:dyDescent="0.45">
      <c r="B30" s="12" t="s">
        <v>54</v>
      </c>
      <c r="C30" s="14" t="str">
        <f>IF(K6="S","$100k – $2.5M","$2.5M – $4.5M")</f>
        <v>$100k – $2.5M</v>
      </c>
      <c r="J30" s="1" t="s">
        <v>55</v>
      </c>
      <c r="K30">
        <f>IF(AND(K23&gt;0,C17&gt;K23),1,0)</f>
        <v>0</v>
      </c>
    </row>
    <row r="31" spans="2:11" ht="15.75" customHeight="1" x14ac:dyDescent="0.45">
      <c r="B31" s="12" t="s">
        <v>56</v>
      </c>
      <c r="C31" s="14" t="str">
        <f>"Tier "&amp;K12&amp;IF(C15="Yes"," (GC-capped)","")</f>
        <v>Tier 1</v>
      </c>
      <c r="J31" s="1" t="s">
        <v>57</v>
      </c>
      <c r="K31">
        <f>IF(AND(ISNUMBER(K24),C13&lt;K24),1,0)</f>
        <v>0</v>
      </c>
    </row>
    <row r="32" spans="2:11" ht="15.75" customHeight="1" x14ac:dyDescent="0.45">
      <c r="B32" s="12" t="s">
        <v>58</v>
      </c>
      <c r="C32" s="14" t="str">
        <f>K17</f>
        <v>70.01%-75.00%</v>
      </c>
      <c r="J32" s="1" t="s">
        <v>59</v>
      </c>
      <c r="K32">
        <f>IF(AND(ISNUMBER(K25),K16&lt;&gt;"",K16&gt;K25),1,0)</f>
        <v>0</v>
      </c>
    </row>
    <row r="33" spans="2:11" ht="15.75" customHeight="1" x14ac:dyDescent="0.45">
      <c r="B33" s="12" t="s">
        <v>60</v>
      </c>
      <c r="C33" s="14" t="str">
        <f>K18</f>
        <v>FICO 700+</v>
      </c>
      <c r="J33" s="1" t="s">
        <v>61</v>
      </c>
      <c r="K33">
        <f>IF(AND(ISNUMBER(K26),K14&lt;&gt;"",K14&gt;K26),1,0)</f>
        <v>0</v>
      </c>
    </row>
    <row r="34" spans="2:11" ht="15.75" customHeight="1" x14ac:dyDescent="0.45">
      <c r="B34" s="12" t="s">
        <v>62</v>
      </c>
      <c r="C34" s="14" t="str">
        <f>K19</f>
        <v>90.00%-92.50%</v>
      </c>
      <c r="J34" s="1" t="s">
        <v>63</v>
      </c>
      <c r="K34">
        <f>IF(AND(ISNUMBER(K27),K15&lt;&gt;"",K15&gt;K27),1,0)</f>
        <v>0</v>
      </c>
    </row>
    <row r="35" spans="2:11" ht="15.75" customHeight="1" x14ac:dyDescent="0.45">
      <c r="J35" s="1" t="s">
        <v>64</v>
      </c>
      <c r="K35">
        <f>IF(K9="12",0,IF(K9="18",IF(OR(K7&lt;&gt;"FF",C19&gt;100000),0,1),IF(OR(K7&lt;&gt;"FF",C19&gt;200000),0,1)))</f>
        <v>0</v>
      </c>
    </row>
    <row r="36" spans="2:11" ht="19.5" customHeight="1" x14ac:dyDescent="0.45">
      <c r="B36" s="91" t="s">
        <v>65</v>
      </c>
      <c r="C36" s="91"/>
      <c r="D36" s="91"/>
      <c r="J36" s="1" t="s">
        <v>66</v>
      </c>
      <c r="K36">
        <f>IF(K21="NO RATE",1,0)</f>
        <v>0</v>
      </c>
    </row>
    <row r="37" spans="2:11" ht="15.75" customHeight="1" x14ac:dyDescent="0.45">
      <c r="B37" s="15" t="s">
        <v>67</v>
      </c>
      <c r="C37" s="16" t="str">
        <f>IF(K39&gt;0,"NA",IF(OR(C21="",C21=0),"",MAX(K21,C21-0.01)))</f>
        <v>NA</v>
      </c>
      <c r="D37" s="17" t="str">
        <f>IF(OR(K39&gt;0,C21="",C21=0),"",IF(K21&lt;C21-0.01,"Grid "&amp;TEXT(K21,"0.000%")&amp;" lifted to Note Rate − 1.00 pt floor","At grid rate (Note − 1.00 pt floor not binding)"))</f>
        <v/>
      </c>
      <c r="J37" s="1" t="s">
        <v>68</v>
      </c>
      <c r="K37">
        <f>IF(AND(K10="HOLD",C23&gt;0,C23&lt;1),1,0)</f>
        <v>0</v>
      </c>
    </row>
    <row r="38" spans="2:11" ht="15.75" customHeight="1" x14ac:dyDescent="0.45">
      <c r="B38" s="15" t="s">
        <v>69</v>
      </c>
      <c r="C38" s="18" t="str">
        <f>IF(K39=0,"ELIGIBLE","INELIGIBLE / REVIEW")</f>
        <v>INELIGIBLE / REVIEW</v>
      </c>
      <c r="J38" s="1" t="s">
        <v>70</v>
      </c>
      <c r="K38">
        <f>IF(AND(K8="R",C24&gt;0,C25&gt;0,C24&gt;0.5*C25),1,0)</f>
        <v>0</v>
      </c>
    </row>
    <row r="39" spans="2:11" ht="108" customHeight="1" x14ac:dyDescent="0.45">
      <c r="B39" s="12" t="s">
        <v>71</v>
      </c>
      <c r="C39" s="88" t="str">
        <f>_xlfn.TEXTJOIN("  •  ",TRUE(),IF(K29=1,"Geography excluded → "&amp;K42,""),IF(K30=1,"Loan $"&amp;TEXT(C17,"#,##0")&amp;" exceeds tier max ($"&amp;TEXT(K23,"#,##0")&amp;") → "&amp;K43,""),IF(K31=1,"FICO "&amp;C13&amp;" below tier min → "&amp;K44,""),IF(K32=1,"Acq-LTV exceeds max → "&amp;K45,""),IF(K33=1,"AR-LTV exceeds max → "&amp;K46,""),IF(K34=1,"LTC exceeds max → "&amp;K47,""),IF(K40=1,"LTC not greater than AR-LTV → "&amp;K48,""),IF(K35=1,"Term not eligible → "&amp;K49,""),IF(K36=1,"No grid rate → "&amp;K50,""),IF(K37=1,"DSCR below 1.00 → "&amp;K51,""),IF(K38=1,"Cash-out exceeds 50% of profit → "&amp;K52,""))</f>
        <v>Geography excluded → Property must be outside excluded markets (not ZIP 191xx / 606–608xx)</v>
      </c>
      <c r="D39" s="88"/>
      <c r="J39" s="1" t="s">
        <v>72</v>
      </c>
      <c r="K39">
        <f>SUM(K29:K38)+K40</f>
        <v>1</v>
      </c>
    </row>
    <row r="40" spans="2:11" ht="15.75" customHeight="1" x14ac:dyDescent="0.45">
      <c r="B40" s="89" t="s">
        <v>73</v>
      </c>
      <c r="C40" s="89"/>
      <c r="D40" s="89"/>
      <c r="J40" t="s">
        <v>74</v>
      </c>
      <c r="K40">
        <f>IF(AND(K14&lt;&gt;"",K15&lt;&gt;"",K15&lt;=K14),1,0)</f>
        <v>0</v>
      </c>
    </row>
    <row r="41" spans="2:11" ht="30" customHeight="1" x14ac:dyDescent="0.45">
      <c r="B41" s="90" t="str">
        <f>IF(K39&gt;0,"*All submissions resulting in In-Eligible decision can be submitted for individual review - please contact EMCAP Review Team","")</f>
        <v>*All submissions resulting in In-Eligible decision can be submitted for individual review - please contact EMCAP Review Team</v>
      </c>
      <c r="C41" s="90"/>
      <c r="D41" s="90"/>
    </row>
    <row r="42" spans="2:11" ht="19.5" customHeight="1" x14ac:dyDescent="0.45">
      <c r="B42" s="91" t="s">
        <v>75</v>
      </c>
      <c r="C42" s="91"/>
      <c r="D42" s="91"/>
      <c r="E42" s="91"/>
      <c r="J42" s="1" t="s">
        <v>76</v>
      </c>
      <c r="K42" t="str">
        <f>"Property must be outside excluded markets (not ZIP 191xx / 606–608xx)"</f>
        <v>Property must be outside excluded markets (not ZIP 191xx / 606–608xx)</v>
      </c>
    </row>
    <row r="43" spans="2:11" ht="15.75" customHeight="1" x14ac:dyDescent="0.45">
      <c r="B43" s="19" t="s">
        <v>77</v>
      </c>
      <c r="C43" s="20" t="s">
        <v>78</v>
      </c>
      <c r="D43" s="19" t="s">
        <v>79</v>
      </c>
      <c r="E43" s="21" t="s">
        <v>80</v>
      </c>
      <c r="J43" s="1" t="s">
        <v>81</v>
      </c>
      <c r="K43" t="str">
        <f>IF(K56=0,"Reduce loan to ≤ $"&amp;TEXT(K53,"#,##0")&amp;" (Tier 1 max for this product)","Need ≥"&amp;K57&amp;" comparable project(s) to reach Tier "&amp;K56&amp;", or reduce loan to ≤ $"&amp;TEXT(K23,"#,##0")&amp;" (current Tier "&amp;MID(K13,2,1)&amp;" max)")</f>
        <v>Need ≥0 comparable project(s) to reach Tier 3, or reduce loan to ≤ $4,500,000 (current Tier 1 max)</v>
      </c>
    </row>
    <row r="44" spans="2:11" ht="30" customHeight="1" x14ac:dyDescent="0.45">
      <c r="B44" s="22" t="s">
        <v>82</v>
      </c>
      <c r="C44" s="23" t="str">
        <f t="shared" ref="C44:C53" si="0">IF(K29=1,"FAIL","Pass")</f>
        <v>FAIL</v>
      </c>
      <c r="D44" s="24" t="str">
        <f>IF(K28="","—","ZIP "&amp;K28&amp;"xx")</f>
        <v>ZIP 191xx</v>
      </c>
      <c r="E44" s="25" t="str">
        <f t="shared" ref="E44:E49" si="1">IF(K29=1,K42,"—")</f>
        <v>Property must be outside excluded markets (not ZIP 191xx / 606–608xx)</v>
      </c>
      <c r="J44" s="1" t="s">
        <v>83</v>
      </c>
      <c r="K44" t="str">
        <f>IFERROR("Raise FICO to ≥ "&amp;K24,"")</f>
        <v>Raise FICO to ≥ 640</v>
      </c>
    </row>
    <row r="45" spans="2:11" ht="30" customHeight="1" x14ac:dyDescent="0.45">
      <c r="B45" s="22" t="s">
        <v>84</v>
      </c>
      <c r="C45" s="23" t="str">
        <f t="shared" si="0"/>
        <v>Pass</v>
      </c>
      <c r="D45" s="24" t="str">
        <f>IF(K23&gt;0,"Max $"&amp;TEXT(K23,"#,##0"),"n/a")</f>
        <v>Max $4,500,000</v>
      </c>
      <c r="E45" s="25" t="str">
        <f t="shared" si="1"/>
        <v>—</v>
      </c>
      <c r="J45" s="1" t="s">
        <v>85</v>
      </c>
      <c r="K45" t="str">
        <f>IFERROR("Reduce Acq-LTV to ≤ "&amp;TEXT(K25,"0.0%")&amp;" (≤ $"&amp;TEXT(K25*C18,"#,##0")&amp;" acquisition advance)","")</f>
        <v>Reduce Acq-LTV to ≤ 80.0% (≤ $200,000 acquisition advance)</v>
      </c>
    </row>
    <row r="46" spans="2:11" ht="30" customHeight="1" x14ac:dyDescent="0.45">
      <c r="B46" s="22" t="s">
        <v>86</v>
      </c>
      <c r="C46" s="23" t="str">
        <f t="shared" si="0"/>
        <v>Pass</v>
      </c>
      <c r="D46" s="24" t="str">
        <f>IF(ISNUMBER(K24),"Min "&amp;K24,"n/a")</f>
        <v>Min 640</v>
      </c>
      <c r="E46" s="25" t="str">
        <f t="shared" si="1"/>
        <v>—</v>
      </c>
      <c r="J46" s="1" t="s">
        <v>87</v>
      </c>
      <c r="K46" t="str">
        <f>IFERROR("Reduce AR-LTV to ≤ "&amp;TEXT(K26,"0.0%")&amp;" (loan ≤ $"&amp;TEXT(K26*C20,"#,##0")&amp;")","")</f>
        <v>Reduce AR-LTV to ≤ 75.0% (loan ≤ $600,000)</v>
      </c>
    </row>
    <row r="47" spans="2:11" ht="30" customHeight="1" x14ac:dyDescent="0.45">
      <c r="B47" s="22" t="s">
        <v>88</v>
      </c>
      <c r="C47" s="23" t="str">
        <f t="shared" si="0"/>
        <v>Pass</v>
      </c>
      <c r="D47" s="24" t="str">
        <f>IF(ISNUMBER(K25),"Max "&amp;TEXT(K25,"0%"),"n/a")</f>
        <v>Max 80%</v>
      </c>
      <c r="E47" s="25" t="str">
        <f t="shared" si="1"/>
        <v>—</v>
      </c>
      <c r="J47" s="1" t="s">
        <v>89</v>
      </c>
      <c r="K47" t="str">
        <f>IFERROR("Reduce LTC to ≤ "&amp;TEXT(K27,"0.0%")&amp;" (loan ≤ $"&amp;TEXT(K27*(C18+C19),"#,##0")&amp;")","")</f>
        <v>Reduce LTC to ≤ 92.5% (loan ≤ $601,250)</v>
      </c>
    </row>
    <row r="48" spans="2:11" ht="30" customHeight="1" x14ac:dyDescent="0.45">
      <c r="B48" s="22" t="s">
        <v>90</v>
      </c>
      <c r="C48" s="23" t="str">
        <f t="shared" si="0"/>
        <v>Pass</v>
      </c>
      <c r="D48" s="24" t="str">
        <f>IF(ISNUMBER(K26),"Max "&amp;TEXT(K26,"0%"),"n/a")</f>
        <v>Max 75%</v>
      </c>
      <c r="E48" s="25" t="str">
        <f t="shared" si="1"/>
        <v>—</v>
      </c>
      <c r="J48" s="1" t="s">
        <v>91</v>
      </c>
      <c r="K48" t="str">
        <f>"ARV must exceed total cost basis $"&amp;TEXT(C18+C19,"#,##0")&amp;" (value-add required)"</f>
        <v>ARV must exceed total cost basis $650,000 (value-add required)</v>
      </c>
    </row>
    <row r="49" spans="2:11" ht="30" customHeight="1" x14ac:dyDescent="0.45">
      <c r="B49" s="22" t="s">
        <v>92</v>
      </c>
      <c r="C49" s="23" t="str">
        <f t="shared" si="0"/>
        <v>Pass</v>
      </c>
      <c r="D49" s="24" t="str">
        <f>IF(ISNUMBER(K27),"Max "&amp;TEXT(K27,"0%"),"n/a")</f>
        <v>Max 93%</v>
      </c>
      <c r="E49" s="25" t="str">
        <f t="shared" si="1"/>
        <v>—</v>
      </c>
      <c r="J49" s="1" t="s">
        <v>93</v>
      </c>
      <c r="K49" t="str">
        <f>"Project budget must exceed $"&amp;IF(K9="18","100,000","200,000")&amp;" for a "&amp;K9&amp;"-mo term (or select 12-mo)"</f>
        <v>Project budget must exceed $100,000 for a 18-mo term (or select 12-mo)</v>
      </c>
    </row>
    <row r="50" spans="2:11" ht="30" customHeight="1" x14ac:dyDescent="0.45">
      <c r="B50" s="22" t="s">
        <v>94</v>
      </c>
      <c r="C50" s="23" t="str">
        <f t="shared" si="0"/>
        <v>Pass</v>
      </c>
      <c r="D50" s="24" t="str">
        <f>C8&amp;"-mo / "&amp;C7</f>
        <v>18-mo / Purchase</v>
      </c>
      <c r="E50" s="25" t="str">
        <f>IF(K35=1,K49,"—")</f>
        <v>—</v>
      </c>
      <c r="J50" s="1" t="s">
        <v>95</v>
      </c>
      <c r="K50" t="str">
        <f>"No priced grid cell for this band combination — submit for individual review"</f>
        <v>No priced grid cell for this band combination — submit for individual review</v>
      </c>
    </row>
    <row r="51" spans="2:11" ht="30" customHeight="1" x14ac:dyDescent="0.45">
      <c r="B51" s="22" t="s">
        <v>96</v>
      </c>
      <c r="C51" s="23" t="str">
        <f t="shared" si="0"/>
        <v>Pass</v>
      </c>
      <c r="D51" s="24" t="str">
        <f>IF(K21="NO RATE","No priced cell","Found")</f>
        <v>Found</v>
      </c>
      <c r="E51" s="25" t="str">
        <f>IF(K36=1,K50,"—")</f>
        <v>—</v>
      </c>
      <c r="J51" s="1" t="s">
        <v>97</v>
      </c>
      <c r="K51" t="str">
        <f>"DSCR must be ≥ 1.00"</f>
        <v>DSCR must be ≥ 1.00</v>
      </c>
    </row>
    <row r="52" spans="2:11" ht="30" customHeight="1" x14ac:dyDescent="0.45">
      <c r="B52" s="22" t="s">
        <v>98</v>
      </c>
      <c r="C52" s="23" t="str">
        <f t="shared" si="0"/>
        <v>Pass</v>
      </c>
      <c r="D52" s="24" t="str">
        <f>IF(K10="HOLD","Min 1.00","n/a")</f>
        <v>n/a</v>
      </c>
      <c r="E52" s="25" t="str">
        <f>IF(K37=1,K51,"—")</f>
        <v>—</v>
      </c>
      <c r="J52" s="1" t="s">
        <v>99</v>
      </c>
      <c r="K52" t="str">
        <f>IFERROR("Cash-out must be ≤ $"&amp;TEXT(0.5*C25,"#,##0")&amp;" (50% of projected profit)","")</f>
        <v>Cash-out must be ≤ $0 (50% of projected profit)</v>
      </c>
    </row>
    <row r="53" spans="2:11" ht="30" customHeight="1" x14ac:dyDescent="0.45">
      <c r="B53" s="22" t="s">
        <v>100</v>
      </c>
      <c r="C53" s="23" t="str">
        <f t="shared" si="0"/>
        <v>Pass</v>
      </c>
      <c r="D53" s="24" t="str">
        <f>IF(AND(K8="R",C24&gt;0),"Max 50% of profit","n/a")</f>
        <v>n/a</v>
      </c>
      <c r="E53" s="25" t="str">
        <f>IF(K38=1,K52,"—")</f>
        <v>—</v>
      </c>
      <c r="J53" s="1" t="s">
        <v>101</v>
      </c>
      <c r="K53">
        <f>IFERROR(INDEX(TGmaxloan,MATCH(K7&amp;"|"&amp;K8&amp;"|T1",TGKeys,0)),0)</f>
        <v>4500000</v>
      </c>
    </row>
    <row r="54" spans="2:11" ht="30" customHeight="1" x14ac:dyDescent="0.45">
      <c r="B54" s="22" t="s">
        <v>102</v>
      </c>
      <c r="C54" s="23" t="str">
        <f>IF(K40=1,"FAIL","Pass")</f>
        <v>Pass</v>
      </c>
      <c r="D54" s="26" t="str">
        <f>IF(AND(K14&lt;&gt;"",K15&lt;&gt;""),"LTC "&amp;TEXT(K15,"0.0%")&amp;" must exceed AR-LTV "&amp;TEXT(K14,"0.0%"),"n/a")</f>
        <v>LTC 92.3% must exceed AR-LTV 75.0%</v>
      </c>
      <c r="E54" s="25" t="str">
        <f>IF(K40=1,K48,"—")</f>
        <v>—</v>
      </c>
      <c r="J54" s="1" t="s">
        <v>103</v>
      </c>
      <c r="K54">
        <f>IFERROR(INDEX(TGmaxloan,MATCH(K7&amp;"|"&amp;K8&amp;"|T2",TGKeys,0)),0)</f>
        <v>2500000</v>
      </c>
    </row>
    <row r="55" spans="2:11" ht="19.5" customHeight="1" x14ac:dyDescent="0.45">
      <c r="B55" s="91" t="s">
        <v>104</v>
      </c>
      <c r="C55" s="91"/>
      <c r="D55" s="91"/>
      <c r="J55" s="1" t="s">
        <v>105</v>
      </c>
      <c r="K55">
        <f>IFERROR(INDEX(TGmaxloan,MATCH(K7&amp;"|"&amp;K8&amp;"|T3",TGKeys,0)),0)</f>
        <v>950000</v>
      </c>
    </row>
    <row r="56" spans="2:11" ht="15.75" customHeight="1" x14ac:dyDescent="0.45">
      <c r="B56" s="19" t="s">
        <v>106</v>
      </c>
      <c r="C56" s="20" t="s">
        <v>107</v>
      </c>
      <c r="D56" s="19" t="s">
        <v>108</v>
      </c>
      <c r="J56" s="1" t="s">
        <v>109</v>
      </c>
      <c r="K56">
        <f>IF(C17&lt;=K55,3,IF(C17&lt;=K54,2,IF(C17&lt;=K53,1,0)))</f>
        <v>3</v>
      </c>
    </row>
    <row r="57" spans="2:11" ht="45.75" customHeight="1" x14ac:dyDescent="0.45">
      <c r="B57" s="22" t="s">
        <v>110</v>
      </c>
      <c r="C57" s="23" t="str">
        <f>IF(TRUE(),"YES","")</f>
        <v>YES</v>
      </c>
      <c r="D57" s="27" t="s">
        <v>111</v>
      </c>
      <c r="J57" s="1" t="s">
        <v>112</v>
      </c>
      <c r="K57">
        <f>IF(K56=0,"",IF(K6="S",CHOOSE(K56,3,1,0),CHOOSE(K56,5,2,0)))</f>
        <v>0</v>
      </c>
    </row>
    <row r="58" spans="2:11" ht="45.75" customHeight="1" x14ac:dyDescent="0.45">
      <c r="B58" s="22" t="s">
        <v>113</v>
      </c>
      <c r="C58" s="23" t="str">
        <f>IF(C7="Refinance","YES","—")</f>
        <v>—</v>
      </c>
      <c r="D58" s="27" t="s">
        <v>114</v>
      </c>
    </row>
    <row r="59" spans="2:11" ht="45.75" customHeight="1" x14ac:dyDescent="0.45">
      <c r="B59" s="22" t="s">
        <v>115</v>
      </c>
      <c r="C59" s="23" t="str">
        <f>IF(AND(C7="Refinance",K7="GUC"),"YES","—")</f>
        <v>—</v>
      </c>
      <c r="D59" s="27" t="s">
        <v>116</v>
      </c>
    </row>
    <row r="60" spans="2:11" ht="61.5" customHeight="1" x14ac:dyDescent="0.45">
      <c r="B60" s="22" t="s">
        <v>117</v>
      </c>
      <c r="C60" s="23" t="str">
        <f>IF(AND(C7="Refinance",K10="BRIDGE"),"YES","—")</f>
        <v>—</v>
      </c>
      <c r="D60" s="27" t="s">
        <v>118</v>
      </c>
    </row>
    <row r="61" spans="2:11" ht="30.75" customHeight="1" x14ac:dyDescent="0.45">
      <c r="B61" s="22" t="s">
        <v>119</v>
      </c>
      <c r="C61" s="23" t="str">
        <f>IF(AND(C7="Refinance",C24&gt;0),"YES","—")</f>
        <v>—</v>
      </c>
      <c r="D61" s="27" t="s">
        <v>120</v>
      </c>
    </row>
    <row r="62" spans="2:11" ht="30.75" customHeight="1" x14ac:dyDescent="0.45">
      <c r="B62" s="22" t="s">
        <v>121</v>
      </c>
      <c r="C62" s="23" t="str">
        <f>IF(C17&gt;1000000,"YES","—")</f>
        <v>—</v>
      </c>
      <c r="D62" s="27" t="s">
        <v>122</v>
      </c>
    </row>
    <row r="63" spans="2:11" ht="30.75" customHeight="1" x14ac:dyDescent="0.45">
      <c r="B63" s="22" t="s">
        <v>123</v>
      </c>
      <c r="C63" s="23" t="str">
        <f>IF(AND(K7="GUC",C19&gt;500000),"YES","—")</f>
        <v>—</v>
      </c>
      <c r="D63" s="27" t="s">
        <v>124</v>
      </c>
    </row>
    <row r="64" spans="2:11" ht="30.75" customHeight="1" x14ac:dyDescent="0.45">
      <c r="B64" s="22" t="s">
        <v>125</v>
      </c>
      <c r="C64" s="23" t="str">
        <f>IF(C15="Yes","YES","—")</f>
        <v>—</v>
      </c>
      <c r="D64" s="27" t="s">
        <v>126</v>
      </c>
    </row>
    <row r="65" spans="2:4" ht="45.75" customHeight="1" x14ac:dyDescent="0.45">
      <c r="B65" s="22" t="s">
        <v>127</v>
      </c>
      <c r="C65" s="23" t="str">
        <f>IF(AND(K15&lt;&gt;"",ISNUMBER(K27),K15&gt;K27),"YES","—")</f>
        <v>—</v>
      </c>
      <c r="D65" s="27" t="s">
        <v>128</v>
      </c>
    </row>
    <row r="66" spans="2:4" ht="45.75" customHeight="1" x14ac:dyDescent="0.45">
      <c r="B66" s="22" t="s">
        <v>129</v>
      </c>
      <c r="C66" s="23" t="str">
        <f>IF(TRUE(),"YES","")</f>
        <v>YES</v>
      </c>
      <c r="D66" s="27" t="s">
        <v>130</v>
      </c>
    </row>
    <row r="67" spans="2:4" ht="30.75" customHeight="1" x14ac:dyDescent="0.45">
      <c r="B67" s="22" t="s">
        <v>131</v>
      </c>
      <c r="C67" s="23" t="str">
        <f>IF(K29=1,"INELIGIBLE","Pass")</f>
        <v>INELIGIBLE</v>
      </c>
      <c r="D67" s="27" t="s">
        <v>132</v>
      </c>
    </row>
  </sheetData>
  <sheetProtection password="C3F8" sheet="1" formatCells="0"/>
  <mergeCells count="10">
    <mergeCell ref="B2:D2"/>
    <mergeCell ref="B3:D3"/>
    <mergeCell ref="B5:D5"/>
    <mergeCell ref="B26:D26"/>
    <mergeCell ref="B36:D36"/>
    <mergeCell ref="C39:D39"/>
    <mergeCell ref="B40:D40"/>
    <mergeCell ref="B41:D41"/>
    <mergeCell ref="B42:E42"/>
    <mergeCell ref="B55:D55"/>
  </mergeCells>
  <dataValidations count="6">
    <dataValidation type="list" sqref="C6" xr:uid="{00000000-0002-0000-0000-000000000000}">
      <formula1>ProdLabels</formula1>
      <formula2>0</formula2>
    </dataValidation>
    <dataValidation type="list" sqref="C7" xr:uid="{00000000-0002-0000-0000-000001000000}">
      <formula1>PurpLabels</formula1>
      <formula2>0</formula2>
    </dataValidation>
    <dataValidation type="list" sqref="C8" xr:uid="{00000000-0002-0000-0000-000002000000}">
      <formula1>TermsList</formula1>
      <formula2>0</formula2>
    </dataValidation>
    <dataValidation type="list" sqref="C9" xr:uid="{00000000-0002-0000-0000-000003000000}">
      <formula1>MktLabels</formula1>
      <formula2>0</formula2>
    </dataValidation>
    <dataValidation type="list" sqref="C11" xr:uid="{00000000-0002-0000-0000-000004000000}">
      <formula1>ExitLabels</formula1>
      <formula2>0</formula2>
    </dataValidation>
    <dataValidation type="list" sqref="C15" xr:uid="{00000000-0002-0000-0000-000005000000}">
      <formula1>YesNoList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BF668"/>
  <sheetViews>
    <sheetView showGridLines="0" topLeftCell="L108" zoomScale="70" zoomScaleNormal="70" workbookViewId="0">
      <selection activeCell="AV20" sqref="AV20"/>
    </sheetView>
  </sheetViews>
  <sheetFormatPr defaultColWidth="8.73046875" defaultRowHeight="14.25" x14ac:dyDescent="0.45"/>
  <cols>
    <col min="1" max="1" width="5.73046875" customWidth="1"/>
    <col min="2" max="2" width="17.1328125" customWidth="1"/>
    <col min="3" max="3" width="9.73046875" customWidth="1"/>
    <col min="4" max="4" width="13.86328125" customWidth="1"/>
    <col min="5" max="7" width="13.3984375" customWidth="1"/>
    <col min="8" max="8" width="13.86328125" customWidth="1"/>
    <col min="9" max="9" width="2.3984375" customWidth="1"/>
    <col min="10" max="10" width="0.73046875" style="28" customWidth="1"/>
    <col min="11" max="11" width="2.59765625" customWidth="1"/>
    <col min="12" max="12" width="17.1328125" customWidth="1"/>
    <col min="13" max="13" width="9.73046875" customWidth="1"/>
    <col min="14" max="14" width="13.86328125" customWidth="1"/>
    <col min="15" max="17" width="13.3984375" customWidth="1"/>
    <col min="18" max="18" width="13.86328125" customWidth="1"/>
    <col min="19" max="19" width="7" style="29" customWidth="1"/>
    <col min="20" max="20" width="1.265625" style="30" customWidth="1"/>
    <col min="21" max="21" width="7" style="29" customWidth="1"/>
    <col min="22" max="22" width="17.1328125" customWidth="1"/>
    <col min="23" max="23" width="9.73046875" customWidth="1"/>
    <col min="24" max="24" width="13.86328125" customWidth="1"/>
    <col min="25" max="27" width="13.3984375" customWidth="1"/>
    <col min="28" max="28" width="13.86328125" customWidth="1"/>
    <col min="29" max="29" width="2.3984375" customWidth="1"/>
    <col min="30" max="30" width="0.73046875" style="28" customWidth="1"/>
    <col min="31" max="31" width="2.59765625" customWidth="1"/>
    <col min="32" max="32" width="17.1328125" customWidth="1"/>
    <col min="33" max="33" width="9.73046875" customWidth="1"/>
    <col min="34" max="34" width="13.86328125" customWidth="1"/>
    <col min="35" max="37" width="13.3984375" customWidth="1"/>
    <col min="38" max="38" width="13.86328125" customWidth="1"/>
    <col min="39" max="39" width="7" style="29" customWidth="1"/>
    <col min="40" max="40" width="1.265625" style="30" customWidth="1"/>
    <col min="41" max="41" width="7" style="29" customWidth="1"/>
    <col min="42" max="42" width="17.1328125" customWidth="1"/>
    <col min="43" max="43" width="9.73046875" customWidth="1"/>
    <col min="44" max="44" width="13.86328125" customWidth="1"/>
    <col min="45" max="47" width="13.3984375" customWidth="1"/>
    <col min="48" max="48" width="13.86328125" customWidth="1"/>
    <col min="49" max="49" width="2.3984375" customWidth="1"/>
    <col min="50" max="50" width="0.73046875" style="28" customWidth="1"/>
    <col min="51" max="51" width="2.59765625" customWidth="1"/>
    <col min="52" max="52" width="17.1328125" customWidth="1"/>
    <col min="53" max="53" width="9.73046875" customWidth="1"/>
    <col min="54" max="54" width="13.86328125" customWidth="1"/>
    <col min="55" max="57" width="13.3984375" customWidth="1"/>
    <col min="58" max="58" width="13.86328125" customWidth="1"/>
  </cols>
  <sheetData>
    <row r="1" spans="2:58" ht="33" customHeight="1" x14ac:dyDescent="0.45">
      <c r="B1" s="99" t="s">
        <v>133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31"/>
      <c r="T1" s="32"/>
      <c r="V1" s="99" t="s">
        <v>134</v>
      </c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31"/>
      <c r="AN1" s="32"/>
      <c r="AP1" s="99" t="s">
        <v>135</v>
      </c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</row>
    <row r="2" spans="2:58" ht="18" customHeight="1" x14ac:dyDescent="0.45">
      <c r="B2" s="98" t="s">
        <v>136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33"/>
      <c r="T2" s="34"/>
      <c r="V2" s="98" t="s">
        <v>136</v>
      </c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33"/>
      <c r="AN2" s="34"/>
      <c r="AP2" s="98" t="s">
        <v>136</v>
      </c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</row>
    <row r="3" spans="2:58" ht="18" customHeight="1" x14ac:dyDescent="0.45">
      <c r="B3" s="98" t="s">
        <v>137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33"/>
      <c r="T3" s="34"/>
      <c r="V3" s="98" t="s">
        <v>138</v>
      </c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33"/>
      <c r="AN3" s="34"/>
      <c r="AP3" s="98" t="s">
        <v>139</v>
      </c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</row>
    <row r="5" spans="2:58" ht="15" customHeight="1" x14ac:dyDescent="0.45">
      <c r="B5" s="96" t="s">
        <v>140</v>
      </c>
      <c r="C5" s="96"/>
      <c r="D5" s="96"/>
      <c r="E5" s="96"/>
      <c r="F5" s="96"/>
      <c r="G5" s="96"/>
      <c r="H5" s="96"/>
      <c r="L5" s="96" t="s">
        <v>141</v>
      </c>
      <c r="M5" s="96"/>
      <c r="N5" s="96"/>
      <c r="O5" s="96"/>
      <c r="P5" s="96"/>
      <c r="Q5" s="96"/>
      <c r="R5" s="96"/>
      <c r="S5" s="35"/>
      <c r="T5" s="36"/>
      <c r="V5" s="96" t="s">
        <v>140</v>
      </c>
      <c r="W5" s="96"/>
      <c r="X5" s="96"/>
      <c r="Y5" s="96"/>
      <c r="Z5" s="96"/>
      <c r="AA5" s="96"/>
      <c r="AB5" s="96"/>
      <c r="AF5" s="96" t="s">
        <v>141</v>
      </c>
      <c r="AG5" s="96"/>
      <c r="AH5" s="96"/>
      <c r="AI5" s="96"/>
      <c r="AJ5" s="96"/>
      <c r="AK5" s="96"/>
      <c r="AL5" s="96"/>
      <c r="AM5" s="35"/>
      <c r="AN5" s="36"/>
      <c r="AP5" s="96" t="s">
        <v>140</v>
      </c>
      <c r="AQ5" s="96"/>
      <c r="AR5" s="96"/>
      <c r="AS5" s="96"/>
      <c r="AT5" s="96"/>
      <c r="AU5" s="96"/>
      <c r="AV5" s="96"/>
      <c r="AZ5" s="96" t="s">
        <v>141</v>
      </c>
      <c r="BA5" s="96"/>
      <c r="BB5" s="96"/>
      <c r="BC5" s="96"/>
      <c r="BD5" s="96"/>
      <c r="BE5" s="96"/>
      <c r="BF5" s="96"/>
    </row>
    <row r="6" spans="2:58" s="37" customFormat="1" ht="15.75" customHeight="1" x14ac:dyDescent="0.45">
      <c r="B6" s="94" t="s">
        <v>142</v>
      </c>
      <c r="C6" s="94"/>
      <c r="D6" s="94"/>
      <c r="E6" s="94"/>
      <c r="F6" s="94"/>
      <c r="G6" s="94"/>
      <c r="H6" s="94"/>
      <c r="J6" s="38"/>
      <c r="L6" s="94" t="s">
        <v>142</v>
      </c>
      <c r="M6" s="94"/>
      <c r="N6" s="94"/>
      <c r="O6" s="94"/>
      <c r="P6" s="94"/>
      <c r="Q6" s="94"/>
      <c r="R6" s="94"/>
      <c r="S6" s="39"/>
      <c r="T6" s="40"/>
      <c r="U6" s="41"/>
      <c r="V6" s="94" t="s">
        <v>142</v>
      </c>
      <c r="W6" s="94"/>
      <c r="X6" s="94"/>
      <c r="Y6" s="94"/>
      <c r="Z6" s="94"/>
      <c r="AA6" s="94"/>
      <c r="AB6" s="94"/>
      <c r="AD6" s="38"/>
      <c r="AF6" s="94" t="s">
        <v>142</v>
      </c>
      <c r="AG6" s="94"/>
      <c r="AH6" s="94"/>
      <c r="AI6" s="94"/>
      <c r="AJ6" s="94"/>
      <c r="AK6" s="94"/>
      <c r="AL6" s="94"/>
      <c r="AM6" s="39"/>
      <c r="AN6" s="40"/>
      <c r="AO6" s="41"/>
      <c r="AP6" s="94" t="s">
        <v>142</v>
      </c>
      <c r="AQ6" s="94"/>
      <c r="AR6" s="94"/>
      <c r="AS6" s="94"/>
      <c r="AT6" s="94"/>
      <c r="AU6" s="94"/>
      <c r="AV6" s="94"/>
      <c r="AX6" s="38"/>
      <c r="AZ6" s="94" t="s">
        <v>142</v>
      </c>
      <c r="BA6" s="94"/>
      <c r="BB6" s="94"/>
      <c r="BC6" s="94"/>
      <c r="BD6" s="94"/>
      <c r="BE6" s="94"/>
      <c r="BF6" s="94"/>
    </row>
    <row r="7" spans="2:58" s="37" customFormat="1" ht="12.75" customHeight="1" x14ac:dyDescent="0.45">
      <c r="B7" s="42"/>
      <c r="C7" s="95" t="s">
        <v>50</v>
      </c>
      <c r="D7" s="95"/>
      <c r="E7" s="95"/>
      <c r="F7" s="95"/>
      <c r="G7" s="95"/>
      <c r="H7" s="95"/>
      <c r="J7" s="38"/>
      <c r="L7" s="42"/>
      <c r="M7" s="95" t="s">
        <v>50</v>
      </c>
      <c r="N7" s="95"/>
      <c r="O7" s="95"/>
      <c r="P7" s="95"/>
      <c r="Q7" s="95"/>
      <c r="R7" s="95"/>
      <c r="S7" s="41"/>
      <c r="T7" s="43"/>
      <c r="U7" s="41"/>
      <c r="V7" s="42"/>
      <c r="W7" s="95" t="str">
        <f>C7</f>
        <v>LTC</v>
      </c>
      <c r="X7" s="95"/>
      <c r="Y7" s="95"/>
      <c r="Z7" s="95"/>
      <c r="AA7" s="95"/>
      <c r="AB7" s="95"/>
      <c r="AD7" s="38"/>
      <c r="AF7" s="42"/>
      <c r="AG7" s="95" t="str">
        <f>W7</f>
        <v>LTC</v>
      </c>
      <c r="AH7" s="95"/>
      <c r="AI7" s="95"/>
      <c r="AJ7" s="95"/>
      <c r="AK7" s="95"/>
      <c r="AL7" s="95"/>
      <c r="AM7" s="41"/>
      <c r="AN7" s="43"/>
      <c r="AO7" s="41"/>
      <c r="AP7" s="42"/>
      <c r="AQ7" s="95" t="str">
        <f>C7</f>
        <v>LTC</v>
      </c>
      <c r="AR7" s="95"/>
      <c r="AS7" s="95"/>
      <c r="AT7" s="95"/>
      <c r="AU7" s="95"/>
      <c r="AV7" s="95"/>
      <c r="AX7" s="38"/>
      <c r="AZ7" s="42"/>
      <c r="BA7" s="95" t="str">
        <f>C7</f>
        <v>LTC</v>
      </c>
      <c r="BB7" s="95"/>
      <c r="BC7" s="95"/>
      <c r="BD7" s="95"/>
      <c r="BE7" s="95"/>
      <c r="BF7" s="95"/>
    </row>
    <row r="8" spans="2:58" s="37" customFormat="1" ht="12.75" customHeight="1" x14ac:dyDescent="0.45">
      <c r="B8" s="44" t="s">
        <v>52</v>
      </c>
      <c r="C8" s="45" t="s">
        <v>143</v>
      </c>
      <c r="D8" s="45" t="s">
        <v>144</v>
      </c>
      <c r="E8" s="45" t="s">
        <v>145</v>
      </c>
      <c r="F8" s="45" t="s">
        <v>146</v>
      </c>
      <c r="G8" s="45" t="s">
        <v>147</v>
      </c>
      <c r="H8" s="45" t="s">
        <v>148</v>
      </c>
      <c r="J8" s="38"/>
      <c r="L8" s="44" t="s">
        <v>52</v>
      </c>
      <c r="M8" s="45" t="s">
        <v>143</v>
      </c>
      <c r="N8" s="45" t="s">
        <v>144</v>
      </c>
      <c r="O8" s="45" t="s">
        <v>145</v>
      </c>
      <c r="P8" s="45" t="s">
        <v>146</v>
      </c>
      <c r="Q8" s="45" t="s">
        <v>147</v>
      </c>
      <c r="R8" s="45" t="s">
        <v>148</v>
      </c>
      <c r="S8" s="41"/>
      <c r="T8" s="43"/>
      <c r="U8" s="41"/>
      <c r="V8" s="44" t="str">
        <f t="shared" ref="V8:V20" si="0">B8</f>
        <v>AR-LTV</v>
      </c>
      <c r="W8" s="45" t="str">
        <f>C8</f>
        <v>&lt;74.99%</v>
      </c>
      <c r="X8" s="45" t="str">
        <f>D8</f>
        <v>75.00%-80.00%</v>
      </c>
      <c r="Y8" s="45" t="str">
        <f>E8</f>
        <v>80.01%-85.00%</v>
      </c>
      <c r="Z8" s="45" t="str">
        <f>F8</f>
        <v>85.01%-87.50%</v>
      </c>
      <c r="AA8" s="45" t="str">
        <f>G8</f>
        <v>87.51%-89.99%</v>
      </c>
      <c r="AB8" s="45" t="str">
        <f>H8</f>
        <v>90.00%-92.50%</v>
      </c>
      <c r="AD8" s="38"/>
      <c r="AF8" s="44" t="str">
        <f t="shared" ref="AF8:AF20" si="1">V8</f>
        <v>AR-LTV</v>
      </c>
      <c r="AG8" s="45" t="str">
        <f>W8</f>
        <v>&lt;74.99%</v>
      </c>
      <c r="AH8" s="45" t="str">
        <f>X8</f>
        <v>75.00%-80.00%</v>
      </c>
      <c r="AI8" s="45" t="str">
        <f>Y8</f>
        <v>80.01%-85.00%</v>
      </c>
      <c r="AJ8" s="45" t="str">
        <f>Z8</f>
        <v>85.01%-87.50%</v>
      </c>
      <c r="AK8" s="45" t="str">
        <f>AA8</f>
        <v>87.51%-89.99%</v>
      </c>
      <c r="AL8" s="45" t="str">
        <f>AB8</f>
        <v>90.00%-92.50%</v>
      </c>
      <c r="AM8" s="41"/>
      <c r="AN8" s="43"/>
      <c r="AO8" s="41"/>
      <c r="AP8" s="44" t="str">
        <f t="shared" ref="AP8:AP20" si="2">B8</f>
        <v>AR-LTV</v>
      </c>
      <c r="AQ8" s="45" t="str">
        <f>C8</f>
        <v>&lt;74.99%</v>
      </c>
      <c r="AR8" s="45" t="str">
        <f>D8</f>
        <v>75.00%-80.00%</v>
      </c>
      <c r="AS8" s="45" t="str">
        <f>E8</f>
        <v>80.01%-85.00%</v>
      </c>
      <c r="AT8" s="45" t="str">
        <f>F8</f>
        <v>85.01%-87.50%</v>
      </c>
      <c r="AU8" s="45" t="str">
        <f>G8</f>
        <v>87.51%-89.99%</v>
      </c>
      <c r="AV8" s="45" t="str">
        <f>H8</f>
        <v>90.00%-92.50%</v>
      </c>
      <c r="AX8" s="38"/>
      <c r="AZ8" s="44" t="str">
        <f t="shared" ref="AZ8:AZ20" si="3">B8</f>
        <v>AR-LTV</v>
      </c>
      <c r="BA8" s="45" t="str">
        <f>C8</f>
        <v>&lt;74.99%</v>
      </c>
      <c r="BB8" s="45" t="str">
        <f>D8</f>
        <v>75.00%-80.00%</v>
      </c>
      <c r="BC8" s="45" t="str">
        <f>E8</f>
        <v>80.01%-85.00%</v>
      </c>
      <c r="BD8" s="45" t="str">
        <f>F8</f>
        <v>85.01%-87.50%</v>
      </c>
      <c r="BE8" s="45" t="str">
        <f>G8</f>
        <v>87.51%-89.99%</v>
      </c>
      <c r="BF8" s="45" t="str">
        <f>H8</f>
        <v>90.00%-92.50%</v>
      </c>
    </row>
    <row r="9" spans="2:58" s="37" customFormat="1" ht="12.75" customHeight="1" x14ac:dyDescent="0.45">
      <c r="B9" s="46" t="s">
        <v>149</v>
      </c>
      <c r="C9" s="47">
        <f>C17+0.25%</f>
        <v>8.2500000000000004E-2</v>
      </c>
      <c r="D9" s="47">
        <f>C9+0.125%</f>
        <v>8.3750000000000005E-2</v>
      </c>
      <c r="E9" s="47">
        <f>D9+0.125%</f>
        <v>8.5000000000000006E-2</v>
      </c>
      <c r="F9" s="47">
        <f>E9+0.125%</f>
        <v>8.6250000000000007E-2</v>
      </c>
      <c r="G9" s="47">
        <f>F9+0.125%</f>
        <v>8.7500000000000008E-2</v>
      </c>
      <c r="H9" s="48">
        <f>G9</f>
        <v>8.7500000000000008E-2</v>
      </c>
      <c r="J9" s="38"/>
      <c r="L9" s="46" t="s">
        <v>149</v>
      </c>
      <c r="M9" s="47">
        <f>M17+0.5%</f>
        <v>0.11</v>
      </c>
      <c r="N9" s="47">
        <f>M9+0.25%</f>
        <v>0.1125</v>
      </c>
      <c r="O9" s="47">
        <f>N9+0.25%</f>
        <v>0.115</v>
      </c>
      <c r="P9" s="49" t="s">
        <v>150</v>
      </c>
      <c r="Q9" s="49" t="s">
        <v>150</v>
      </c>
      <c r="R9" s="49" t="s">
        <v>150</v>
      </c>
      <c r="S9" s="50"/>
      <c r="T9" s="51"/>
      <c r="U9" s="41"/>
      <c r="V9" s="46" t="str">
        <f t="shared" si="0"/>
        <v>70.01%-75.00%</v>
      </c>
      <c r="W9" s="47">
        <f>W17+0.25%</f>
        <v>8.3750000000000005E-2</v>
      </c>
      <c r="X9" s="47">
        <f>W9+0.125%</f>
        <v>8.5000000000000006E-2</v>
      </c>
      <c r="Y9" s="47">
        <f>X9+0.125%</f>
        <v>8.6250000000000007E-2</v>
      </c>
      <c r="Z9" s="47">
        <f>Y9+0.125%</f>
        <v>8.7500000000000008E-2</v>
      </c>
      <c r="AA9" s="47">
        <f>Z9+0.125%</f>
        <v>8.8750000000000009E-2</v>
      </c>
      <c r="AB9" s="48">
        <f>AA9</f>
        <v>8.8750000000000009E-2</v>
      </c>
      <c r="AD9" s="38"/>
      <c r="AF9" s="46" t="str">
        <f t="shared" si="1"/>
        <v>70.01%-75.00%</v>
      </c>
      <c r="AG9" s="47">
        <f>AG17+0.5%</f>
        <v>0.11125</v>
      </c>
      <c r="AH9" s="47">
        <f>AG9+0.25%</f>
        <v>0.11375</v>
      </c>
      <c r="AI9" s="47">
        <f>AH9+0.25%</f>
        <v>0.11625000000000001</v>
      </c>
      <c r="AJ9" s="49" t="s">
        <v>150</v>
      </c>
      <c r="AK9" s="49" t="s">
        <v>150</v>
      </c>
      <c r="AL9" s="49" t="s">
        <v>150</v>
      </c>
      <c r="AM9" s="50"/>
      <c r="AN9" s="51"/>
      <c r="AO9" s="41"/>
      <c r="AP9" s="46" t="str">
        <f t="shared" si="2"/>
        <v>70.01%-75.00%</v>
      </c>
      <c r="AQ9" s="47">
        <f>AQ17+0.25%</f>
        <v>8.5000000000000006E-2</v>
      </c>
      <c r="AR9" s="47">
        <f>AQ9+0.125%</f>
        <v>8.6250000000000007E-2</v>
      </c>
      <c r="AS9" s="47">
        <f>AR9+0.125%</f>
        <v>8.7500000000000008E-2</v>
      </c>
      <c r="AT9" s="47">
        <f>AS9+0.125%</f>
        <v>8.8750000000000009E-2</v>
      </c>
      <c r="AU9" s="47">
        <f>AT9+0.125%</f>
        <v>9.0000000000000011E-2</v>
      </c>
      <c r="AV9" s="48">
        <f>AU9</f>
        <v>9.0000000000000011E-2</v>
      </c>
      <c r="AX9" s="38"/>
      <c r="AZ9" s="46" t="str">
        <f t="shared" si="3"/>
        <v>70.01%-75.00%</v>
      </c>
      <c r="BA9" s="49" t="s">
        <v>150</v>
      </c>
      <c r="BB9" s="49" t="s">
        <v>150</v>
      </c>
      <c r="BC9" s="49" t="s">
        <v>150</v>
      </c>
      <c r="BD9" s="49" t="s">
        <v>150</v>
      </c>
      <c r="BE9" s="49" t="s">
        <v>150</v>
      </c>
      <c r="BF9" s="49" t="s">
        <v>150</v>
      </c>
    </row>
    <row r="10" spans="2:58" s="37" customFormat="1" ht="12.75" customHeight="1" x14ac:dyDescent="0.45">
      <c r="B10" s="52" t="s">
        <v>151</v>
      </c>
      <c r="C10" s="53">
        <f t="shared" ref="C10:H10" si="4">C9+0</f>
        <v>8.2500000000000004E-2</v>
      </c>
      <c r="D10" s="53">
        <f t="shared" si="4"/>
        <v>8.3750000000000005E-2</v>
      </c>
      <c r="E10" s="53">
        <f t="shared" si="4"/>
        <v>8.5000000000000006E-2</v>
      </c>
      <c r="F10" s="53">
        <f t="shared" si="4"/>
        <v>8.6250000000000007E-2</v>
      </c>
      <c r="G10" s="53">
        <f t="shared" si="4"/>
        <v>8.7500000000000008E-2</v>
      </c>
      <c r="H10" s="53">
        <f t="shared" si="4"/>
        <v>8.7500000000000008E-2</v>
      </c>
      <c r="J10" s="38"/>
      <c r="L10" s="52" t="s">
        <v>151</v>
      </c>
      <c r="M10" s="53">
        <f>M9+0</f>
        <v>0.11</v>
      </c>
      <c r="N10" s="53">
        <f>N9+0</f>
        <v>0.1125</v>
      </c>
      <c r="O10" s="53">
        <f>O9+0</f>
        <v>0.115</v>
      </c>
      <c r="P10" s="54" t="s">
        <v>150</v>
      </c>
      <c r="Q10" s="54" t="s">
        <v>150</v>
      </c>
      <c r="R10" s="54" t="s">
        <v>150</v>
      </c>
      <c r="S10" s="55"/>
      <c r="T10" s="56"/>
      <c r="U10" s="41"/>
      <c r="V10" s="52" t="str">
        <f t="shared" si="0"/>
        <v>FICO 700+</v>
      </c>
      <c r="W10" s="53">
        <f t="shared" ref="W10:AB10" si="5">W9+0</f>
        <v>8.3750000000000005E-2</v>
      </c>
      <c r="X10" s="53">
        <f t="shared" si="5"/>
        <v>8.5000000000000006E-2</v>
      </c>
      <c r="Y10" s="53">
        <f t="shared" si="5"/>
        <v>8.6250000000000007E-2</v>
      </c>
      <c r="Z10" s="53">
        <f t="shared" si="5"/>
        <v>8.7500000000000008E-2</v>
      </c>
      <c r="AA10" s="53">
        <f t="shared" si="5"/>
        <v>8.8750000000000009E-2</v>
      </c>
      <c r="AB10" s="53">
        <f t="shared" si="5"/>
        <v>8.8750000000000009E-2</v>
      </c>
      <c r="AD10" s="38"/>
      <c r="AF10" s="52" t="str">
        <f t="shared" si="1"/>
        <v>FICO 700+</v>
      </c>
      <c r="AG10" s="53">
        <f>AG9+0</f>
        <v>0.11125</v>
      </c>
      <c r="AH10" s="53">
        <f>AH9+0</f>
        <v>0.11375</v>
      </c>
      <c r="AI10" s="53">
        <f>AI9+0</f>
        <v>0.11625000000000001</v>
      </c>
      <c r="AJ10" s="54" t="s">
        <v>150</v>
      </c>
      <c r="AK10" s="54" t="s">
        <v>150</v>
      </c>
      <c r="AL10" s="54" t="s">
        <v>150</v>
      </c>
      <c r="AM10" s="55"/>
      <c r="AN10" s="56"/>
      <c r="AO10" s="41"/>
      <c r="AP10" s="52" t="str">
        <f t="shared" si="2"/>
        <v>FICO 700+</v>
      </c>
      <c r="AQ10" s="53">
        <f t="shared" ref="AQ10:AV10" si="6">AQ9+0</f>
        <v>8.5000000000000006E-2</v>
      </c>
      <c r="AR10" s="53">
        <f t="shared" si="6"/>
        <v>8.6250000000000007E-2</v>
      </c>
      <c r="AS10" s="53">
        <f t="shared" si="6"/>
        <v>8.7500000000000008E-2</v>
      </c>
      <c r="AT10" s="53">
        <f t="shared" si="6"/>
        <v>8.8750000000000009E-2</v>
      </c>
      <c r="AU10" s="53">
        <f t="shared" si="6"/>
        <v>9.0000000000000011E-2</v>
      </c>
      <c r="AV10" s="53">
        <f t="shared" si="6"/>
        <v>9.0000000000000011E-2</v>
      </c>
      <c r="AX10" s="38"/>
      <c r="AZ10" s="52" t="str">
        <f t="shared" si="3"/>
        <v>FICO 700+</v>
      </c>
      <c r="BA10" s="54" t="s">
        <v>150</v>
      </c>
      <c r="BB10" s="54" t="s">
        <v>150</v>
      </c>
      <c r="BC10" s="54" t="s">
        <v>150</v>
      </c>
      <c r="BD10" s="54" t="s">
        <v>150</v>
      </c>
      <c r="BE10" s="54" t="s">
        <v>150</v>
      </c>
      <c r="BF10" s="54" t="s">
        <v>150</v>
      </c>
    </row>
    <row r="11" spans="2:58" s="37" customFormat="1" ht="12.75" customHeight="1" x14ac:dyDescent="0.45">
      <c r="B11" s="52" t="s">
        <v>152</v>
      </c>
      <c r="C11" s="53">
        <f t="shared" ref="C11:H11" si="7">C9+0.5%</f>
        <v>8.7500000000000008E-2</v>
      </c>
      <c r="D11" s="53">
        <f t="shared" si="7"/>
        <v>8.8750000000000009E-2</v>
      </c>
      <c r="E11" s="53">
        <f t="shared" si="7"/>
        <v>9.0000000000000011E-2</v>
      </c>
      <c r="F11" s="53">
        <f t="shared" si="7"/>
        <v>9.1250000000000012E-2</v>
      </c>
      <c r="G11" s="53">
        <f t="shared" si="7"/>
        <v>9.2500000000000013E-2</v>
      </c>
      <c r="H11" s="53">
        <f t="shared" si="7"/>
        <v>9.2500000000000013E-2</v>
      </c>
      <c r="J11" s="38"/>
      <c r="L11" s="52" t="s">
        <v>152</v>
      </c>
      <c r="M11" s="53">
        <f>M9+0.25%</f>
        <v>0.1125</v>
      </c>
      <c r="N11" s="53">
        <f>N9+0.25%</f>
        <v>0.115</v>
      </c>
      <c r="O11" s="53">
        <f>O9+0.25%</f>
        <v>0.11750000000000001</v>
      </c>
      <c r="P11" s="54" t="s">
        <v>150</v>
      </c>
      <c r="Q11" s="54" t="s">
        <v>150</v>
      </c>
      <c r="R11" s="54" t="s">
        <v>150</v>
      </c>
      <c r="S11" s="55"/>
      <c r="T11" s="56"/>
      <c r="U11" s="41"/>
      <c r="V11" s="52" t="str">
        <f t="shared" si="0"/>
        <v>FICO 660-699</v>
      </c>
      <c r="W11" s="53">
        <f t="shared" ref="W11:AB11" si="8">W9+0.5%</f>
        <v>8.8750000000000009E-2</v>
      </c>
      <c r="X11" s="53">
        <f t="shared" si="8"/>
        <v>9.0000000000000011E-2</v>
      </c>
      <c r="Y11" s="53">
        <f t="shared" si="8"/>
        <v>9.1250000000000012E-2</v>
      </c>
      <c r="Z11" s="53">
        <f t="shared" si="8"/>
        <v>9.2500000000000013E-2</v>
      </c>
      <c r="AA11" s="53">
        <f t="shared" si="8"/>
        <v>9.3750000000000014E-2</v>
      </c>
      <c r="AB11" s="53">
        <f t="shared" si="8"/>
        <v>9.3750000000000014E-2</v>
      </c>
      <c r="AD11" s="38"/>
      <c r="AF11" s="52" t="str">
        <f t="shared" si="1"/>
        <v>FICO 660-699</v>
      </c>
      <c r="AG11" s="53">
        <f>AG9+0.5%</f>
        <v>0.11625000000000001</v>
      </c>
      <c r="AH11" s="53">
        <f>AH9+0.5%</f>
        <v>0.11875000000000001</v>
      </c>
      <c r="AI11" s="53">
        <f>AI9+0.5%</f>
        <v>0.12125000000000001</v>
      </c>
      <c r="AJ11" s="54" t="s">
        <v>150</v>
      </c>
      <c r="AK11" s="54" t="s">
        <v>150</v>
      </c>
      <c r="AL11" s="54" t="s">
        <v>150</v>
      </c>
      <c r="AM11" s="55"/>
      <c r="AN11" s="56"/>
      <c r="AO11" s="41"/>
      <c r="AP11" s="52" t="str">
        <f t="shared" si="2"/>
        <v>FICO 660-699</v>
      </c>
      <c r="AQ11" s="53">
        <f t="shared" ref="AQ11:AV11" si="9">AQ9+0.5%</f>
        <v>9.0000000000000011E-2</v>
      </c>
      <c r="AR11" s="53">
        <f t="shared" si="9"/>
        <v>9.1250000000000012E-2</v>
      </c>
      <c r="AS11" s="53">
        <f t="shared" si="9"/>
        <v>9.2500000000000013E-2</v>
      </c>
      <c r="AT11" s="53">
        <f t="shared" si="9"/>
        <v>9.3750000000000014E-2</v>
      </c>
      <c r="AU11" s="53">
        <f t="shared" si="9"/>
        <v>9.5000000000000015E-2</v>
      </c>
      <c r="AV11" s="53">
        <f t="shared" si="9"/>
        <v>9.5000000000000015E-2</v>
      </c>
      <c r="AX11" s="38"/>
      <c r="AZ11" s="52" t="str">
        <f t="shared" si="3"/>
        <v>FICO 660-699</v>
      </c>
      <c r="BA11" s="54" t="s">
        <v>150</v>
      </c>
      <c r="BB11" s="54" t="s">
        <v>150</v>
      </c>
      <c r="BC11" s="54" t="s">
        <v>150</v>
      </c>
      <c r="BD11" s="54" t="s">
        <v>150</v>
      </c>
      <c r="BE11" s="54" t="s">
        <v>150</v>
      </c>
      <c r="BF11" s="54" t="s">
        <v>150</v>
      </c>
    </row>
    <row r="12" spans="2:58" s="37" customFormat="1" ht="12.75" customHeight="1" x14ac:dyDescent="0.45">
      <c r="B12" s="57" t="s">
        <v>153</v>
      </c>
      <c r="C12" s="58">
        <f>C9+0.75%</f>
        <v>0.09</v>
      </c>
      <c r="D12" s="58">
        <f>D9+0.75%</f>
        <v>9.1249999999999998E-2</v>
      </c>
      <c r="E12" s="58">
        <f>E9+0.75%</f>
        <v>9.2499999999999999E-2</v>
      </c>
      <c r="F12" s="58">
        <f>F9+0.75%</f>
        <v>9.375E-2</v>
      </c>
      <c r="G12" s="58">
        <f>G9+0.75%</f>
        <v>9.5000000000000001E-2</v>
      </c>
      <c r="H12" s="59" t="s">
        <v>150</v>
      </c>
      <c r="J12" s="38"/>
      <c r="L12" s="57" t="s">
        <v>153</v>
      </c>
      <c r="M12" s="58">
        <f>M9+0.5%</f>
        <v>0.115</v>
      </c>
      <c r="N12" s="58">
        <f>N9+0.5%</f>
        <v>0.11750000000000001</v>
      </c>
      <c r="O12" s="58">
        <f>O9+0.5%</f>
        <v>0.12000000000000001</v>
      </c>
      <c r="P12" s="59" t="s">
        <v>150</v>
      </c>
      <c r="Q12" s="59" t="s">
        <v>150</v>
      </c>
      <c r="R12" s="59" t="s">
        <v>150</v>
      </c>
      <c r="S12" s="55"/>
      <c r="T12" s="56"/>
      <c r="U12" s="41"/>
      <c r="V12" s="57" t="str">
        <f t="shared" si="0"/>
        <v>FICO 640-659</v>
      </c>
      <c r="W12" s="58">
        <f>W9+0.75%</f>
        <v>9.1249999999999998E-2</v>
      </c>
      <c r="X12" s="58">
        <f>X9+0.75%</f>
        <v>9.2499999999999999E-2</v>
      </c>
      <c r="Y12" s="58">
        <f>Y9+0.75%</f>
        <v>9.375E-2</v>
      </c>
      <c r="Z12" s="58">
        <f>Z9+0.75%</f>
        <v>9.5000000000000001E-2</v>
      </c>
      <c r="AA12" s="58">
        <f>AA9+0.75%</f>
        <v>9.6250000000000002E-2</v>
      </c>
      <c r="AB12" s="59" t="str">
        <f>H12</f>
        <v>NA</v>
      </c>
      <c r="AD12" s="38"/>
      <c r="AF12" s="57" t="str">
        <f t="shared" si="1"/>
        <v>FICO 640-659</v>
      </c>
      <c r="AG12" s="58">
        <f>AG9+0.75%</f>
        <v>0.11874999999999999</v>
      </c>
      <c r="AH12" s="58">
        <f>AH9+0.75%</f>
        <v>0.12125</v>
      </c>
      <c r="AI12" s="58">
        <f>AI9+0.75%</f>
        <v>0.12375</v>
      </c>
      <c r="AJ12" s="59" t="s">
        <v>150</v>
      </c>
      <c r="AK12" s="59" t="s">
        <v>150</v>
      </c>
      <c r="AL12" s="59" t="s">
        <v>150</v>
      </c>
      <c r="AM12" s="55"/>
      <c r="AN12" s="56"/>
      <c r="AO12" s="41"/>
      <c r="AP12" s="57" t="str">
        <f t="shared" si="2"/>
        <v>FICO 640-659</v>
      </c>
      <c r="AQ12" s="58">
        <f t="shared" ref="AQ12:AV12" si="10">AQ9+0.75%</f>
        <v>9.2499999999999999E-2</v>
      </c>
      <c r="AR12" s="58">
        <f t="shared" si="10"/>
        <v>9.375E-2</v>
      </c>
      <c r="AS12" s="58">
        <f t="shared" si="10"/>
        <v>9.5000000000000001E-2</v>
      </c>
      <c r="AT12" s="58">
        <f t="shared" si="10"/>
        <v>9.6250000000000002E-2</v>
      </c>
      <c r="AU12" s="58">
        <f t="shared" si="10"/>
        <v>9.7500000000000003E-2</v>
      </c>
      <c r="AV12" s="58">
        <f t="shared" si="10"/>
        <v>9.7500000000000003E-2</v>
      </c>
      <c r="AX12" s="38"/>
      <c r="AZ12" s="57" t="str">
        <f t="shared" si="3"/>
        <v>FICO 640-659</v>
      </c>
      <c r="BA12" s="59" t="s">
        <v>150</v>
      </c>
      <c r="BB12" s="59" t="s">
        <v>150</v>
      </c>
      <c r="BC12" s="59" t="s">
        <v>150</v>
      </c>
      <c r="BD12" s="59" t="s">
        <v>150</v>
      </c>
      <c r="BE12" s="59" t="s">
        <v>150</v>
      </c>
      <c r="BF12" s="59" t="s">
        <v>150</v>
      </c>
    </row>
    <row r="13" spans="2:58" s="37" customFormat="1" ht="12.75" customHeight="1" x14ac:dyDescent="0.45">
      <c r="B13" s="60" t="s">
        <v>154</v>
      </c>
      <c r="C13" s="48">
        <f>C17+0.125%</f>
        <v>8.1250000000000003E-2</v>
      </c>
      <c r="D13" s="48">
        <f>C13+0.125%</f>
        <v>8.2500000000000004E-2</v>
      </c>
      <c r="E13" s="48">
        <f>D13+0.125%</f>
        <v>8.3750000000000005E-2</v>
      </c>
      <c r="F13" s="48">
        <f>E13+0.125%</f>
        <v>8.5000000000000006E-2</v>
      </c>
      <c r="G13" s="48">
        <f>F13+0.125%</f>
        <v>8.6250000000000007E-2</v>
      </c>
      <c r="H13" s="48">
        <f>G13</f>
        <v>8.6250000000000007E-2</v>
      </c>
      <c r="J13" s="38"/>
      <c r="L13" s="60" t="s">
        <v>154</v>
      </c>
      <c r="M13" s="48">
        <f>M17+0.25%</f>
        <v>0.1075</v>
      </c>
      <c r="N13" s="48">
        <f>M13+0.25%</f>
        <v>0.11</v>
      </c>
      <c r="O13" s="48">
        <f>N13+0.25%</f>
        <v>0.1125</v>
      </c>
      <c r="P13" s="49" t="s">
        <v>150</v>
      </c>
      <c r="Q13" s="49" t="s">
        <v>150</v>
      </c>
      <c r="R13" s="49" t="s">
        <v>150</v>
      </c>
      <c r="S13" s="50"/>
      <c r="T13" s="51"/>
      <c r="U13" s="41"/>
      <c r="V13" s="60" t="str">
        <f t="shared" si="0"/>
        <v>65.00%-70.00%</v>
      </c>
      <c r="W13" s="48">
        <f>W17+0.125%</f>
        <v>8.2500000000000004E-2</v>
      </c>
      <c r="X13" s="48">
        <f>W13+0.125%</f>
        <v>8.3750000000000005E-2</v>
      </c>
      <c r="Y13" s="48">
        <f>X13+0.125%</f>
        <v>8.5000000000000006E-2</v>
      </c>
      <c r="Z13" s="48">
        <f>Y13+0.125%</f>
        <v>8.6250000000000007E-2</v>
      </c>
      <c r="AA13" s="48">
        <f>Z13+0.125%</f>
        <v>8.7500000000000008E-2</v>
      </c>
      <c r="AB13" s="48">
        <f>AA13</f>
        <v>8.7500000000000008E-2</v>
      </c>
      <c r="AD13" s="38"/>
      <c r="AF13" s="60" t="str">
        <f t="shared" si="1"/>
        <v>65.00%-70.00%</v>
      </c>
      <c r="AG13" s="48">
        <f>AG17+0.25%</f>
        <v>0.10875</v>
      </c>
      <c r="AH13" s="48">
        <f>AG13+0.25%</f>
        <v>0.11125</v>
      </c>
      <c r="AI13" s="48">
        <f>AH13+0.25%</f>
        <v>0.11375</v>
      </c>
      <c r="AJ13" s="49" t="s">
        <v>150</v>
      </c>
      <c r="AK13" s="49" t="s">
        <v>150</v>
      </c>
      <c r="AL13" s="49" t="s">
        <v>150</v>
      </c>
      <c r="AM13" s="50"/>
      <c r="AN13" s="51"/>
      <c r="AO13" s="41"/>
      <c r="AP13" s="60" t="str">
        <f t="shared" si="2"/>
        <v>65.00%-70.00%</v>
      </c>
      <c r="AQ13" s="48">
        <f>AQ17+0.125%</f>
        <v>8.3750000000000005E-2</v>
      </c>
      <c r="AR13" s="48">
        <f>AQ13+0.125%</f>
        <v>8.5000000000000006E-2</v>
      </c>
      <c r="AS13" s="48">
        <f>AR13+0.125%</f>
        <v>8.6250000000000007E-2</v>
      </c>
      <c r="AT13" s="48">
        <f>AS13+0.125%</f>
        <v>8.7500000000000008E-2</v>
      </c>
      <c r="AU13" s="48">
        <f>AT13+0.125%</f>
        <v>8.8750000000000009E-2</v>
      </c>
      <c r="AV13" s="48">
        <f>AU13</f>
        <v>8.8750000000000009E-2</v>
      </c>
      <c r="AX13" s="38"/>
      <c r="AZ13" s="60" t="str">
        <f t="shared" si="3"/>
        <v>65.00%-70.00%</v>
      </c>
      <c r="BA13" s="49" t="s">
        <v>150</v>
      </c>
      <c r="BB13" s="49" t="s">
        <v>150</v>
      </c>
      <c r="BC13" s="49" t="s">
        <v>150</v>
      </c>
      <c r="BD13" s="49" t="s">
        <v>150</v>
      </c>
      <c r="BE13" s="49" t="s">
        <v>150</v>
      </c>
      <c r="BF13" s="49" t="s">
        <v>150</v>
      </c>
    </row>
    <row r="14" spans="2:58" s="37" customFormat="1" ht="12.75" customHeight="1" x14ac:dyDescent="0.45">
      <c r="B14" s="52" t="s">
        <v>151</v>
      </c>
      <c r="C14" s="53">
        <f t="shared" ref="C14:H14" si="11">C13+0</f>
        <v>8.1250000000000003E-2</v>
      </c>
      <c r="D14" s="53">
        <f t="shared" si="11"/>
        <v>8.2500000000000004E-2</v>
      </c>
      <c r="E14" s="53">
        <f t="shared" si="11"/>
        <v>8.3750000000000005E-2</v>
      </c>
      <c r="F14" s="53">
        <f t="shared" si="11"/>
        <v>8.5000000000000006E-2</v>
      </c>
      <c r="G14" s="53">
        <f t="shared" si="11"/>
        <v>8.6250000000000007E-2</v>
      </c>
      <c r="H14" s="53">
        <f t="shared" si="11"/>
        <v>8.6250000000000007E-2</v>
      </c>
      <c r="J14" s="38"/>
      <c r="L14" s="52" t="s">
        <v>151</v>
      </c>
      <c r="M14" s="53">
        <f>M13+0</f>
        <v>0.1075</v>
      </c>
      <c r="N14" s="53">
        <f>N13+0</f>
        <v>0.11</v>
      </c>
      <c r="O14" s="53">
        <f>O13+0</f>
        <v>0.1125</v>
      </c>
      <c r="P14" s="54" t="s">
        <v>150</v>
      </c>
      <c r="Q14" s="54" t="s">
        <v>150</v>
      </c>
      <c r="R14" s="54" t="s">
        <v>150</v>
      </c>
      <c r="S14" s="55"/>
      <c r="T14" s="56"/>
      <c r="U14" s="41"/>
      <c r="V14" s="52" t="str">
        <f t="shared" si="0"/>
        <v>FICO 700+</v>
      </c>
      <c r="W14" s="53">
        <f t="shared" ref="W14:AB14" si="12">W13+0</f>
        <v>8.2500000000000004E-2</v>
      </c>
      <c r="X14" s="53">
        <f t="shared" si="12"/>
        <v>8.3750000000000005E-2</v>
      </c>
      <c r="Y14" s="53">
        <f t="shared" si="12"/>
        <v>8.5000000000000006E-2</v>
      </c>
      <c r="Z14" s="53">
        <f t="shared" si="12"/>
        <v>8.6250000000000007E-2</v>
      </c>
      <c r="AA14" s="53">
        <f t="shared" si="12"/>
        <v>8.7500000000000008E-2</v>
      </c>
      <c r="AB14" s="53">
        <f t="shared" si="12"/>
        <v>8.7500000000000008E-2</v>
      </c>
      <c r="AD14" s="38"/>
      <c r="AF14" s="52" t="str">
        <f t="shared" si="1"/>
        <v>FICO 700+</v>
      </c>
      <c r="AG14" s="53">
        <f>AG13+0</f>
        <v>0.10875</v>
      </c>
      <c r="AH14" s="53">
        <f>AH13+0</f>
        <v>0.11125</v>
      </c>
      <c r="AI14" s="53">
        <f>AI13+0</f>
        <v>0.11375</v>
      </c>
      <c r="AJ14" s="54" t="s">
        <v>150</v>
      </c>
      <c r="AK14" s="54" t="s">
        <v>150</v>
      </c>
      <c r="AL14" s="54" t="s">
        <v>150</v>
      </c>
      <c r="AM14" s="55"/>
      <c r="AN14" s="56"/>
      <c r="AO14" s="41"/>
      <c r="AP14" s="52" t="str">
        <f t="shared" si="2"/>
        <v>FICO 700+</v>
      </c>
      <c r="AQ14" s="53">
        <f t="shared" ref="AQ14:AV14" si="13">AQ13+0</f>
        <v>8.3750000000000005E-2</v>
      </c>
      <c r="AR14" s="53">
        <f t="shared" si="13"/>
        <v>8.5000000000000006E-2</v>
      </c>
      <c r="AS14" s="53">
        <f t="shared" si="13"/>
        <v>8.6250000000000007E-2</v>
      </c>
      <c r="AT14" s="53">
        <f t="shared" si="13"/>
        <v>8.7500000000000008E-2</v>
      </c>
      <c r="AU14" s="53">
        <f t="shared" si="13"/>
        <v>8.8750000000000009E-2</v>
      </c>
      <c r="AV14" s="53">
        <f t="shared" si="13"/>
        <v>8.8750000000000009E-2</v>
      </c>
      <c r="AX14" s="38"/>
      <c r="AZ14" s="52" t="str">
        <f t="shared" si="3"/>
        <v>FICO 700+</v>
      </c>
      <c r="BA14" s="54" t="s">
        <v>150</v>
      </c>
      <c r="BB14" s="54" t="s">
        <v>150</v>
      </c>
      <c r="BC14" s="54" t="s">
        <v>150</v>
      </c>
      <c r="BD14" s="54" t="s">
        <v>150</v>
      </c>
      <c r="BE14" s="54" t="s">
        <v>150</v>
      </c>
      <c r="BF14" s="54" t="s">
        <v>150</v>
      </c>
    </row>
    <row r="15" spans="2:58" s="37" customFormat="1" ht="12.75" customHeight="1" x14ac:dyDescent="0.45">
      <c r="B15" s="52" t="s">
        <v>152</v>
      </c>
      <c r="C15" s="53">
        <f t="shared" ref="C15:H15" si="14">C13+0.5%</f>
        <v>8.6250000000000007E-2</v>
      </c>
      <c r="D15" s="53">
        <f t="shared" si="14"/>
        <v>8.7500000000000008E-2</v>
      </c>
      <c r="E15" s="53">
        <f t="shared" si="14"/>
        <v>8.8750000000000009E-2</v>
      </c>
      <c r="F15" s="53">
        <f t="shared" si="14"/>
        <v>9.0000000000000011E-2</v>
      </c>
      <c r="G15" s="53">
        <f t="shared" si="14"/>
        <v>9.1250000000000012E-2</v>
      </c>
      <c r="H15" s="53">
        <f t="shared" si="14"/>
        <v>9.1250000000000012E-2</v>
      </c>
      <c r="J15" s="38"/>
      <c r="L15" s="52" t="s">
        <v>152</v>
      </c>
      <c r="M15" s="53">
        <f>M13+0.25%</f>
        <v>0.11</v>
      </c>
      <c r="N15" s="53">
        <f>N13+0.25%</f>
        <v>0.1125</v>
      </c>
      <c r="O15" s="53">
        <f>O13+0.25%</f>
        <v>0.115</v>
      </c>
      <c r="P15" s="54" t="s">
        <v>150</v>
      </c>
      <c r="Q15" s="54" t="s">
        <v>150</v>
      </c>
      <c r="R15" s="54" t="s">
        <v>150</v>
      </c>
      <c r="S15" s="55"/>
      <c r="T15" s="56"/>
      <c r="U15" s="41"/>
      <c r="V15" s="52" t="str">
        <f t="shared" si="0"/>
        <v>FICO 660-699</v>
      </c>
      <c r="W15" s="53">
        <f t="shared" ref="W15:AB15" si="15">W13+0.5%</f>
        <v>8.7500000000000008E-2</v>
      </c>
      <c r="X15" s="53">
        <f t="shared" si="15"/>
        <v>8.8750000000000009E-2</v>
      </c>
      <c r="Y15" s="53">
        <f t="shared" si="15"/>
        <v>9.0000000000000011E-2</v>
      </c>
      <c r="Z15" s="53">
        <f t="shared" si="15"/>
        <v>9.1250000000000012E-2</v>
      </c>
      <c r="AA15" s="53">
        <f t="shared" si="15"/>
        <v>9.2500000000000013E-2</v>
      </c>
      <c r="AB15" s="53">
        <f t="shared" si="15"/>
        <v>9.2500000000000013E-2</v>
      </c>
      <c r="AD15" s="38"/>
      <c r="AF15" s="52" t="str">
        <f t="shared" si="1"/>
        <v>FICO 660-699</v>
      </c>
      <c r="AG15" s="53">
        <f>AG13+0.5%</f>
        <v>0.11375</v>
      </c>
      <c r="AH15" s="53">
        <f>AH13+0.5%</f>
        <v>0.11625000000000001</v>
      </c>
      <c r="AI15" s="53">
        <f>AI13+0.5%</f>
        <v>0.11875000000000001</v>
      </c>
      <c r="AJ15" s="54" t="s">
        <v>150</v>
      </c>
      <c r="AK15" s="54" t="s">
        <v>150</v>
      </c>
      <c r="AL15" s="54" t="s">
        <v>150</v>
      </c>
      <c r="AM15" s="55"/>
      <c r="AN15" s="56"/>
      <c r="AO15" s="41"/>
      <c r="AP15" s="52" t="str">
        <f t="shared" si="2"/>
        <v>FICO 660-699</v>
      </c>
      <c r="AQ15" s="53">
        <f t="shared" ref="AQ15:AV15" si="16">AQ13+0.5%</f>
        <v>8.8750000000000009E-2</v>
      </c>
      <c r="AR15" s="53">
        <f t="shared" si="16"/>
        <v>9.0000000000000011E-2</v>
      </c>
      <c r="AS15" s="53">
        <f t="shared" si="16"/>
        <v>9.1250000000000012E-2</v>
      </c>
      <c r="AT15" s="53">
        <f t="shared" si="16"/>
        <v>9.2500000000000013E-2</v>
      </c>
      <c r="AU15" s="53">
        <f t="shared" si="16"/>
        <v>9.3750000000000014E-2</v>
      </c>
      <c r="AV15" s="53">
        <f t="shared" si="16"/>
        <v>9.3750000000000014E-2</v>
      </c>
      <c r="AX15" s="38"/>
      <c r="AZ15" s="52" t="str">
        <f t="shared" si="3"/>
        <v>FICO 660-699</v>
      </c>
      <c r="BA15" s="54" t="s">
        <v>150</v>
      </c>
      <c r="BB15" s="54" t="s">
        <v>150</v>
      </c>
      <c r="BC15" s="54" t="s">
        <v>150</v>
      </c>
      <c r="BD15" s="54" t="s">
        <v>150</v>
      </c>
      <c r="BE15" s="54" t="s">
        <v>150</v>
      </c>
      <c r="BF15" s="54" t="s">
        <v>150</v>
      </c>
    </row>
    <row r="16" spans="2:58" s="37" customFormat="1" ht="12.75" customHeight="1" x14ac:dyDescent="0.45">
      <c r="B16" s="57" t="s">
        <v>153</v>
      </c>
      <c r="C16" s="58">
        <f>C13+0.75%</f>
        <v>8.8749999999999996E-2</v>
      </c>
      <c r="D16" s="58">
        <f>D13+0.75%</f>
        <v>0.09</v>
      </c>
      <c r="E16" s="58">
        <f>E13+0.75%</f>
        <v>9.1249999999999998E-2</v>
      </c>
      <c r="F16" s="58">
        <f>F13+0.75%</f>
        <v>9.2499999999999999E-2</v>
      </c>
      <c r="G16" s="58">
        <f>G13+0.75%</f>
        <v>9.375E-2</v>
      </c>
      <c r="H16" s="59" t="s">
        <v>150</v>
      </c>
      <c r="J16" s="38"/>
      <c r="L16" s="57" t="s">
        <v>153</v>
      </c>
      <c r="M16" s="58">
        <f>M13+0.5%</f>
        <v>0.1125</v>
      </c>
      <c r="N16" s="58">
        <f>N13+0.5%</f>
        <v>0.115</v>
      </c>
      <c r="O16" s="58">
        <f>O13+0.5%</f>
        <v>0.11750000000000001</v>
      </c>
      <c r="P16" s="59" t="s">
        <v>150</v>
      </c>
      <c r="Q16" s="59" t="s">
        <v>150</v>
      </c>
      <c r="R16" s="59" t="s">
        <v>150</v>
      </c>
      <c r="S16" s="55"/>
      <c r="T16" s="56"/>
      <c r="U16" s="41"/>
      <c r="V16" s="57" t="str">
        <f t="shared" si="0"/>
        <v>FICO 640-659</v>
      </c>
      <c r="W16" s="58">
        <f>W13+0.75%</f>
        <v>0.09</v>
      </c>
      <c r="X16" s="58">
        <f>X13+0.75%</f>
        <v>9.1249999999999998E-2</v>
      </c>
      <c r="Y16" s="58">
        <f>Y13+0.75%</f>
        <v>9.2499999999999999E-2</v>
      </c>
      <c r="Z16" s="58">
        <f>Z13+0.75%</f>
        <v>9.375E-2</v>
      </c>
      <c r="AA16" s="58">
        <f>AA13+0.75%</f>
        <v>9.5000000000000001E-2</v>
      </c>
      <c r="AB16" s="59" t="str">
        <f>H16</f>
        <v>NA</v>
      </c>
      <c r="AD16" s="38"/>
      <c r="AF16" s="57" t="str">
        <f t="shared" si="1"/>
        <v>FICO 640-659</v>
      </c>
      <c r="AG16" s="58">
        <f>AG13+0.75%</f>
        <v>0.11624999999999999</v>
      </c>
      <c r="AH16" s="58">
        <f>AH13+0.75%</f>
        <v>0.11874999999999999</v>
      </c>
      <c r="AI16" s="58">
        <f>AI13+0.75%</f>
        <v>0.12125</v>
      </c>
      <c r="AJ16" s="59" t="s">
        <v>150</v>
      </c>
      <c r="AK16" s="59" t="s">
        <v>150</v>
      </c>
      <c r="AL16" s="59" t="s">
        <v>150</v>
      </c>
      <c r="AM16" s="55"/>
      <c r="AN16" s="56"/>
      <c r="AO16" s="41"/>
      <c r="AP16" s="57" t="str">
        <f t="shared" si="2"/>
        <v>FICO 640-659</v>
      </c>
      <c r="AQ16" s="58">
        <f t="shared" ref="AQ16:AV16" si="17">AQ13+0.75%</f>
        <v>9.1249999999999998E-2</v>
      </c>
      <c r="AR16" s="58">
        <f t="shared" si="17"/>
        <v>9.2499999999999999E-2</v>
      </c>
      <c r="AS16" s="58">
        <f t="shared" si="17"/>
        <v>9.375E-2</v>
      </c>
      <c r="AT16" s="58">
        <f t="shared" si="17"/>
        <v>9.5000000000000001E-2</v>
      </c>
      <c r="AU16" s="58">
        <f t="shared" si="17"/>
        <v>9.6250000000000002E-2</v>
      </c>
      <c r="AV16" s="58">
        <f t="shared" si="17"/>
        <v>9.6250000000000002E-2</v>
      </c>
      <c r="AX16" s="38"/>
      <c r="AZ16" s="57" t="str">
        <f t="shared" si="3"/>
        <v>FICO 640-659</v>
      </c>
      <c r="BA16" s="59" t="s">
        <v>150</v>
      </c>
      <c r="BB16" s="59" t="s">
        <v>150</v>
      </c>
      <c r="BC16" s="59" t="s">
        <v>150</v>
      </c>
      <c r="BD16" s="59" t="s">
        <v>150</v>
      </c>
      <c r="BE16" s="59" t="s">
        <v>150</v>
      </c>
      <c r="BF16" s="59" t="s">
        <v>150</v>
      </c>
    </row>
    <row r="17" spans="2:58" s="37" customFormat="1" ht="12.75" customHeight="1" x14ac:dyDescent="0.45">
      <c r="B17" s="60" t="s">
        <v>155</v>
      </c>
      <c r="C17" s="61">
        <v>0.08</v>
      </c>
      <c r="D17" s="48">
        <f>C17+0.125%</f>
        <v>8.1250000000000003E-2</v>
      </c>
      <c r="E17" s="48">
        <f>D17+0.125%</f>
        <v>8.2500000000000004E-2</v>
      </c>
      <c r="F17" s="48">
        <f>E17+0.125%</f>
        <v>8.3750000000000005E-2</v>
      </c>
      <c r="G17" s="48">
        <f>F17+0.125%</f>
        <v>8.5000000000000006E-2</v>
      </c>
      <c r="H17" s="48">
        <f>G17</f>
        <v>8.5000000000000006E-2</v>
      </c>
      <c r="J17" s="38"/>
      <c r="L17" s="60" t="s">
        <v>155</v>
      </c>
      <c r="M17" s="61">
        <v>0.105</v>
      </c>
      <c r="N17" s="48">
        <f>M17+0.25%</f>
        <v>0.1075</v>
      </c>
      <c r="O17" s="48">
        <f>N17+0.25%</f>
        <v>0.11</v>
      </c>
      <c r="P17" s="49" t="s">
        <v>150</v>
      </c>
      <c r="Q17" s="49" t="s">
        <v>150</v>
      </c>
      <c r="R17" s="49" t="s">
        <v>150</v>
      </c>
      <c r="S17" s="50"/>
      <c r="T17" s="51"/>
      <c r="U17" s="41"/>
      <c r="V17" s="60" t="str">
        <f t="shared" si="0"/>
        <v>&lt;64.99%</v>
      </c>
      <c r="W17" s="62">
        <f>C17+0.125%</f>
        <v>8.1250000000000003E-2</v>
      </c>
      <c r="X17" s="48">
        <f>W17+0.125%</f>
        <v>8.2500000000000004E-2</v>
      </c>
      <c r="Y17" s="48">
        <f>X17+0.125%</f>
        <v>8.3750000000000005E-2</v>
      </c>
      <c r="Z17" s="48">
        <f>Y17+0.125%</f>
        <v>8.5000000000000006E-2</v>
      </c>
      <c r="AA17" s="48">
        <f>Z17+0.125%</f>
        <v>8.6250000000000007E-2</v>
      </c>
      <c r="AB17" s="48">
        <f>AA17</f>
        <v>8.6250000000000007E-2</v>
      </c>
      <c r="AD17" s="38"/>
      <c r="AF17" s="60" t="str">
        <f t="shared" si="1"/>
        <v>&lt;64.99%</v>
      </c>
      <c r="AG17" s="62">
        <f>M17+0.125%</f>
        <v>0.10625</v>
      </c>
      <c r="AH17" s="48">
        <f>AG17+0.25%</f>
        <v>0.10875</v>
      </c>
      <c r="AI17" s="48">
        <f>AH17+0.25%</f>
        <v>0.11125</v>
      </c>
      <c r="AJ17" s="49" t="s">
        <v>150</v>
      </c>
      <c r="AK17" s="49" t="s">
        <v>150</v>
      </c>
      <c r="AL17" s="49" t="s">
        <v>150</v>
      </c>
      <c r="AM17" s="50"/>
      <c r="AN17" s="51"/>
      <c r="AO17" s="41"/>
      <c r="AP17" s="60" t="str">
        <f t="shared" si="2"/>
        <v>&lt;64.99%</v>
      </c>
      <c r="AQ17" s="62">
        <f>W17+0.125%</f>
        <v>8.2500000000000004E-2</v>
      </c>
      <c r="AR17" s="48">
        <f>AQ17+0.125%</f>
        <v>8.3750000000000005E-2</v>
      </c>
      <c r="AS17" s="48">
        <f>AR17+0.125%</f>
        <v>8.5000000000000006E-2</v>
      </c>
      <c r="AT17" s="48">
        <f>AS17+0.125%</f>
        <v>8.6250000000000007E-2</v>
      </c>
      <c r="AU17" s="48">
        <f>AT17+0.125%</f>
        <v>8.7500000000000008E-2</v>
      </c>
      <c r="AV17" s="48">
        <f>AU17</f>
        <v>8.7500000000000008E-2</v>
      </c>
      <c r="AX17" s="38"/>
      <c r="AZ17" s="60" t="str">
        <f t="shared" si="3"/>
        <v>&lt;64.99%</v>
      </c>
      <c r="BA17" s="49" t="s">
        <v>150</v>
      </c>
      <c r="BB17" s="49" t="s">
        <v>150</v>
      </c>
      <c r="BC17" s="49" t="s">
        <v>150</v>
      </c>
      <c r="BD17" s="49" t="s">
        <v>150</v>
      </c>
      <c r="BE17" s="49" t="s">
        <v>150</v>
      </c>
      <c r="BF17" s="49" t="s">
        <v>150</v>
      </c>
    </row>
    <row r="18" spans="2:58" s="37" customFormat="1" ht="12.75" customHeight="1" x14ac:dyDescent="0.45">
      <c r="B18" s="52" t="s">
        <v>151</v>
      </c>
      <c r="C18" s="53">
        <f t="shared" ref="C18:H18" si="18">C17+0</f>
        <v>0.08</v>
      </c>
      <c r="D18" s="53">
        <f t="shared" si="18"/>
        <v>8.1250000000000003E-2</v>
      </c>
      <c r="E18" s="53">
        <f t="shared" si="18"/>
        <v>8.2500000000000004E-2</v>
      </c>
      <c r="F18" s="53">
        <f t="shared" si="18"/>
        <v>8.3750000000000005E-2</v>
      </c>
      <c r="G18" s="53">
        <f t="shared" si="18"/>
        <v>8.5000000000000006E-2</v>
      </c>
      <c r="H18" s="53">
        <f t="shared" si="18"/>
        <v>8.5000000000000006E-2</v>
      </c>
      <c r="J18" s="38"/>
      <c r="L18" s="52" t="s">
        <v>151</v>
      </c>
      <c r="M18" s="53">
        <f>M17+0</f>
        <v>0.105</v>
      </c>
      <c r="N18" s="53">
        <f>N17+0</f>
        <v>0.1075</v>
      </c>
      <c r="O18" s="53">
        <f>O17+0</f>
        <v>0.11</v>
      </c>
      <c r="P18" s="54" t="s">
        <v>150</v>
      </c>
      <c r="Q18" s="54" t="s">
        <v>150</v>
      </c>
      <c r="R18" s="54" t="s">
        <v>150</v>
      </c>
      <c r="S18" s="55"/>
      <c r="T18" s="56"/>
      <c r="U18" s="41"/>
      <c r="V18" s="52" t="str">
        <f t="shared" si="0"/>
        <v>FICO 700+</v>
      </c>
      <c r="W18" s="53">
        <f t="shared" ref="W18:AB18" si="19">W17+0</f>
        <v>8.1250000000000003E-2</v>
      </c>
      <c r="X18" s="53">
        <f t="shared" si="19"/>
        <v>8.2500000000000004E-2</v>
      </c>
      <c r="Y18" s="53">
        <f t="shared" si="19"/>
        <v>8.3750000000000005E-2</v>
      </c>
      <c r="Z18" s="53">
        <f t="shared" si="19"/>
        <v>8.5000000000000006E-2</v>
      </c>
      <c r="AA18" s="53">
        <f t="shared" si="19"/>
        <v>8.6250000000000007E-2</v>
      </c>
      <c r="AB18" s="53">
        <f t="shared" si="19"/>
        <v>8.6250000000000007E-2</v>
      </c>
      <c r="AD18" s="38"/>
      <c r="AF18" s="52" t="str">
        <f t="shared" si="1"/>
        <v>FICO 700+</v>
      </c>
      <c r="AG18" s="53">
        <f>AG17+0</f>
        <v>0.10625</v>
      </c>
      <c r="AH18" s="53">
        <f>AH17+0</f>
        <v>0.10875</v>
      </c>
      <c r="AI18" s="53">
        <f>AI17+0</f>
        <v>0.11125</v>
      </c>
      <c r="AJ18" s="54" t="s">
        <v>150</v>
      </c>
      <c r="AK18" s="54" t="s">
        <v>150</v>
      </c>
      <c r="AL18" s="54" t="s">
        <v>150</v>
      </c>
      <c r="AM18" s="55"/>
      <c r="AN18" s="56"/>
      <c r="AO18" s="41"/>
      <c r="AP18" s="52" t="str">
        <f t="shared" si="2"/>
        <v>FICO 700+</v>
      </c>
      <c r="AQ18" s="53">
        <f t="shared" ref="AQ18:AV18" si="20">AQ17+0</f>
        <v>8.2500000000000004E-2</v>
      </c>
      <c r="AR18" s="53">
        <f t="shared" si="20"/>
        <v>8.3750000000000005E-2</v>
      </c>
      <c r="AS18" s="53">
        <f t="shared" si="20"/>
        <v>8.5000000000000006E-2</v>
      </c>
      <c r="AT18" s="53">
        <f t="shared" si="20"/>
        <v>8.6250000000000007E-2</v>
      </c>
      <c r="AU18" s="53">
        <f t="shared" si="20"/>
        <v>8.7500000000000008E-2</v>
      </c>
      <c r="AV18" s="53">
        <f t="shared" si="20"/>
        <v>8.7500000000000008E-2</v>
      </c>
      <c r="AX18" s="38"/>
      <c r="AZ18" s="52" t="str">
        <f t="shared" si="3"/>
        <v>FICO 700+</v>
      </c>
      <c r="BA18" s="54" t="s">
        <v>150</v>
      </c>
      <c r="BB18" s="54" t="s">
        <v>150</v>
      </c>
      <c r="BC18" s="54" t="s">
        <v>150</v>
      </c>
      <c r="BD18" s="54" t="s">
        <v>150</v>
      </c>
      <c r="BE18" s="54" t="s">
        <v>150</v>
      </c>
      <c r="BF18" s="54" t="s">
        <v>150</v>
      </c>
    </row>
    <row r="19" spans="2:58" s="37" customFormat="1" ht="12.75" customHeight="1" x14ac:dyDescent="0.45">
      <c r="B19" s="52" t="s">
        <v>152</v>
      </c>
      <c r="C19" s="53">
        <f t="shared" ref="C19:H19" si="21">C17+0.5%</f>
        <v>8.5000000000000006E-2</v>
      </c>
      <c r="D19" s="53">
        <f t="shared" si="21"/>
        <v>8.6250000000000007E-2</v>
      </c>
      <c r="E19" s="53">
        <f t="shared" si="21"/>
        <v>8.7500000000000008E-2</v>
      </c>
      <c r="F19" s="53">
        <f t="shared" si="21"/>
        <v>8.8750000000000009E-2</v>
      </c>
      <c r="G19" s="53">
        <f t="shared" si="21"/>
        <v>9.0000000000000011E-2</v>
      </c>
      <c r="H19" s="53">
        <f t="shared" si="21"/>
        <v>9.0000000000000011E-2</v>
      </c>
      <c r="J19" s="38"/>
      <c r="L19" s="52" t="s">
        <v>152</v>
      </c>
      <c r="M19" s="53">
        <f>M17+0.25%</f>
        <v>0.1075</v>
      </c>
      <c r="N19" s="53">
        <f>N17+0.25%</f>
        <v>0.11</v>
      </c>
      <c r="O19" s="53">
        <f>O17+0.25%</f>
        <v>0.1125</v>
      </c>
      <c r="P19" s="54" t="s">
        <v>150</v>
      </c>
      <c r="Q19" s="54" t="s">
        <v>150</v>
      </c>
      <c r="R19" s="54" t="s">
        <v>150</v>
      </c>
      <c r="S19" s="55"/>
      <c r="T19" s="56"/>
      <c r="U19" s="41"/>
      <c r="V19" s="52" t="str">
        <f t="shared" si="0"/>
        <v>FICO 660-699</v>
      </c>
      <c r="W19" s="53">
        <f t="shared" ref="W19:AB19" si="22">W17+0.5%</f>
        <v>8.6250000000000007E-2</v>
      </c>
      <c r="X19" s="53">
        <f t="shared" si="22"/>
        <v>8.7500000000000008E-2</v>
      </c>
      <c r="Y19" s="53">
        <f t="shared" si="22"/>
        <v>8.8750000000000009E-2</v>
      </c>
      <c r="Z19" s="53">
        <f t="shared" si="22"/>
        <v>9.0000000000000011E-2</v>
      </c>
      <c r="AA19" s="53">
        <f t="shared" si="22"/>
        <v>9.1250000000000012E-2</v>
      </c>
      <c r="AB19" s="53">
        <f t="shared" si="22"/>
        <v>9.1250000000000012E-2</v>
      </c>
      <c r="AD19" s="38"/>
      <c r="AF19" s="52" t="str">
        <f t="shared" si="1"/>
        <v>FICO 660-699</v>
      </c>
      <c r="AG19" s="53">
        <f>AG17+0.5%</f>
        <v>0.11125</v>
      </c>
      <c r="AH19" s="53">
        <f>AH17+0.5%</f>
        <v>0.11375</v>
      </c>
      <c r="AI19" s="53">
        <f>AI17+0.5%</f>
        <v>0.11625000000000001</v>
      </c>
      <c r="AJ19" s="54" t="s">
        <v>150</v>
      </c>
      <c r="AK19" s="54" t="s">
        <v>150</v>
      </c>
      <c r="AL19" s="54" t="s">
        <v>150</v>
      </c>
      <c r="AM19" s="55"/>
      <c r="AN19" s="56"/>
      <c r="AO19" s="41"/>
      <c r="AP19" s="52" t="str">
        <f t="shared" si="2"/>
        <v>FICO 660-699</v>
      </c>
      <c r="AQ19" s="53">
        <f t="shared" ref="AQ19:AV19" si="23">AQ17+0.5%</f>
        <v>8.7500000000000008E-2</v>
      </c>
      <c r="AR19" s="53">
        <f t="shared" si="23"/>
        <v>8.8750000000000009E-2</v>
      </c>
      <c r="AS19" s="53">
        <f t="shared" si="23"/>
        <v>9.0000000000000011E-2</v>
      </c>
      <c r="AT19" s="53">
        <f t="shared" si="23"/>
        <v>9.1250000000000012E-2</v>
      </c>
      <c r="AU19" s="53">
        <f t="shared" si="23"/>
        <v>9.2500000000000013E-2</v>
      </c>
      <c r="AV19" s="53">
        <f t="shared" si="23"/>
        <v>9.2500000000000013E-2</v>
      </c>
      <c r="AX19" s="38"/>
      <c r="AZ19" s="52" t="str">
        <f t="shared" si="3"/>
        <v>FICO 660-699</v>
      </c>
      <c r="BA19" s="54" t="s">
        <v>150</v>
      </c>
      <c r="BB19" s="54" t="s">
        <v>150</v>
      </c>
      <c r="BC19" s="54" t="s">
        <v>150</v>
      </c>
      <c r="BD19" s="54" t="s">
        <v>150</v>
      </c>
      <c r="BE19" s="54" t="s">
        <v>150</v>
      </c>
      <c r="BF19" s="54" t="s">
        <v>150</v>
      </c>
    </row>
    <row r="20" spans="2:58" s="37" customFormat="1" ht="12.75" customHeight="1" x14ac:dyDescent="0.45">
      <c r="B20" s="52" t="s">
        <v>153</v>
      </c>
      <c r="C20" s="53">
        <f t="shared" ref="C20:H20" si="24">C17+0.75%</f>
        <v>8.7499999999999994E-2</v>
      </c>
      <c r="D20" s="53">
        <f t="shared" si="24"/>
        <v>8.8749999999999996E-2</v>
      </c>
      <c r="E20" s="53">
        <f t="shared" si="24"/>
        <v>0.09</v>
      </c>
      <c r="F20" s="53">
        <f t="shared" si="24"/>
        <v>9.1249999999999998E-2</v>
      </c>
      <c r="G20" s="53">
        <f t="shared" si="24"/>
        <v>9.2499999999999999E-2</v>
      </c>
      <c r="H20" s="53">
        <f t="shared" si="24"/>
        <v>9.2499999999999999E-2</v>
      </c>
      <c r="J20" s="38"/>
      <c r="L20" s="52" t="s">
        <v>153</v>
      </c>
      <c r="M20" s="53">
        <f>M17+0.5%</f>
        <v>0.11</v>
      </c>
      <c r="N20" s="53">
        <f>N17+0.5%</f>
        <v>0.1125</v>
      </c>
      <c r="O20" s="53">
        <f>O17+0.5%</f>
        <v>0.115</v>
      </c>
      <c r="P20" s="54" t="s">
        <v>150</v>
      </c>
      <c r="Q20" s="54" t="s">
        <v>150</v>
      </c>
      <c r="R20" s="54" t="s">
        <v>150</v>
      </c>
      <c r="S20" s="55"/>
      <c r="T20" s="56"/>
      <c r="U20" s="41"/>
      <c r="V20" s="52" t="str">
        <f t="shared" si="0"/>
        <v>FICO 640-659</v>
      </c>
      <c r="W20" s="53">
        <f t="shared" ref="W20:AB20" si="25">W17+0.75%</f>
        <v>8.8749999999999996E-2</v>
      </c>
      <c r="X20" s="53">
        <f t="shared" si="25"/>
        <v>0.09</v>
      </c>
      <c r="Y20" s="53">
        <f t="shared" si="25"/>
        <v>9.1249999999999998E-2</v>
      </c>
      <c r="Z20" s="53">
        <f t="shared" si="25"/>
        <v>9.2499999999999999E-2</v>
      </c>
      <c r="AA20" s="53">
        <f t="shared" si="25"/>
        <v>9.375E-2</v>
      </c>
      <c r="AB20" s="53">
        <f t="shared" si="25"/>
        <v>9.375E-2</v>
      </c>
      <c r="AD20" s="38"/>
      <c r="AF20" s="52" t="str">
        <f t="shared" si="1"/>
        <v>FICO 640-659</v>
      </c>
      <c r="AG20" s="53">
        <f>AG17+0.75%</f>
        <v>0.11374999999999999</v>
      </c>
      <c r="AH20" s="53">
        <f>AH17+0.75%</f>
        <v>0.11624999999999999</v>
      </c>
      <c r="AI20" s="53">
        <f>AI17+0.75%</f>
        <v>0.11874999999999999</v>
      </c>
      <c r="AJ20" s="54" t="s">
        <v>150</v>
      </c>
      <c r="AK20" s="54" t="s">
        <v>150</v>
      </c>
      <c r="AL20" s="54" t="s">
        <v>150</v>
      </c>
      <c r="AM20" s="55"/>
      <c r="AN20" s="56"/>
      <c r="AO20" s="41"/>
      <c r="AP20" s="52" t="str">
        <f t="shared" si="2"/>
        <v>FICO 640-659</v>
      </c>
      <c r="AQ20" s="53">
        <f t="shared" ref="AQ20:AV20" si="26">AQ17+0.75%</f>
        <v>0.09</v>
      </c>
      <c r="AR20" s="53">
        <f t="shared" si="26"/>
        <v>9.1249999999999998E-2</v>
      </c>
      <c r="AS20" s="53">
        <f t="shared" si="26"/>
        <v>9.2499999999999999E-2</v>
      </c>
      <c r="AT20" s="53">
        <f t="shared" si="26"/>
        <v>9.375E-2</v>
      </c>
      <c r="AU20" s="53">
        <f t="shared" si="26"/>
        <v>9.5000000000000001E-2</v>
      </c>
      <c r="AV20" s="53">
        <f t="shared" si="26"/>
        <v>9.5000000000000001E-2</v>
      </c>
      <c r="AX20" s="38"/>
      <c r="AZ20" s="52" t="str">
        <f t="shared" si="3"/>
        <v>FICO 640-659</v>
      </c>
      <c r="BA20" s="54" t="s">
        <v>150</v>
      </c>
      <c r="BB20" s="54" t="s">
        <v>150</v>
      </c>
      <c r="BC20" s="54" t="s">
        <v>150</v>
      </c>
      <c r="BD20" s="54" t="s">
        <v>150</v>
      </c>
      <c r="BE20" s="54" t="s">
        <v>150</v>
      </c>
      <c r="BF20" s="54" t="s">
        <v>150</v>
      </c>
    </row>
    <row r="21" spans="2:58" s="37" customFormat="1" ht="12.75" customHeight="1" x14ac:dyDescent="0.45">
      <c r="C21" s="63"/>
      <c r="D21" s="63"/>
      <c r="E21" s="63"/>
      <c r="F21" s="63"/>
      <c r="G21" s="63"/>
      <c r="H21" s="63"/>
      <c r="J21" s="38"/>
      <c r="M21" s="63"/>
      <c r="N21" s="63"/>
      <c r="O21" s="63"/>
      <c r="P21" s="63"/>
      <c r="Q21" s="63"/>
      <c r="R21" s="63"/>
      <c r="S21" s="55"/>
      <c r="T21" s="56"/>
      <c r="U21" s="41"/>
      <c r="W21" s="63"/>
      <c r="X21" s="63"/>
      <c r="Y21" s="63"/>
      <c r="Z21" s="63"/>
      <c r="AA21" s="63"/>
      <c r="AB21" s="63"/>
      <c r="AD21" s="38"/>
      <c r="AG21" s="63"/>
      <c r="AH21" s="63"/>
      <c r="AI21" s="63"/>
      <c r="AJ21" s="63"/>
      <c r="AK21" s="63"/>
      <c r="AL21" s="63"/>
      <c r="AM21" s="55"/>
      <c r="AN21" s="56"/>
      <c r="AO21" s="41"/>
      <c r="AQ21" s="63"/>
      <c r="AR21" s="63"/>
      <c r="AS21" s="63"/>
      <c r="AT21" s="63"/>
      <c r="AU21" s="63"/>
      <c r="AV21" s="63"/>
      <c r="AX21" s="38"/>
      <c r="BA21" s="63"/>
      <c r="BB21" s="63"/>
      <c r="BC21" s="63"/>
      <c r="BD21" s="63"/>
      <c r="BE21" s="63"/>
      <c r="BF21" s="63"/>
    </row>
    <row r="22" spans="2:58" s="37" customFormat="1" ht="15.75" customHeight="1" x14ac:dyDescent="0.45">
      <c r="B22" s="94" t="s">
        <v>156</v>
      </c>
      <c r="C22" s="94"/>
      <c r="D22" s="94"/>
      <c r="E22" s="94"/>
      <c r="F22" s="94"/>
      <c r="G22" s="94"/>
      <c r="H22" s="94"/>
      <c r="J22" s="38"/>
      <c r="L22" s="94" t="s">
        <v>156</v>
      </c>
      <c r="M22" s="94"/>
      <c r="N22" s="94"/>
      <c r="O22" s="94"/>
      <c r="P22" s="94"/>
      <c r="Q22" s="94"/>
      <c r="R22" s="94"/>
      <c r="S22" s="39"/>
      <c r="T22" s="40"/>
      <c r="U22" s="41"/>
      <c r="V22" s="94" t="s">
        <v>156</v>
      </c>
      <c r="W22" s="94"/>
      <c r="X22" s="94"/>
      <c r="Y22" s="94"/>
      <c r="Z22" s="94"/>
      <c r="AA22" s="94"/>
      <c r="AB22" s="94"/>
      <c r="AD22" s="38"/>
      <c r="AF22" s="94" t="s">
        <v>156</v>
      </c>
      <c r="AG22" s="94"/>
      <c r="AH22" s="94"/>
      <c r="AI22" s="94"/>
      <c r="AJ22" s="94"/>
      <c r="AK22" s="94"/>
      <c r="AL22" s="94"/>
      <c r="AM22" s="39"/>
      <c r="AN22" s="40"/>
      <c r="AO22" s="41"/>
      <c r="AP22" s="94" t="s">
        <v>156</v>
      </c>
      <c r="AQ22" s="94"/>
      <c r="AR22" s="94"/>
      <c r="AS22" s="94"/>
      <c r="AT22" s="94"/>
      <c r="AU22" s="94"/>
      <c r="AV22" s="94"/>
      <c r="AX22" s="38"/>
      <c r="AZ22" s="94" t="s">
        <v>156</v>
      </c>
      <c r="BA22" s="94"/>
      <c r="BB22" s="94"/>
      <c r="BC22" s="94"/>
      <c r="BD22" s="94"/>
      <c r="BE22" s="94"/>
      <c r="BF22" s="94"/>
    </row>
    <row r="23" spans="2:58" s="37" customFormat="1" ht="12.75" customHeight="1" x14ac:dyDescent="0.45">
      <c r="B23" s="42"/>
      <c r="C23" s="95" t="s">
        <v>50</v>
      </c>
      <c r="D23" s="95"/>
      <c r="E23" s="95"/>
      <c r="F23" s="95"/>
      <c r="G23" s="95"/>
      <c r="H23" s="95"/>
      <c r="J23" s="38"/>
      <c r="L23" s="42"/>
      <c r="M23" s="95" t="s">
        <v>50</v>
      </c>
      <c r="N23" s="95"/>
      <c r="O23" s="95"/>
      <c r="P23" s="95"/>
      <c r="Q23" s="95"/>
      <c r="R23" s="95"/>
      <c r="S23" s="41"/>
      <c r="T23" s="43"/>
      <c r="U23" s="41"/>
      <c r="V23" s="42"/>
      <c r="W23" s="95" t="str">
        <f>C23</f>
        <v>LTC</v>
      </c>
      <c r="X23" s="95"/>
      <c r="Y23" s="95"/>
      <c r="Z23" s="95"/>
      <c r="AA23" s="95"/>
      <c r="AB23" s="95"/>
      <c r="AD23" s="38"/>
      <c r="AF23" s="42"/>
      <c r="AG23" s="95" t="str">
        <f>W23</f>
        <v>LTC</v>
      </c>
      <c r="AH23" s="95"/>
      <c r="AI23" s="95"/>
      <c r="AJ23" s="95"/>
      <c r="AK23" s="95"/>
      <c r="AL23" s="95"/>
      <c r="AM23" s="41"/>
      <c r="AN23" s="43"/>
      <c r="AO23" s="41"/>
      <c r="AP23" s="42"/>
      <c r="AQ23" s="95" t="str">
        <f>C23</f>
        <v>LTC</v>
      </c>
      <c r="AR23" s="95"/>
      <c r="AS23" s="95"/>
      <c r="AT23" s="95"/>
      <c r="AU23" s="95"/>
      <c r="AV23" s="95"/>
      <c r="AX23" s="38"/>
      <c r="AZ23" s="42"/>
      <c r="BA23" s="95" t="str">
        <f>C23</f>
        <v>LTC</v>
      </c>
      <c r="BB23" s="95"/>
      <c r="BC23" s="95"/>
      <c r="BD23" s="95"/>
      <c r="BE23" s="95"/>
      <c r="BF23" s="95"/>
    </row>
    <row r="24" spans="2:58" s="37" customFormat="1" ht="12.75" customHeight="1" x14ac:dyDescent="0.45">
      <c r="B24" s="44" t="s">
        <v>52</v>
      </c>
      <c r="C24" s="45" t="s">
        <v>143</v>
      </c>
      <c r="D24" s="45" t="s">
        <v>144</v>
      </c>
      <c r="E24" s="45" t="s">
        <v>145</v>
      </c>
      <c r="F24" s="45" t="s">
        <v>146</v>
      </c>
      <c r="G24" s="45" t="s">
        <v>147</v>
      </c>
      <c r="H24" s="45" t="s">
        <v>148</v>
      </c>
      <c r="J24" s="38"/>
      <c r="L24" s="44" t="s">
        <v>52</v>
      </c>
      <c r="M24" s="45" t="s">
        <v>143</v>
      </c>
      <c r="N24" s="45" t="s">
        <v>144</v>
      </c>
      <c r="O24" s="45" t="s">
        <v>145</v>
      </c>
      <c r="P24" s="45" t="s">
        <v>146</v>
      </c>
      <c r="Q24" s="45" t="s">
        <v>147</v>
      </c>
      <c r="R24" s="45" t="s">
        <v>148</v>
      </c>
      <c r="S24" s="41"/>
      <c r="T24" s="43"/>
      <c r="U24" s="41"/>
      <c r="V24" s="44" t="str">
        <f t="shared" ref="V24:V36" si="27">B24</f>
        <v>AR-LTV</v>
      </c>
      <c r="W24" s="45" t="str">
        <f>C24</f>
        <v>&lt;74.99%</v>
      </c>
      <c r="X24" s="45" t="str">
        <f>D24</f>
        <v>75.00%-80.00%</v>
      </c>
      <c r="Y24" s="45" t="str">
        <f>E24</f>
        <v>80.01%-85.00%</v>
      </c>
      <c r="Z24" s="45" t="str">
        <f>F24</f>
        <v>85.01%-87.50%</v>
      </c>
      <c r="AA24" s="45" t="str">
        <f>G24</f>
        <v>87.51%-89.99%</v>
      </c>
      <c r="AB24" s="45" t="str">
        <f>H24</f>
        <v>90.00%-92.50%</v>
      </c>
      <c r="AD24" s="38"/>
      <c r="AF24" s="44" t="str">
        <f t="shared" ref="AF24:AF36" si="28">V24</f>
        <v>AR-LTV</v>
      </c>
      <c r="AG24" s="45" t="str">
        <f>W24</f>
        <v>&lt;74.99%</v>
      </c>
      <c r="AH24" s="45" t="str">
        <f>X24</f>
        <v>75.00%-80.00%</v>
      </c>
      <c r="AI24" s="45" t="str">
        <f>Y24</f>
        <v>80.01%-85.00%</v>
      </c>
      <c r="AJ24" s="45" t="str">
        <f>Z24</f>
        <v>85.01%-87.50%</v>
      </c>
      <c r="AK24" s="45" t="str">
        <f>AA24</f>
        <v>87.51%-89.99%</v>
      </c>
      <c r="AL24" s="45" t="str">
        <f>AB24</f>
        <v>90.00%-92.50%</v>
      </c>
      <c r="AM24" s="41"/>
      <c r="AN24" s="43"/>
      <c r="AO24" s="41"/>
      <c r="AP24" s="44" t="str">
        <f t="shared" ref="AP24:AP36" si="29">B24</f>
        <v>AR-LTV</v>
      </c>
      <c r="AQ24" s="45" t="str">
        <f>C24</f>
        <v>&lt;74.99%</v>
      </c>
      <c r="AR24" s="45" t="str">
        <f>D24</f>
        <v>75.00%-80.00%</v>
      </c>
      <c r="AS24" s="45" t="str">
        <f>E24</f>
        <v>80.01%-85.00%</v>
      </c>
      <c r="AT24" s="45" t="str">
        <f>F24</f>
        <v>85.01%-87.50%</v>
      </c>
      <c r="AU24" s="45" t="str">
        <f>G24</f>
        <v>87.51%-89.99%</v>
      </c>
      <c r="AV24" s="45" t="str">
        <f>H24</f>
        <v>90.00%-92.50%</v>
      </c>
      <c r="AX24" s="38"/>
      <c r="AZ24" s="44" t="str">
        <f t="shared" ref="AZ24:AZ36" si="30">B24</f>
        <v>AR-LTV</v>
      </c>
      <c r="BA24" s="45" t="str">
        <f>C24</f>
        <v>&lt;74.99%</v>
      </c>
      <c r="BB24" s="45" t="str">
        <f>D24</f>
        <v>75.00%-80.00%</v>
      </c>
      <c r="BC24" s="45" t="str">
        <f>E24</f>
        <v>80.01%-85.00%</v>
      </c>
      <c r="BD24" s="45" t="str">
        <f>F24</f>
        <v>85.01%-87.50%</v>
      </c>
      <c r="BE24" s="45" t="str">
        <f>G24</f>
        <v>87.51%-89.99%</v>
      </c>
      <c r="BF24" s="45" t="str">
        <f>H24</f>
        <v>90.00%-92.50%</v>
      </c>
    </row>
    <row r="25" spans="2:58" s="37" customFormat="1" ht="12.75" customHeight="1" x14ac:dyDescent="0.45">
      <c r="B25" s="46" t="s">
        <v>149</v>
      </c>
      <c r="C25" s="48">
        <f>C29+0.25%</f>
        <v>8.7500000000000008E-2</v>
      </c>
      <c r="D25" s="48">
        <f>D29+0.25%</f>
        <v>8.8750000000000009E-2</v>
      </c>
      <c r="E25" s="48">
        <f>E29+0.25%</f>
        <v>9.0000000000000011E-2</v>
      </c>
      <c r="F25" s="48">
        <f>F29+0.25%</f>
        <v>9.1250000000000012E-2</v>
      </c>
      <c r="G25" s="48">
        <f>G29+0.25%</f>
        <v>9.2500000000000013E-2</v>
      </c>
      <c r="H25" s="49" t="s">
        <v>150</v>
      </c>
      <c r="J25" s="38"/>
      <c r="L25" s="46" t="s">
        <v>149</v>
      </c>
      <c r="M25" s="49" t="s">
        <v>150</v>
      </c>
      <c r="N25" s="49" t="s">
        <v>150</v>
      </c>
      <c r="O25" s="49" t="s">
        <v>150</v>
      </c>
      <c r="P25" s="49" t="s">
        <v>150</v>
      </c>
      <c r="Q25" s="49" t="s">
        <v>150</v>
      </c>
      <c r="R25" s="49" t="s">
        <v>150</v>
      </c>
      <c r="S25" s="50"/>
      <c r="T25" s="51"/>
      <c r="U25" s="41"/>
      <c r="V25" s="46" t="str">
        <f t="shared" si="27"/>
        <v>70.01%-75.00%</v>
      </c>
      <c r="W25" s="48">
        <f>W29+0.25%</f>
        <v>8.8750000000000009E-2</v>
      </c>
      <c r="X25" s="48">
        <f>W25+0.125%</f>
        <v>9.0000000000000011E-2</v>
      </c>
      <c r="Y25" s="48">
        <f>X25+0.125%</f>
        <v>9.1250000000000012E-2</v>
      </c>
      <c r="Z25" s="48">
        <f>Y25+0.125%</f>
        <v>9.2500000000000013E-2</v>
      </c>
      <c r="AA25" s="48">
        <f>Z25+0.125%</f>
        <v>9.3750000000000014E-2</v>
      </c>
      <c r="AB25" s="49" t="s">
        <v>150</v>
      </c>
      <c r="AD25" s="38"/>
      <c r="AF25" s="46" t="str">
        <f t="shared" si="28"/>
        <v>70.01%-75.00%</v>
      </c>
      <c r="AG25" s="49" t="s">
        <v>150</v>
      </c>
      <c r="AH25" s="49" t="s">
        <v>150</v>
      </c>
      <c r="AI25" s="49" t="s">
        <v>150</v>
      </c>
      <c r="AJ25" s="49" t="s">
        <v>150</v>
      </c>
      <c r="AK25" s="49" t="s">
        <v>150</v>
      </c>
      <c r="AL25" s="49" t="s">
        <v>150</v>
      </c>
      <c r="AM25" s="50"/>
      <c r="AN25" s="51"/>
      <c r="AO25" s="41"/>
      <c r="AP25" s="46" t="str">
        <f t="shared" si="29"/>
        <v>70.01%-75.00%</v>
      </c>
      <c r="AQ25" s="48">
        <f>AQ29+0.25%</f>
        <v>9.0000000000000011E-2</v>
      </c>
      <c r="AR25" s="48">
        <f>AQ25+0.125%</f>
        <v>9.1250000000000012E-2</v>
      </c>
      <c r="AS25" s="48">
        <f>AR25+0.125%</f>
        <v>9.2500000000000013E-2</v>
      </c>
      <c r="AT25" s="48">
        <f>AS25+0.125%</f>
        <v>9.3750000000000014E-2</v>
      </c>
      <c r="AU25" s="48">
        <f>AT25+0.125%</f>
        <v>9.5000000000000015E-2</v>
      </c>
      <c r="AV25" s="49" t="s">
        <v>150</v>
      </c>
      <c r="AX25" s="38"/>
      <c r="AZ25" s="46" t="str">
        <f t="shared" si="30"/>
        <v>70.01%-75.00%</v>
      </c>
      <c r="BA25" s="49" t="s">
        <v>150</v>
      </c>
      <c r="BB25" s="49" t="s">
        <v>150</v>
      </c>
      <c r="BC25" s="49" t="s">
        <v>150</v>
      </c>
      <c r="BD25" s="49" t="s">
        <v>150</v>
      </c>
      <c r="BE25" s="49" t="s">
        <v>150</v>
      </c>
      <c r="BF25" s="49" t="s">
        <v>150</v>
      </c>
    </row>
    <row r="26" spans="2:58" s="37" customFormat="1" ht="12.75" customHeight="1" x14ac:dyDescent="0.45">
      <c r="B26" s="52" t="s">
        <v>151</v>
      </c>
      <c r="C26" s="53">
        <f>C25+0</f>
        <v>8.7500000000000008E-2</v>
      </c>
      <c r="D26" s="53">
        <f>D25+0</f>
        <v>8.8750000000000009E-2</v>
      </c>
      <c r="E26" s="53">
        <f>E25+0</f>
        <v>9.0000000000000011E-2</v>
      </c>
      <c r="F26" s="53">
        <f>F25+0</f>
        <v>9.1250000000000012E-2</v>
      </c>
      <c r="G26" s="53">
        <f>G25+0</f>
        <v>9.2500000000000013E-2</v>
      </c>
      <c r="H26" s="54" t="s">
        <v>150</v>
      </c>
      <c r="J26" s="38"/>
      <c r="L26" s="52" t="s">
        <v>151</v>
      </c>
      <c r="M26" s="54" t="s">
        <v>150</v>
      </c>
      <c r="N26" s="54" t="s">
        <v>150</v>
      </c>
      <c r="O26" s="54" t="s">
        <v>150</v>
      </c>
      <c r="P26" s="54" t="s">
        <v>150</v>
      </c>
      <c r="Q26" s="54" t="s">
        <v>150</v>
      </c>
      <c r="R26" s="54" t="s">
        <v>150</v>
      </c>
      <c r="S26" s="55"/>
      <c r="T26" s="56"/>
      <c r="U26" s="41"/>
      <c r="V26" s="52" t="str">
        <f t="shared" si="27"/>
        <v>FICO 700+</v>
      </c>
      <c r="W26" s="53">
        <f>W25+0</f>
        <v>8.8750000000000009E-2</v>
      </c>
      <c r="X26" s="53">
        <f>X25+0</f>
        <v>9.0000000000000011E-2</v>
      </c>
      <c r="Y26" s="53">
        <f>Y25+0</f>
        <v>9.1250000000000012E-2</v>
      </c>
      <c r="Z26" s="53">
        <f>Z25+0</f>
        <v>9.2500000000000013E-2</v>
      </c>
      <c r="AA26" s="53">
        <f>AA25+0</f>
        <v>9.3750000000000014E-2</v>
      </c>
      <c r="AB26" s="54" t="s">
        <v>150</v>
      </c>
      <c r="AD26" s="38"/>
      <c r="AF26" s="52" t="str">
        <f t="shared" si="28"/>
        <v>FICO 700+</v>
      </c>
      <c r="AG26" s="54" t="s">
        <v>150</v>
      </c>
      <c r="AH26" s="54" t="s">
        <v>150</v>
      </c>
      <c r="AI26" s="54" t="s">
        <v>150</v>
      </c>
      <c r="AJ26" s="54" t="s">
        <v>150</v>
      </c>
      <c r="AK26" s="54" t="s">
        <v>150</v>
      </c>
      <c r="AL26" s="54" t="s">
        <v>150</v>
      </c>
      <c r="AM26" s="55"/>
      <c r="AN26" s="56"/>
      <c r="AO26" s="41"/>
      <c r="AP26" s="52" t="str">
        <f t="shared" si="29"/>
        <v>FICO 700+</v>
      </c>
      <c r="AQ26" s="53">
        <f>AQ25+0</f>
        <v>9.0000000000000011E-2</v>
      </c>
      <c r="AR26" s="53">
        <f>AR25+0</f>
        <v>9.1250000000000012E-2</v>
      </c>
      <c r="AS26" s="53">
        <f>AS25+0</f>
        <v>9.2500000000000013E-2</v>
      </c>
      <c r="AT26" s="53">
        <f>AT25+0</f>
        <v>9.3750000000000014E-2</v>
      </c>
      <c r="AU26" s="53">
        <f>AU25+0</f>
        <v>9.5000000000000015E-2</v>
      </c>
      <c r="AV26" s="54" t="s">
        <v>150</v>
      </c>
      <c r="AX26" s="38"/>
      <c r="AZ26" s="52" t="str">
        <f t="shared" si="30"/>
        <v>FICO 700+</v>
      </c>
      <c r="BA26" s="54" t="s">
        <v>150</v>
      </c>
      <c r="BB26" s="54" t="s">
        <v>150</v>
      </c>
      <c r="BC26" s="54" t="s">
        <v>150</v>
      </c>
      <c r="BD26" s="54" t="s">
        <v>150</v>
      </c>
      <c r="BE26" s="54" t="s">
        <v>150</v>
      </c>
      <c r="BF26" s="54" t="s">
        <v>150</v>
      </c>
    </row>
    <row r="27" spans="2:58" s="37" customFormat="1" ht="12.75" customHeight="1" x14ac:dyDescent="0.45">
      <c r="B27" s="52" t="s">
        <v>152</v>
      </c>
      <c r="C27" s="54" t="s">
        <v>150</v>
      </c>
      <c r="D27" s="54" t="s">
        <v>150</v>
      </c>
      <c r="E27" s="54" t="s">
        <v>150</v>
      </c>
      <c r="F27" s="54" t="s">
        <v>150</v>
      </c>
      <c r="G27" s="54" t="s">
        <v>150</v>
      </c>
      <c r="H27" s="54" t="s">
        <v>150</v>
      </c>
      <c r="J27" s="38"/>
      <c r="L27" s="52" t="s">
        <v>152</v>
      </c>
      <c r="M27" s="54" t="s">
        <v>150</v>
      </c>
      <c r="N27" s="54" t="s">
        <v>150</v>
      </c>
      <c r="O27" s="54" t="s">
        <v>150</v>
      </c>
      <c r="P27" s="54" t="s">
        <v>150</v>
      </c>
      <c r="Q27" s="54" t="s">
        <v>150</v>
      </c>
      <c r="R27" s="54" t="s">
        <v>150</v>
      </c>
      <c r="S27" s="55"/>
      <c r="T27" s="56"/>
      <c r="U27" s="41"/>
      <c r="V27" s="52" t="str">
        <f t="shared" si="27"/>
        <v>FICO 660-699</v>
      </c>
      <c r="W27" s="54" t="s">
        <v>150</v>
      </c>
      <c r="X27" s="54" t="s">
        <v>150</v>
      </c>
      <c r="Y27" s="54" t="s">
        <v>150</v>
      </c>
      <c r="Z27" s="54" t="s">
        <v>150</v>
      </c>
      <c r="AA27" s="54" t="s">
        <v>150</v>
      </c>
      <c r="AB27" s="54" t="s">
        <v>150</v>
      </c>
      <c r="AD27" s="38"/>
      <c r="AF27" s="52" t="str">
        <f t="shared" si="28"/>
        <v>FICO 660-699</v>
      </c>
      <c r="AG27" s="54" t="s">
        <v>150</v>
      </c>
      <c r="AH27" s="54" t="s">
        <v>150</v>
      </c>
      <c r="AI27" s="54" t="s">
        <v>150</v>
      </c>
      <c r="AJ27" s="54" t="s">
        <v>150</v>
      </c>
      <c r="AK27" s="54" t="s">
        <v>150</v>
      </c>
      <c r="AL27" s="54" t="s">
        <v>150</v>
      </c>
      <c r="AM27" s="55"/>
      <c r="AN27" s="56"/>
      <c r="AO27" s="41"/>
      <c r="AP27" s="52" t="str">
        <f t="shared" si="29"/>
        <v>FICO 660-699</v>
      </c>
      <c r="AQ27" s="54" t="s">
        <v>150</v>
      </c>
      <c r="AR27" s="54" t="s">
        <v>150</v>
      </c>
      <c r="AS27" s="54" t="s">
        <v>150</v>
      </c>
      <c r="AT27" s="54" t="s">
        <v>150</v>
      </c>
      <c r="AU27" s="54" t="s">
        <v>150</v>
      </c>
      <c r="AV27" s="54" t="s">
        <v>150</v>
      </c>
      <c r="AX27" s="38"/>
      <c r="AZ27" s="52" t="str">
        <f t="shared" si="30"/>
        <v>FICO 660-699</v>
      </c>
      <c r="BA27" s="54" t="s">
        <v>150</v>
      </c>
      <c r="BB27" s="54" t="s">
        <v>150</v>
      </c>
      <c r="BC27" s="54" t="s">
        <v>150</v>
      </c>
      <c r="BD27" s="54" t="s">
        <v>150</v>
      </c>
      <c r="BE27" s="54" t="s">
        <v>150</v>
      </c>
      <c r="BF27" s="54" t="s">
        <v>150</v>
      </c>
    </row>
    <row r="28" spans="2:58" s="37" customFormat="1" ht="12.75" customHeight="1" x14ac:dyDescent="0.45">
      <c r="B28" s="57" t="s">
        <v>153</v>
      </c>
      <c r="C28" s="59" t="s">
        <v>150</v>
      </c>
      <c r="D28" s="59" t="s">
        <v>150</v>
      </c>
      <c r="E28" s="59" t="s">
        <v>150</v>
      </c>
      <c r="F28" s="59" t="s">
        <v>150</v>
      </c>
      <c r="G28" s="59" t="s">
        <v>150</v>
      </c>
      <c r="H28" s="59" t="s">
        <v>150</v>
      </c>
      <c r="J28" s="38"/>
      <c r="L28" s="57" t="s">
        <v>153</v>
      </c>
      <c r="M28" s="59" t="s">
        <v>150</v>
      </c>
      <c r="N28" s="59" t="s">
        <v>150</v>
      </c>
      <c r="O28" s="59" t="s">
        <v>150</v>
      </c>
      <c r="P28" s="59" t="s">
        <v>150</v>
      </c>
      <c r="Q28" s="59" t="s">
        <v>150</v>
      </c>
      <c r="R28" s="59" t="s">
        <v>150</v>
      </c>
      <c r="S28" s="55"/>
      <c r="T28" s="56"/>
      <c r="U28" s="41"/>
      <c r="V28" s="57" t="str">
        <f t="shared" si="27"/>
        <v>FICO 640-659</v>
      </c>
      <c r="W28" s="59" t="s">
        <v>150</v>
      </c>
      <c r="X28" s="59" t="s">
        <v>150</v>
      </c>
      <c r="Y28" s="59" t="s">
        <v>150</v>
      </c>
      <c r="Z28" s="59" t="s">
        <v>150</v>
      </c>
      <c r="AA28" s="59" t="s">
        <v>150</v>
      </c>
      <c r="AB28" s="59" t="s">
        <v>150</v>
      </c>
      <c r="AD28" s="38"/>
      <c r="AF28" s="57" t="str">
        <f t="shared" si="28"/>
        <v>FICO 640-659</v>
      </c>
      <c r="AG28" s="59" t="s">
        <v>150</v>
      </c>
      <c r="AH28" s="59" t="s">
        <v>150</v>
      </c>
      <c r="AI28" s="59" t="s">
        <v>150</v>
      </c>
      <c r="AJ28" s="59" t="s">
        <v>150</v>
      </c>
      <c r="AK28" s="59" t="s">
        <v>150</v>
      </c>
      <c r="AL28" s="59" t="s">
        <v>150</v>
      </c>
      <c r="AM28" s="55"/>
      <c r="AN28" s="56"/>
      <c r="AO28" s="41"/>
      <c r="AP28" s="57" t="str">
        <f t="shared" si="29"/>
        <v>FICO 640-659</v>
      </c>
      <c r="AQ28" s="59" t="s">
        <v>150</v>
      </c>
      <c r="AR28" s="59" t="s">
        <v>150</v>
      </c>
      <c r="AS28" s="59" t="s">
        <v>150</v>
      </c>
      <c r="AT28" s="59" t="s">
        <v>150</v>
      </c>
      <c r="AU28" s="59" t="s">
        <v>150</v>
      </c>
      <c r="AV28" s="59" t="s">
        <v>150</v>
      </c>
      <c r="AX28" s="38"/>
      <c r="AZ28" s="57" t="str">
        <f t="shared" si="30"/>
        <v>FICO 640-659</v>
      </c>
      <c r="BA28" s="59" t="s">
        <v>150</v>
      </c>
      <c r="BB28" s="59" t="s">
        <v>150</v>
      </c>
      <c r="BC28" s="59" t="s">
        <v>150</v>
      </c>
      <c r="BD28" s="59" t="s">
        <v>150</v>
      </c>
      <c r="BE28" s="59" t="s">
        <v>150</v>
      </c>
      <c r="BF28" s="59" t="s">
        <v>150</v>
      </c>
    </row>
    <row r="29" spans="2:58" s="37" customFormat="1" ht="12.75" customHeight="1" x14ac:dyDescent="0.45">
      <c r="B29" s="60" t="s">
        <v>154</v>
      </c>
      <c r="C29" s="48">
        <f>C33+0.25%</f>
        <v>8.5000000000000006E-2</v>
      </c>
      <c r="D29" s="48">
        <f>C29+0.125%</f>
        <v>8.6250000000000007E-2</v>
      </c>
      <c r="E29" s="48">
        <f>D29+0.125%</f>
        <v>8.7500000000000008E-2</v>
      </c>
      <c r="F29" s="48">
        <f>E29+0.125%</f>
        <v>8.8750000000000009E-2</v>
      </c>
      <c r="G29" s="48">
        <f>F29+0.125%</f>
        <v>9.0000000000000011E-2</v>
      </c>
      <c r="H29" s="48">
        <f>G29</f>
        <v>9.0000000000000011E-2</v>
      </c>
      <c r="J29" s="38"/>
      <c r="L29" s="60" t="s">
        <v>154</v>
      </c>
      <c r="M29" s="48">
        <f>M33+0.25%</f>
        <v>0.1075</v>
      </c>
      <c r="N29" s="48">
        <f>M29+0.25%</f>
        <v>0.11</v>
      </c>
      <c r="O29" s="49" t="s">
        <v>150</v>
      </c>
      <c r="P29" s="49" t="s">
        <v>150</v>
      </c>
      <c r="Q29" s="49" t="s">
        <v>150</v>
      </c>
      <c r="R29" s="49" t="s">
        <v>150</v>
      </c>
      <c r="S29" s="50"/>
      <c r="T29" s="51"/>
      <c r="U29" s="41"/>
      <c r="V29" s="60" t="str">
        <f t="shared" si="27"/>
        <v>65.00%-70.00%</v>
      </c>
      <c r="W29" s="48">
        <f>W33+0.25%</f>
        <v>8.6250000000000007E-2</v>
      </c>
      <c r="X29" s="48">
        <f>W29+0.125%</f>
        <v>8.7500000000000008E-2</v>
      </c>
      <c r="Y29" s="48">
        <f>X29+0.125%</f>
        <v>8.8750000000000009E-2</v>
      </c>
      <c r="Z29" s="48">
        <f>Y29+0.125%</f>
        <v>9.0000000000000011E-2</v>
      </c>
      <c r="AA29" s="48">
        <f>Z29+0.125%</f>
        <v>9.1250000000000012E-2</v>
      </c>
      <c r="AB29" s="48">
        <f>AA29</f>
        <v>9.1250000000000012E-2</v>
      </c>
      <c r="AD29" s="38"/>
      <c r="AF29" s="60" t="str">
        <f t="shared" si="28"/>
        <v>65.00%-70.00%</v>
      </c>
      <c r="AG29" s="49" t="s">
        <v>150</v>
      </c>
      <c r="AH29" s="49" t="s">
        <v>150</v>
      </c>
      <c r="AI29" s="49" t="s">
        <v>150</v>
      </c>
      <c r="AJ29" s="49" t="s">
        <v>150</v>
      </c>
      <c r="AK29" s="49" t="s">
        <v>150</v>
      </c>
      <c r="AL29" s="49" t="s">
        <v>150</v>
      </c>
      <c r="AM29" s="50"/>
      <c r="AN29" s="51"/>
      <c r="AO29" s="41"/>
      <c r="AP29" s="60" t="str">
        <f t="shared" si="29"/>
        <v>65.00%-70.00%</v>
      </c>
      <c r="AQ29" s="48">
        <f>AQ33+0.25%</f>
        <v>8.7500000000000008E-2</v>
      </c>
      <c r="AR29" s="48">
        <f>AQ29+0.125%</f>
        <v>8.8750000000000009E-2</v>
      </c>
      <c r="AS29" s="48">
        <f>AR29+0.125%</f>
        <v>9.0000000000000011E-2</v>
      </c>
      <c r="AT29" s="48">
        <f>AS29+0.125%</f>
        <v>9.1250000000000012E-2</v>
      </c>
      <c r="AU29" s="48">
        <f>AT29+0.125%</f>
        <v>9.2500000000000013E-2</v>
      </c>
      <c r="AV29" s="48">
        <f>AU29</f>
        <v>9.2500000000000013E-2</v>
      </c>
      <c r="AX29" s="38"/>
      <c r="AZ29" s="60" t="str">
        <f t="shared" si="30"/>
        <v>65.00%-70.00%</v>
      </c>
      <c r="BA29" s="49" t="s">
        <v>150</v>
      </c>
      <c r="BB29" s="49" t="s">
        <v>150</v>
      </c>
      <c r="BC29" s="49" t="s">
        <v>150</v>
      </c>
      <c r="BD29" s="49" t="s">
        <v>150</v>
      </c>
      <c r="BE29" s="49" t="s">
        <v>150</v>
      </c>
      <c r="BF29" s="49" t="s">
        <v>150</v>
      </c>
    </row>
    <row r="30" spans="2:58" s="37" customFormat="1" ht="12.75" customHeight="1" x14ac:dyDescent="0.45">
      <c r="B30" s="52" t="s">
        <v>151</v>
      </c>
      <c r="C30" s="53">
        <f t="shared" ref="C30:H30" si="31">C29+0</f>
        <v>8.5000000000000006E-2</v>
      </c>
      <c r="D30" s="53">
        <f t="shared" si="31"/>
        <v>8.6250000000000007E-2</v>
      </c>
      <c r="E30" s="53">
        <f t="shared" si="31"/>
        <v>8.7500000000000008E-2</v>
      </c>
      <c r="F30" s="53">
        <f t="shared" si="31"/>
        <v>8.8750000000000009E-2</v>
      </c>
      <c r="G30" s="53">
        <f t="shared" si="31"/>
        <v>9.0000000000000011E-2</v>
      </c>
      <c r="H30" s="53">
        <f t="shared" si="31"/>
        <v>9.0000000000000011E-2</v>
      </c>
      <c r="J30" s="38"/>
      <c r="L30" s="52" t="s">
        <v>151</v>
      </c>
      <c r="M30" s="53">
        <f>M29+0</f>
        <v>0.1075</v>
      </c>
      <c r="N30" s="53">
        <f>N29+0</f>
        <v>0.11</v>
      </c>
      <c r="O30" s="54" t="s">
        <v>150</v>
      </c>
      <c r="P30" s="54" t="s">
        <v>150</v>
      </c>
      <c r="Q30" s="54" t="s">
        <v>150</v>
      </c>
      <c r="R30" s="54" t="s">
        <v>150</v>
      </c>
      <c r="S30" s="55"/>
      <c r="T30" s="56"/>
      <c r="U30" s="41"/>
      <c r="V30" s="52" t="str">
        <f t="shared" si="27"/>
        <v>FICO 700+</v>
      </c>
      <c r="W30" s="53">
        <f t="shared" ref="W30:AB30" si="32">W29+0</f>
        <v>8.6250000000000007E-2</v>
      </c>
      <c r="X30" s="53">
        <f t="shared" si="32"/>
        <v>8.7500000000000008E-2</v>
      </c>
      <c r="Y30" s="53">
        <f t="shared" si="32"/>
        <v>8.8750000000000009E-2</v>
      </c>
      <c r="Z30" s="53">
        <f t="shared" si="32"/>
        <v>9.0000000000000011E-2</v>
      </c>
      <c r="AA30" s="53">
        <f t="shared" si="32"/>
        <v>9.1250000000000012E-2</v>
      </c>
      <c r="AB30" s="53">
        <f t="shared" si="32"/>
        <v>9.1250000000000012E-2</v>
      </c>
      <c r="AD30" s="38"/>
      <c r="AF30" s="52" t="str">
        <f t="shared" si="28"/>
        <v>FICO 700+</v>
      </c>
      <c r="AG30" s="54" t="s">
        <v>150</v>
      </c>
      <c r="AH30" s="54" t="s">
        <v>150</v>
      </c>
      <c r="AI30" s="54" t="s">
        <v>150</v>
      </c>
      <c r="AJ30" s="54" t="s">
        <v>150</v>
      </c>
      <c r="AK30" s="54" t="s">
        <v>150</v>
      </c>
      <c r="AL30" s="54" t="s">
        <v>150</v>
      </c>
      <c r="AM30" s="55"/>
      <c r="AN30" s="56"/>
      <c r="AO30" s="41"/>
      <c r="AP30" s="52" t="str">
        <f t="shared" si="29"/>
        <v>FICO 700+</v>
      </c>
      <c r="AQ30" s="53">
        <f t="shared" ref="AQ30:AV30" si="33">AQ29+0</f>
        <v>8.7500000000000008E-2</v>
      </c>
      <c r="AR30" s="53">
        <f t="shared" si="33"/>
        <v>8.8750000000000009E-2</v>
      </c>
      <c r="AS30" s="53">
        <f t="shared" si="33"/>
        <v>9.0000000000000011E-2</v>
      </c>
      <c r="AT30" s="53">
        <f t="shared" si="33"/>
        <v>9.1250000000000012E-2</v>
      </c>
      <c r="AU30" s="53">
        <f t="shared" si="33"/>
        <v>9.2500000000000013E-2</v>
      </c>
      <c r="AV30" s="53">
        <f t="shared" si="33"/>
        <v>9.2500000000000013E-2</v>
      </c>
      <c r="AX30" s="38"/>
      <c r="AZ30" s="52" t="str">
        <f t="shared" si="30"/>
        <v>FICO 700+</v>
      </c>
      <c r="BA30" s="54" t="s">
        <v>150</v>
      </c>
      <c r="BB30" s="54" t="s">
        <v>150</v>
      </c>
      <c r="BC30" s="54" t="s">
        <v>150</v>
      </c>
      <c r="BD30" s="54" t="s">
        <v>150</v>
      </c>
      <c r="BE30" s="54" t="s">
        <v>150</v>
      </c>
      <c r="BF30" s="54" t="s">
        <v>150</v>
      </c>
    </row>
    <row r="31" spans="2:58" s="37" customFormat="1" ht="12.75" customHeight="1" x14ac:dyDescent="0.45">
      <c r="B31" s="52" t="s">
        <v>152</v>
      </c>
      <c r="C31" s="53">
        <f t="shared" ref="C31:H31" si="34">C29+0.5%</f>
        <v>9.0000000000000011E-2</v>
      </c>
      <c r="D31" s="53">
        <f t="shared" si="34"/>
        <v>9.1250000000000012E-2</v>
      </c>
      <c r="E31" s="53">
        <f t="shared" si="34"/>
        <v>9.2500000000000013E-2</v>
      </c>
      <c r="F31" s="53">
        <f t="shared" si="34"/>
        <v>9.3750000000000014E-2</v>
      </c>
      <c r="G31" s="53">
        <f t="shared" si="34"/>
        <v>9.5000000000000015E-2</v>
      </c>
      <c r="H31" s="53">
        <f t="shared" si="34"/>
        <v>9.5000000000000015E-2</v>
      </c>
      <c r="J31" s="38"/>
      <c r="L31" s="52" t="s">
        <v>152</v>
      </c>
      <c r="M31" s="53">
        <f>M29+0.25%</f>
        <v>0.11</v>
      </c>
      <c r="N31" s="53">
        <f>N29+0.25%</f>
        <v>0.1125</v>
      </c>
      <c r="O31" s="54" t="s">
        <v>150</v>
      </c>
      <c r="P31" s="54" t="s">
        <v>150</v>
      </c>
      <c r="Q31" s="54" t="s">
        <v>150</v>
      </c>
      <c r="R31" s="54" t="s">
        <v>150</v>
      </c>
      <c r="S31" s="55"/>
      <c r="T31" s="56"/>
      <c r="U31" s="41"/>
      <c r="V31" s="52" t="str">
        <f t="shared" si="27"/>
        <v>FICO 660-699</v>
      </c>
      <c r="W31" s="53">
        <f t="shared" ref="W31:AB31" si="35">W29+0.5%</f>
        <v>9.1250000000000012E-2</v>
      </c>
      <c r="X31" s="53">
        <f t="shared" si="35"/>
        <v>9.2500000000000013E-2</v>
      </c>
      <c r="Y31" s="53">
        <f t="shared" si="35"/>
        <v>9.3750000000000014E-2</v>
      </c>
      <c r="Z31" s="53">
        <f t="shared" si="35"/>
        <v>9.5000000000000015E-2</v>
      </c>
      <c r="AA31" s="53">
        <f t="shared" si="35"/>
        <v>9.6250000000000016E-2</v>
      </c>
      <c r="AB31" s="53">
        <f t="shared" si="35"/>
        <v>9.6250000000000016E-2</v>
      </c>
      <c r="AD31" s="38"/>
      <c r="AF31" s="52" t="str">
        <f t="shared" si="28"/>
        <v>FICO 660-699</v>
      </c>
      <c r="AG31" s="54" t="s">
        <v>150</v>
      </c>
      <c r="AH31" s="54" t="s">
        <v>150</v>
      </c>
      <c r="AI31" s="54" t="s">
        <v>150</v>
      </c>
      <c r="AJ31" s="54" t="s">
        <v>150</v>
      </c>
      <c r="AK31" s="54" t="s">
        <v>150</v>
      </c>
      <c r="AL31" s="54" t="s">
        <v>150</v>
      </c>
      <c r="AM31" s="55"/>
      <c r="AN31" s="56"/>
      <c r="AO31" s="41"/>
      <c r="AP31" s="52" t="str">
        <f t="shared" si="29"/>
        <v>FICO 660-699</v>
      </c>
      <c r="AQ31" s="53">
        <f t="shared" ref="AQ31:AV31" si="36">AQ29+0.5%</f>
        <v>9.2500000000000013E-2</v>
      </c>
      <c r="AR31" s="53">
        <f t="shared" si="36"/>
        <v>9.3750000000000014E-2</v>
      </c>
      <c r="AS31" s="53">
        <f t="shared" si="36"/>
        <v>9.5000000000000015E-2</v>
      </c>
      <c r="AT31" s="53">
        <f t="shared" si="36"/>
        <v>9.6250000000000016E-2</v>
      </c>
      <c r="AU31" s="53">
        <f t="shared" si="36"/>
        <v>9.7500000000000017E-2</v>
      </c>
      <c r="AV31" s="53">
        <f t="shared" si="36"/>
        <v>9.7500000000000017E-2</v>
      </c>
      <c r="AX31" s="38"/>
      <c r="AZ31" s="52" t="str">
        <f t="shared" si="30"/>
        <v>FICO 660-699</v>
      </c>
      <c r="BA31" s="54" t="s">
        <v>150</v>
      </c>
      <c r="BB31" s="54" t="s">
        <v>150</v>
      </c>
      <c r="BC31" s="54" t="s">
        <v>150</v>
      </c>
      <c r="BD31" s="54" t="s">
        <v>150</v>
      </c>
      <c r="BE31" s="54" t="s">
        <v>150</v>
      </c>
      <c r="BF31" s="54" t="s">
        <v>150</v>
      </c>
    </row>
    <row r="32" spans="2:58" s="37" customFormat="1" ht="12.75" customHeight="1" x14ac:dyDescent="0.45">
      <c r="B32" s="57" t="s">
        <v>153</v>
      </c>
      <c r="C32" s="59" t="s">
        <v>150</v>
      </c>
      <c r="D32" s="59" t="s">
        <v>150</v>
      </c>
      <c r="E32" s="59" t="s">
        <v>150</v>
      </c>
      <c r="F32" s="59" t="s">
        <v>150</v>
      </c>
      <c r="G32" s="59" t="s">
        <v>150</v>
      </c>
      <c r="H32" s="59" t="s">
        <v>150</v>
      </c>
      <c r="J32" s="38"/>
      <c r="L32" s="57" t="s">
        <v>153</v>
      </c>
      <c r="M32" s="59" t="s">
        <v>150</v>
      </c>
      <c r="N32" s="59" t="s">
        <v>150</v>
      </c>
      <c r="O32" s="59" t="s">
        <v>150</v>
      </c>
      <c r="P32" s="59" t="s">
        <v>150</v>
      </c>
      <c r="Q32" s="59" t="s">
        <v>150</v>
      </c>
      <c r="R32" s="59" t="s">
        <v>150</v>
      </c>
      <c r="S32" s="55"/>
      <c r="T32" s="56"/>
      <c r="U32" s="41"/>
      <c r="V32" s="57" t="str">
        <f t="shared" si="27"/>
        <v>FICO 640-659</v>
      </c>
      <c r="W32" s="59" t="s">
        <v>150</v>
      </c>
      <c r="X32" s="59" t="s">
        <v>150</v>
      </c>
      <c r="Y32" s="59" t="s">
        <v>150</v>
      </c>
      <c r="Z32" s="59" t="s">
        <v>150</v>
      </c>
      <c r="AA32" s="59" t="s">
        <v>150</v>
      </c>
      <c r="AB32" s="59" t="s">
        <v>150</v>
      </c>
      <c r="AD32" s="38"/>
      <c r="AF32" s="57" t="str">
        <f t="shared" si="28"/>
        <v>FICO 640-659</v>
      </c>
      <c r="AG32" s="59" t="s">
        <v>150</v>
      </c>
      <c r="AH32" s="59" t="s">
        <v>150</v>
      </c>
      <c r="AI32" s="59" t="s">
        <v>150</v>
      </c>
      <c r="AJ32" s="59" t="s">
        <v>150</v>
      </c>
      <c r="AK32" s="59" t="s">
        <v>150</v>
      </c>
      <c r="AL32" s="59" t="s">
        <v>150</v>
      </c>
      <c r="AM32" s="55"/>
      <c r="AN32" s="56"/>
      <c r="AO32" s="41"/>
      <c r="AP32" s="57" t="str">
        <f t="shared" si="29"/>
        <v>FICO 640-659</v>
      </c>
      <c r="AQ32" s="59" t="s">
        <v>150</v>
      </c>
      <c r="AR32" s="59" t="s">
        <v>150</v>
      </c>
      <c r="AS32" s="59" t="s">
        <v>150</v>
      </c>
      <c r="AT32" s="59" t="s">
        <v>150</v>
      </c>
      <c r="AU32" s="59" t="s">
        <v>150</v>
      </c>
      <c r="AV32" s="59" t="s">
        <v>150</v>
      </c>
      <c r="AX32" s="38"/>
      <c r="AZ32" s="57" t="str">
        <f t="shared" si="30"/>
        <v>FICO 640-659</v>
      </c>
      <c r="BA32" s="59" t="s">
        <v>150</v>
      </c>
      <c r="BB32" s="59" t="s">
        <v>150</v>
      </c>
      <c r="BC32" s="59" t="s">
        <v>150</v>
      </c>
      <c r="BD32" s="59" t="s">
        <v>150</v>
      </c>
      <c r="BE32" s="59" t="s">
        <v>150</v>
      </c>
      <c r="BF32" s="59" t="s">
        <v>150</v>
      </c>
    </row>
    <row r="33" spans="2:58" s="37" customFormat="1" ht="12.75" customHeight="1" x14ac:dyDescent="0.45">
      <c r="B33" s="60" t="s">
        <v>155</v>
      </c>
      <c r="C33" s="61">
        <v>8.2500000000000004E-2</v>
      </c>
      <c r="D33" s="48">
        <f>C33+0.125%</f>
        <v>8.3750000000000005E-2</v>
      </c>
      <c r="E33" s="48">
        <f>D33+0.125%</f>
        <v>8.5000000000000006E-2</v>
      </c>
      <c r="F33" s="48">
        <f>E33+0.125%</f>
        <v>8.6250000000000007E-2</v>
      </c>
      <c r="G33" s="48">
        <f>F33+0.125%</f>
        <v>8.7500000000000008E-2</v>
      </c>
      <c r="H33" s="48">
        <f>G33</f>
        <v>8.7500000000000008E-2</v>
      </c>
      <c r="J33" s="38"/>
      <c r="L33" s="60" t="s">
        <v>155</v>
      </c>
      <c r="M33" s="61">
        <v>0.105</v>
      </c>
      <c r="N33" s="48">
        <f>M33+0.25%</f>
        <v>0.1075</v>
      </c>
      <c r="O33" s="49" t="s">
        <v>150</v>
      </c>
      <c r="P33" s="49" t="s">
        <v>150</v>
      </c>
      <c r="Q33" s="49" t="s">
        <v>150</v>
      </c>
      <c r="R33" s="49" t="s">
        <v>150</v>
      </c>
      <c r="S33" s="50"/>
      <c r="T33" s="51"/>
      <c r="U33" s="41"/>
      <c r="V33" s="60" t="str">
        <f t="shared" si="27"/>
        <v>&lt;64.99%</v>
      </c>
      <c r="W33" s="62">
        <f>C33+0.125%</f>
        <v>8.3750000000000005E-2</v>
      </c>
      <c r="X33" s="48">
        <f>W33+0.125%</f>
        <v>8.5000000000000006E-2</v>
      </c>
      <c r="Y33" s="48">
        <f>X33+0.125%</f>
        <v>8.6250000000000007E-2</v>
      </c>
      <c r="Z33" s="48">
        <f>Y33+0.125%</f>
        <v>8.7500000000000008E-2</v>
      </c>
      <c r="AA33" s="48">
        <f>Z33+0.125%</f>
        <v>8.8750000000000009E-2</v>
      </c>
      <c r="AB33" s="48">
        <f>AA33</f>
        <v>8.8750000000000009E-2</v>
      </c>
      <c r="AD33" s="38"/>
      <c r="AF33" s="60" t="str">
        <f t="shared" si="28"/>
        <v>&lt;64.99%</v>
      </c>
      <c r="AG33" s="49" t="s">
        <v>150</v>
      </c>
      <c r="AH33" s="49" t="s">
        <v>150</v>
      </c>
      <c r="AI33" s="49" t="s">
        <v>150</v>
      </c>
      <c r="AJ33" s="49" t="s">
        <v>150</v>
      </c>
      <c r="AK33" s="49" t="s">
        <v>150</v>
      </c>
      <c r="AL33" s="49" t="s">
        <v>150</v>
      </c>
      <c r="AM33" s="50"/>
      <c r="AN33" s="51"/>
      <c r="AO33" s="41"/>
      <c r="AP33" s="60" t="str">
        <f t="shared" si="29"/>
        <v>&lt;64.99%</v>
      </c>
      <c r="AQ33" s="62">
        <f>W33+0.125%</f>
        <v>8.5000000000000006E-2</v>
      </c>
      <c r="AR33" s="48">
        <f>AQ33+0.125%</f>
        <v>8.6250000000000007E-2</v>
      </c>
      <c r="AS33" s="48">
        <f>AR33+0.125%</f>
        <v>8.7500000000000008E-2</v>
      </c>
      <c r="AT33" s="48">
        <f>AS33+0.125%</f>
        <v>8.8750000000000009E-2</v>
      </c>
      <c r="AU33" s="48">
        <f>AT33+0.125%</f>
        <v>9.0000000000000011E-2</v>
      </c>
      <c r="AV33" s="48">
        <f>AU33</f>
        <v>9.0000000000000011E-2</v>
      </c>
      <c r="AX33" s="38"/>
      <c r="AZ33" s="60" t="str">
        <f t="shared" si="30"/>
        <v>&lt;64.99%</v>
      </c>
      <c r="BA33" s="49" t="s">
        <v>150</v>
      </c>
      <c r="BB33" s="49" t="s">
        <v>150</v>
      </c>
      <c r="BC33" s="49" t="s">
        <v>150</v>
      </c>
      <c r="BD33" s="49" t="s">
        <v>150</v>
      </c>
      <c r="BE33" s="49" t="s">
        <v>150</v>
      </c>
      <c r="BF33" s="49" t="s">
        <v>150</v>
      </c>
    </row>
    <row r="34" spans="2:58" s="37" customFormat="1" ht="12.75" customHeight="1" x14ac:dyDescent="0.45">
      <c r="B34" s="52" t="s">
        <v>151</v>
      </c>
      <c r="C34" s="53">
        <f t="shared" ref="C34:H34" si="37">C33+0</f>
        <v>8.2500000000000004E-2</v>
      </c>
      <c r="D34" s="53">
        <f t="shared" si="37"/>
        <v>8.3750000000000005E-2</v>
      </c>
      <c r="E34" s="53">
        <f t="shared" si="37"/>
        <v>8.5000000000000006E-2</v>
      </c>
      <c r="F34" s="53">
        <f t="shared" si="37"/>
        <v>8.6250000000000007E-2</v>
      </c>
      <c r="G34" s="53">
        <f t="shared" si="37"/>
        <v>8.7500000000000008E-2</v>
      </c>
      <c r="H34" s="53">
        <f t="shared" si="37"/>
        <v>8.7500000000000008E-2</v>
      </c>
      <c r="J34" s="38"/>
      <c r="L34" s="52" t="s">
        <v>151</v>
      </c>
      <c r="M34" s="53">
        <f>M33+0</f>
        <v>0.105</v>
      </c>
      <c r="N34" s="53">
        <f>N33+0</f>
        <v>0.1075</v>
      </c>
      <c r="O34" s="54" t="s">
        <v>150</v>
      </c>
      <c r="P34" s="54" t="s">
        <v>150</v>
      </c>
      <c r="Q34" s="54" t="s">
        <v>150</v>
      </c>
      <c r="R34" s="54" t="s">
        <v>150</v>
      </c>
      <c r="S34" s="55"/>
      <c r="T34" s="56"/>
      <c r="U34" s="41"/>
      <c r="V34" s="52" t="str">
        <f t="shared" si="27"/>
        <v>FICO 700+</v>
      </c>
      <c r="W34" s="53">
        <f t="shared" ref="W34:AB34" si="38">W33+0</f>
        <v>8.3750000000000005E-2</v>
      </c>
      <c r="X34" s="53">
        <f t="shared" si="38"/>
        <v>8.5000000000000006E-2</v>
      </c>
      <c r="Y34" s="53">
        <f t="shared" si="38"/>
        <v>8.6250000000000007E-2</v>
      </c>
      <c r="Z34" s="53">
        <f t="shared" si="38"/>
        <v>8.7500000000000008E-2</v>
      </c>
      <c r="AA34" s="53">
        <f t="shared" si="38"/>
        <v>8.8750000000000009E-2</v>
      </c>
      <c r="AB34" s="53">
        <f t="shared" si="38"/>
        <v>8.8750000000000009E-2</v>
      </c>
      <c r="AD34" s="38"/>
      <c r="AF34" s="52" t="str">
        <f t="shared" si="28"/>
        <v>FICO 700+</v>
      </c>
      <c r="AG34" s="54" t="s">
        <v>150</v>
      </c>
      <c r="AH34" s="54" t="s">
        <v>150</v>
      </c>
      <c r="AI34" s="54" t="s">
        <v>150</v>
      </c>
      <c r="AJ34" s="54" t="s">
        <v>150</v>
      </c>
      <c r="AK34" s="54" t="s">
        <v>150</v>
      </c>
      <c r="AL34" s="54" t="s">
        <v>150</v>
      </c>
      <c r="AM34" s="55"/>
      <c r="AN34" s="56"/>
      <c r="AO34" s="41"/>
      <c r="AP34" s="52" t="str">
        <f t="shared" si="29"/>
        <v>FICO 700+</v>
      </c>
      <c r="AQ34" s="53">
        <f t="shared" ref="AQ34:AV34" si="39">AQ33+0</f>
        <v>8.5000000000000006E-2</v>
      </c>
      <c r="AR34" s="53">
        <f t="shared" si="39"/>
        <v>8.6250000000000007E-2</v>
      </c>
      <c r="AS34" s="53">
        <f t="shared" si="39"/>
        <v>8.7500000000000008E-2</v>
      </c>
      <c r="AT34" s="53">
        <f t="shared" si="39"/>
        <v>8.8750000000000009E-2</v>
      </c>
      <c r="AU34" s="53">
        <f t="shared" si="39"/>
        <v>9.0000000000000011E-2</v>
      </c>
      <c r="AV34" s="53">
        <f t="shared" si="39"/>
        <v>9.0000000000000011E-2</v>
      </c>
      <c r="AX34" s="38"/>
      <c r="AZ34" s="52" t="str">
        <f t="shared" si="30"/>
        <v>FICO 700+</v>
      </c>
      <c r="BA34" s="54" t="s">
        <v>150</v>
      </c>
      <c r="BB34" s="54" t="s">
        <v>150</v>
      </c>
      <c r="BC34" s="54" t="s">
        <v>150</v>
      </c>
      <c r="BD34" s="54" t="s">
        <v>150</v>
      </c>
      <c r="BE34" s="54" t="s">
        <v>150</v>
      </c>
      <c r="BF34" s="54" t="s">
        <v>150</v>
      </c>
    </row>
    <row r="35" spans="2:58" s="37" customFormat="1" ht="12.75" customHeight="1" x14ac:dyDescent="0.45">
      <c r="B35" s="52" t="s">
        <v>152</v>
      </c>
      <c r="C35" s="53">
        <f t="shared" ref="C35:H35" si="40">C33+0.5%</f>
        <v>8.7500000000000008E-2</v>
      </c>
      <c r="D35" s="53">
        <f t="shared" si="40"/>
        <v>8.8750000000000009E-2</v>
      </c>
      <c r="E35" s="53">
        <f t="shared" si="40"/>
        <v>9.0000000000000011E-2</v>
      </c>
      <c r="F35" s="53">
        <f t="shared" si="40"/>
        <v>9.1250000000000012E-2</v>
      </c>
      <c r="G35" s="53">
        <f t="shared" si="40"/>
        <v>9.2500000000000013E-2</v>
      </c>
      <c r="H35" s="53">
        <f t="shared" si="40"/>
        <v>9.2500000000000013E-2</v>
      </c>
      <c r="J35" s="38"/>
      <c r="L35" s="52" t="s">
        <v>152</v>
      </c>
      <c r="M35" s="53">
        <f>M33+0.25%</f>
        <v>0.1075</v>
      </c>
      <c r="N35" s="53">
        <f>N33+0.25%</f>
        <v>0.11</v>
      </c>
      <c r="O35" s="54" t="s">
        <v>150</v>
      </c>
      <c r="P35" s="54" t="s">
        <v>150</v>
      </c>
      <c r="Q35" s="54" t="s">
        <v>150</v>
      </c>
      <c r="R35" s="54" t="s">
        <v>150</v>
      </c>
      <c r="S35" s="55"/>
      <c r="T35" s="56"/>
      <c r="U35" s="41"/>
      <c r="V35" s="52" t="str">
        <f t="shared" si="27"/>
        <v>FICO 660-699</v>
      </c>
      <c r="W35" s="53">
        <f t="shared" ref="W35:AB35" si="41">W33+0.5%</f>
        <v>8.8750000000000009E-2</v>
      </c>
      <c r="X35" s="53">
        <f t="shared" si="41"/>
        <v>9.0000000000000011E-2</v>
      </c>
      <c r="Y35" s="53">
        <f t="shared" si="41"/>
        <v>9.1250000000000012E-2</v>
      </c>
      <c r="Z35" s="53">
        <f t="shared" si="41"/>
        <v>9.2500000000000013E-2</v>
      </c>
      <c r="AA35" s="53">
        <f t="shared" si="41"/>
        <v>9.3750000000000014E-2</v>
      </c>
      <c r="AB35" s="53">
        <f t="shared" si="41"/>
        <v>9.3750000000000014E-2</v>
      </c>
      <c r="AD35" s="38"/>
      <c r="AF35" s="52" t="str">
        <f t="shared" si="28"/>
        <v>FICO 660-699</v>
      </c>
      <c r="AG35" s="54" t="s">
        <v>150</v>
      </c>
      <c r="AH35" s="54" t="s">
        <v>150</v>
      </c>
      <c r="AI35" s="54" t="s">
        <v>150</v>
      </c>
      <c r="AJ35" s="54" t="s">
        <v>150</v>
      </c>
      <c r="AK35" s="54" t="s">
        <v>150</v>
      </c>
      <c r="AL35" s="54" t="s">
        <v>150</v>
      </c>
      <c r="AM35" s="55"/>
      <c r="AN35" s="56"/>
      <c r="AO35" s="41"/>
      <c r="AP35" s="52" t="str">
        <f t="shared" si="29"/>
        <v>FICO 660-699</v>
      </c>
      <c r="AQ35" s="53">
        <f t="shared" ref="AQ35:AV35" si="42">AQ33+0.5%</f>
        <v>9.0000000000000011E-2</v>
      </c>
      <c r="AR35" s="53">
        <f t="shared" si="42"/>
        <v>9.1250000000000012E-2</v>
      </c>
      <c r="AS35" s="53">
        <f t="shared" si="42"/>
        <v>9.2500000000000013E-2</v>
      </c>
      <c r="AT35" s="53">
        <f t="shared" si="42"/>
        <v>9.3750000000000014E-2</v>
      </c>
      <c r="AU35" s="53">
        <f t="shared" si="42"/>
        <v>9.5000000000000015E-2</v>
      </c>
      <c r="AV35" s="53">
        <f t="shared" si="42"/>
        <v>9.5000000000000015E-2</v>
      </c>
      <c r="AX35" s="38"/>
      <c r="AZ35" s="52" t="str">
        <f t="shared" si="30"/>
        <v>FICO 660-699</v>
      </c>
      <c r="BA35" s="54" t="s">
        <v>150</v>
      </c>
      <c r="BB35" s="54" t="s">
        <v>150</v>
      </c>
      <c r="BC35" s="54" t="s">
        <v>150</v>
      </c>
      <c r="BD35" s="54" t="s">
        <v>150</v>
      </c>
      <c r="BE35" s="54" t="s">
        <v>150</v>
      </c>
      <c r="BF35" s="54" t="s">
        <v>150</v>
      </c>
    </row>
    <row r="36" spans="2:58" s="37" customFormat="1" ht="12.75" customHeight="1" x14ac:dyDescent="0.45">
      <c r="B36" s="52" t="s">
        <v>153</v>
      </c>
      <c r="C36" s="54" t="s">
        <v>150</v>
      </c>
      <c r="D36" s="54" t="s">
        <v>150</v>
      </c>
      <c r="E36" s="54" t="s">
        <v>150</v>
      </c>
      <c r="F36" s="54" t="s">
        <v>150</v>
      </c>
      <c r="G36" s="54" t="s">
        <v>150</v>
      </c>
      <c r="H36" s="54" t="s">
        <v>150</v>
      </c>
      <c r="J36" s="38"/>
      <c r="L36" s="52" t="s">
        <v>153</v>
      </c>
      <c r="M36" s="54" t="s">
        <v>150</v>
      </c>
      <c r="N36" s="54" t="s">
        <v>150</v>
      </c>
      <c r="O36" s="54" t="s">
        <v>150</v>
      </c>
      <c r="P36" s="54" t="s">
        <v>150</v>
      </c>
      <c r="Q36" s="54" t="s">
        <v>150</v>
      </c>
      <c r="R36" s="54" t="s">
        <v>150</v>
      </c>
      <c r="S36" s="55"/>
      <c r="T36" s="56"/>
      <c r="U36" s="41"/>
      <c r="V36" s="52" t="str">
        <f t="shared" si="27"/>
        <v>FICO 640-659</v>
      </c>
      <c r="W36" s="54" t="s">
        <v>150</v>
      </c>
      <c r="X36" s="54" t="s">
        <v>150</v>
      </c>
      <c r="Y36" s="54" t="s">
        <v>150</v>
      </c>
      <c r="Z36" s="54" t="s">
        <v>150</v>
      </c>
      <c r="AA36" s="54" t="s">
        <v>150</v>
      </c>
      <c r="AB36" s="54" t="s">
        <v>150</v>
      </c>
      <c r="AD36" s="38"/>
      <c r="AF36" s="52" t="str">
        <f t="shared" si="28"/>
        <v>FICO 640-659</v>
      </c>
      <c r="AG36" s="54" t="s">
        <v>150</v>
      </c>
      <c r="AH36" s="54" t="s">
        <v>150</v>
      </c>
      <c r="AI36" s="54" t="s">
        <v>150</v>
      </c>
      <c r="AJ36" s="54" t="s">
        <v>150</v>
      </c>
      <c r="AK36" s="54" t="s">
        <v>150</v>
      </c>
      <c r="AL36" s="54" t="s">
        <v>150</v>
      </c>
      <c r="AM36" s="55"/>
      <c r="AN36" s="56"/>
      <c r="AO36" s="41"/>
      <c r="AP36" s="52" t="str">
        <f t="shared" si="29"/>
        <v>FICO 640-659</v>
      </c>
      <c r="AQ36" s="54" t="s">
        <v>150</v>
      </c>
      <c r="AR36" s="54" t="s">
        <v>150</v>
      </c>
      <c r="AS36" s="54" t="s">
        <v>150</v>
      </c>
      <c r="AT36" s="54" t="s">
        <v>150</v>
      </c>
      <c r="AU36" s="54" t="s">
        <v>150</v>
      </c>
      <c r="AV36" s="54" t="s">
        <v>150</v>
      </c>
      <c r="AX36" s="38"/>
      <c r="AZ36" s="52" t="str">
        <f t="shared" si="30"/>
        <v>FICO 640-659</v>
      </c>
      <c r="BA36" s="54" t="s">
        <v>150</v>
      </c>
      <c r="BB36" s="54" t="s">
        <v>150</v>
      </c>
      <c r="BC36" s="54" t="s">
        <v>150</v>
      </c>
      <c r="BD36" s="54" t="s">
        <v>150</v>
      </c>
      <c r="BE36" s="54" t="s">
        <v>150</v>
      </c>
      <c r="BF36" s="54" t="s">
        <v>150</v>
      </c>
    </row>
    <row r="37" spans="2:58" s="37" customFormat="1" ht="12.75" customHeight="1" x14ac:dyDescent="0.45">
      <c r="C37" s="63"/>
      <c r="D37" s="63"/>
      <c r="E37" s="63"/>
      <c r="F37" s="63"/>
      <c r="G37" s="63"/>
      <c r="H37" s="63"/>
      <c r="J37" s="38"/>
      <c r="M37" s="63"/>
      <c r="N37" s="63"/>
      <c r="O37" s="63"/>
      <c r="P37" s="63"/>
      <c r="Q37" s="63"/>
      <c r="R37" s="63"/>
      <c r="S37" s="55"/>
      <c r="T37" s="56"/>
      <c r="U37" s="41"/>
      <c r="W37" s="63"/>
      <c r="X37" s="63"/>
      <c r="Y37" s="63"/>
      <c r="Z37" s="63"/>
      <c r="AA37" s="63"/>
      <c r="AB37" s="63"/>
      <c r="AD37" s="38"/>
      <c r="AG37" s="63"/>
      <c r="AH37" s="63"/>
      <c r="AI37" s="63"/>
      <c r="AJ37" s="63"/>
      <c r="AK37" s="63"/>
      <c r="AL37" s="63"/>
      <c r="AM37" s="55"/>
      <c r="AN37" s="56"/>
      <c r="AO37" s="41"/>
      <c r="AQ37" s="63"/>
      <c r="AR37" s="63"/>
      <c r="AS37" s="63"/>
      <c r="AT37" s="63"/>
      <c r="AU37" s="63"/>
      <c r="AV37" s="63"/>
      <c r="AX37" s="38"/>
      <c r="BA37" s="63"/>
      <c r="BB37" s="63"/>
      <c r="BC37" s="63"/>
      <c r="BD37" s="63"/>
      <c r="BE37" s="63"/>
      <c r="BF37" s="63"/>
    </row>
    <row r="38" spans="2:58" s="37" customFormat="1" ht="15.75" customHeight="1" x14ac:dyDescent="0.45">
      <c r="B38" s="94" t="s">
        <v>157</v>
      </c>
      <c r="C38" s="94"/>
      <c r="D38" s="94"/>
      <c r="E38" s="94"/>
      <c r="F38" s="94"/>
      <c r="G38" s="94"/>
      <c r="H38" s="94"/>
      <c r="J38" s="38"/>
      <c r="L38" s="94" t="s">
        <v>157</v>
      </c>
      <c r="M38" s="94"/>
      <c r="N38" s="94"/>
      <c r="O38" s="94"/>
      <c r="P38" s="94"/>
      <c r="Q38" s="94"/>
      <c r="R38" s="94"/>
      <c r="S38" s="39"/>
      <c r="T38" s="40"/>
      <c r="U38" s="41"/>
      <c r="V38" s="94" t="s">
        <v>157</v>
      </c>
      <c r="W38" s="94"/>
      <c r="X38" s="94"/>
      <c r="Y38" s="94"/>
      <c r="Z38" s="94"/>
      <c r="AA38" s="94"/>
      <c r="AB38" s="94"/>
      <c r="AD38" s="38"/>
      <c r="AF38" s="94" t="s">
        <v>157</v>
      </c>
      <c r="AG38" s="94"/>
      <c r="AH38" s="94"/>
      <c r="AI38" s="94"/>
      <c r="AJ38" s="94"/>
      <c r="AK38" s="94"/>
      <c r="AL38" s="94"/>
      <c r="AM38" s="39"/>
      <c r="AN38" s="40"/>
      <c r="AO38" s="41"/>
      <c r="AP38" s="94" t="s">
        <v>157</v>
      </c>
      <c r="AQ38" s="94"/>
      <c r="AR38" s="94"/>
      <c r="AS38" s="94"/>
      <c r="AT38" s="94"/>
      <c r="AU38" s="94"/>
      <c r="AV38" s="94"/>
      <c r="AX38" s="38"/>
      <c r="AZ38" s="94" t="s">
        <v>157</v>
      </c>
      <c r="BA38" s="94"/>
      <c r="BB38" s="94"/>
      <c r="BC38" s="94"/>
      <c r="BD38" s="94"/>
      <c r="BE38" s="94"/>
      <c r="BF38" s="94"/>
    </row>
    <row r="39" spans="2:58" s="37" customFormat="1" ht="12.75" customHeight="1" x14ac:dyDescent="0.45">
      <c r="B39" s="42"/>
      <c r="C39" s="95" t="s">
        <v>50</v>
      </c>
      <c r="D39" s="95"/>
      <c r="E39" s="95"/>
      <c r="F39" s="95"/>
      <c r="G39" s="95"/>
      <c r="H39" s="95"/>
      <c r="J39" s="38"/>
      <c r="L39" s="42"/>
      <c r="M39" s="95" t="s">
        <v>50</v>
      </c>
      <c r="N39" s="95"/>
      <c r="O39" s="95"/>
      <c r="P39" s="95"/>
      <c r="Q39" s="95"/>
      <c r="R39" s="95"/>
      <c r="S39" s="41"/>
      <c r="T39" s="43"/>
      <c r="U39" s="41"/>
      <c r="V39" s="42"/>
      <c r="W39" s="95" t="str">
        <f>C39</f>
        <v>LTC</v>
      </c>
      <c r="X39" s="95"/>
      <c r="Y39" s="95"/>
      <c r="Z39" s="95"/>
      <c r="AA39" s="95"/>
      <c r="AB39" s="95"/>
      <c r="AD39" s="38"/>
      <c r="AF39" s="42"/>
      <c r="AG39" s="95" t="str">
        <f>W39</f>
        <v>LTC</v>
      </c>
      <c r="AH39" s="95"/>
      <c r="AI39" s="95"/>
      <c r="AJ39" s="95"/>
      <c r="AK39" s="95"/>
      <c r="AL39" s="95"/>
      <c r="AM39" s="41"/>
      <c r="AN39" s="43"/>
      <c r="AO39" s="41"/>
      <c r="AP39" s="42"/>
      <c r="AQ39" s="95" t="str">
        <f>C39</f>
        <v>LTC</v>
      </c>
      <c r="AR39" s="95"/>
      <c r="AS39" s="95"/>
      <c r="AT39" s="95"/>
      <c r="AU39" s="95"/>
      <c r="AV39" s="95"/>
      <c r="AX39" s="38"/>
      <c r="AZ39" s="42"/>
      <c r="BA39" s="95" t="str">
        <f>C39</f>
        <v>LTC</v>
      </c>
      <c r="BB39" s="95"/>
      <c r="BC39" s="95"/>
      <c r="BD39" s="95"/>
      <c r="BE39" s="95"/>
      <c r="BF39" s="95"/>
    </row>
    <row r="40" spans="2:58" s="37" customFormat="1" ht="12.75" customHeight="1" x14ac:dyDescent="0.45">
      <c r="B40" s="44" t="s">
        <v>52</v>
      </c>
      <c r="C40" s="45" t="s">
        <v>143</v>
      </c>
      <c r="D40" s="45" t="s">
        <v>144</v>
      </c>
      <c r="E40" s="45" t="s">
        <v>145</v>
      </c>
      <c r="F40" s="45" t="s">
        <v>146</v>
      </c>
      <c r="G40" s="45" t="s">
        <v>147</v>
      </c>
      <c r="H40" s="45" t="s">
        <v>148</v>
      </c>
      <c r="J40" s="38"/>
      <c r="L40" s="44" t="s">
        <v>52</v>
      </c>
      <c r="M40" s="45" t="s">
        <v>143</v>
      </c>
      <c r="N40" s="45" t="s">
        <v>144</v>
      </c>
      <c r="O40" s="45" t="s">
        <v>145</v>
      </c>
      <c r="P40" s="45" t="s">
        <v>146</v>
      </c>
      <c r="Q40" s="45" t="s">
        <v>147</v>
      </c>
      <c r="R40" s="45" t="s">
        <v>148</v>
      </c>
      <c r="S40" s="41"/>
      <c r="T40" s="43"/>
      <c r="U40" s="41"/>
      <c r="V40" s="44" t="str">
        <f t="shared" ref="V40:V52" si="43">B40</f>
        <v>AR-LTV</v>
      </c>
      <c r="W40" s="45" t="str">
        <f>C40</f>
        <v>&lt;74.99%</v>
      </c>
      <c r="X40" s="45" t="str">
        <f>D40</f>
        <v>75.00%-80.00%</v>
      </c>
      <c r="Y40" s="45" t="str">
        <f>E40</f>
        <v>80.01%-85.00%</v>
      </c>
      <c r="Z40" s="45" t="str">
        <f>F40</f>
        <v>85.01%-87.50%</v>
      </c>
      <c r="AA40" s="45" t="str">
        <f>G40</f>
        <v>87.51%-89.99%</v>
      </c>
      <c r="AB40" s="45" t="str">
        <f>H40</f>
        <v>90.00%-92.50%</v>
      </c>
      <c r="AD40" s="38"/>
      <c r="AF40" s="44" t="str">
        <f t="shared" ref="AF40:AF52" si="44">V40</f>
        <v>AR-LTV</v>
      </c>
      <c r="AG40" s="45" t="str">
        <f>W40</f>
        <v>&lt;74.99%</v>
      </c>
      <c r="AH40" s="45" t="str">
        <f>X40</f>
        <v>75.00%-80.00%</v>
      </c>
      <c r="AI40" s="45" t="str">
        <f>Y40</f>
        <v>80.01%-85.00%</v>
      </c>
      <c r="AJ40" s="45" t="str">
        <f>Z40</f>
        <v>85.01%-87.50%</v>
      </c>
      <c r="AK40" s="45" t="str">
        <f>AA40</f>
        <v>87.51%-89.99%</v>
      </c>
      <c r="AL40" s="45" t="str">
        <f>AB40</f>
        <v>90.00%-92.50%</v>
      </c>
      <c r="AM40" s="41"/>
      <c r="AN40" s="43"/>
      <c r="AO40" s="41"/>
      <c r="AP40" s="44" t="str">
        <f t="shared" ref="AP40:AP52" si="45">B40</f>
        <v>AR-LTV</v>
      </c>
      <c r="AQ40" s="45" t="str">
        <f>C40</f>
        <v>&lt;74.99%</v>
      </c>
      <c r="AR40" s="45" t="str">
        <f>D40</f>
        <v>75.00%-80.00%</v>
      </c>
      <c r="AS40" s="45" t="str">
        <f>E40</f>
        <v>80.01%-85.00%</v>
      </c>
      <c r="AT40" s="45" t="str">
        <f>F40</f>
        <v>85.01%-87.50%</v>
      </c>
      <c r="AU40" s="45" t="str">
        <f>G40</f>
        <v>87.51%-89.99%</v>
      </c>
      <c r="AV40" s="45" t="str">
        <f>H40</f>
        <v>90.00%-92.50%</v>
      </c>
      <c r="AX40" s="38"/>
      <c r="AZ40" s="44" t="str">
        <f t="shared" ref="AZ40:AZ52" si="46">B40</f>
        <v>AR-LTV</v>
      </c>
      <c r="BA40" s="45" t="str">
        <f>C40</f>
        <v>&lt;74.99%</v>
      </c>
      <c r="BB40" s="45" t="str">
        <f>D40</f>
        <v>75.00%-80.00%</v>
      </c>
      <c r="BC40" s="45" t="str">
        <f>E40</f>
        <v>80.01%-85.00%</v>
      </c>
      <c r="BD40" s="45" t="str">
        <f>F40</f>
        <v>85.01%-87.50%</v>
      </c>
      <c r="BE40" s="45" t="str">
        <f>G40</f>
        <v>87.51%-89.99%</v>
      </c>
      <c r="BF40" s="45" t="str">
        <f>H40</f>
        <v>90.00%-92.50%</v>
      </c>
    </row>
    <row r="41" spans="2:58" s="37" customFormat="1" ht="12.75" customHeight="1" x14ac:dyDescent="0.45">
      <c r="B41" s="46" t="s">
        <v>149</v>
      </c>
      <c r="C41" s="49" t="s">
        <v>150</v>
      </c>
      <c r="D41" s="49" t="s">
        <v>150</v>
      </c>
      <c r="E41" s="49" t="s">
        <v>150</v>
      </c>
      <c r="F41" s="49" t="s">
        <v>150</v>
      </c>
      <c r="G41" s="49" t="s">
        <v>150</v>
      </c>
      <c r="H41" s="49" t="s">
        <v>150</v>
      </c>
      <c r="J41" s="38"/>
      <c r="L41" s="46" t="s">
        <v>149</v>
      </c>
      <c r="M41" s="49" t="s">
        <v>150</v>
      </c>
      <c r="N41" s="49" t="s">
        <v>150</v>
      </c>
      <c r="O41" s="49" t="s">
        <v>150</v>
      </c>
      <c r="P41" s="49" t="s">
        <v>150</v>
      </c>
      <c r="Q41" s="49" t="s">
        <v>150</v>
      </c>
      <c r="R41" s="49" t="s">
        <v>150</v>
      </c>
      <c r="S41" s="50"/>
      <c r="T41" s="51"/>
      <c r="U41" s="41"/>
      <c r="V41" s="46" t="str">
        <f t="shared" si="43"/>
        <v>70.01%-75.00%</v>
      </c>
      <c r="W41" s="49" t="s">
        <v>150</v>
      </c>
      <c r="X41" s="49" t="s">
        <v>150</v>
      </c>
      <c r="Y41" s="49" t="s">
        <v>150</v>
      </c>
      <c r="Z41" s="49" t="s">
        <v>150</v>
      </c>
      <c r="AA41" s="49" t="s">
        <v>150</v>
      </c>
      <c r="AB41" s="49" t="s">
        <v>150</v>
      </c>
      <c r="AD41" s="38"/>
      <c r="AF41" s="46" t="str">
        <f t="shared" si="44"/>
        <v>70.01%-75.00%</v>
      </c>
      <c r="AG41" s="49" t="s">
        <v>150</v>
      </c>
      <c r="AH41" s="49" t="s">
        <v>150</v>
      </c>
      <c r="AI41" s="49" t="s">
        <v>150</v>
      </c>
      <c r="AJ41" s="49" t="s">
        <v>150</v>
      </c>
      <c r="AK41" s="49" t="s">
        <v>150</v>
      </c>
      <c r="AL41" s="49" t="s">
        <v>150</v>
      </c>
      <c r="AM41" s="50"/>
      <c r="AN41" s="51"/>
      <c r="AO41" s="41"/>
      <c r="AP41" s="46" t="str">
        <f t="shared" si="45"/>
        <v>70.01%-75.00%</v>
      </c>
      <c r="AQ41" s="49" t="s">
        <v>150</v>
      </c>
      <c r="AR41" s="49" t="s">
        <v>150</v>
      </c>
      <c r="AS41" s="49" t="s">
        <v>150</v>
      </c>
      <c r="AT41" s="49" t="s">
        <v>150</v>
      </c>
      <c r="AU41" s="49" t="s">
        <v>150</v>
      </c>
      <c r="AV41" s="49" t="s">
        <v>150</v>
      </c>
      <c r="AX41" s="38"/>
      <c r="AZ41" s="46" t="str">
        <f t="shared" si="46"/>
        <v>70.01%-75.00%</v>
      </c>
      <c r="BA41" s="49" t="s">
        <v>150</v>
      </c>
      <c r="BB41" s="49" t="s">
        <v>150</v>
      </c>
      <c r="BC41" s="49" t="s">
        <v>150</v>
      </c>
      <c r="BD41" s="49" t="s">
        <v>150</v>
      </c>
      <c r="BE41" s="49" t="s">
        <v>150</v>
      </c>
      <c r="BF41" s="49" t="s">
        <v>150</v>
      </c>
    </row>
    <row r="42" spans="2:58" s="37" customFormat="1" ht="12.75" customHeight="1" x14ac:dyDescent="0.45">
      <c r="B42" s="52" t="s">
        <v>151</v>
      </c>
      <c r="C42" s="54" t="s">
        <v>150</v>
      </c>
      <c r="D42" s="54" t="s">
        <v>150</v>
      </c>
      <c r="E42" s="54" t="s">
        <v>150</v>
      </c>
      <c r="F42" s="54" t="s">
        <v>150</v>
      </c>
      <c r="G42" s="54" t="s">
        <v>150</v>
      </c>
      <c r="H42" s="54" t="s">
        <v>150</v>
      </c>
      <c r="J42" s="38"/>
      <c r="L42" s="52" t="s">
        <v>151</v>
      </c>
      <c r="M42" s="54" t="s">
        <v>150</v>
      </c>
      <c r="N42" s="54" t="s">
        <v>150</v>
      </c>
      <c r="O42" s="54" t="s">
        <v>150</v>
      </c>
      <c r="P42" s="54" t="s">
        <v>150</v>
      </c>
      <c r="Q42" s="54" t="s">
        <v>150</v>
      </c>
      <c r="R42" s="54" t="s">
        <v>150</v>
      </c>
      <c r="S42" s="55"/>
      <c r="T42" s="56"/>
      <c r="U42" s="41"/>
      <c r="V42" s="52" t="str">
        <f t="shared" si="43"/>
        <v>FICO 700+</v>
      </c>
      <c r="W42" s="54" t="s">
        <v>150</v>
      </c>
      <c r="X42" s="54" t="s">
        <v>150</v>
      </c>
      <c r="Y42" s="54" t="s">
        <v>150</v>
      </c>
      <c r="Z42" s="54" t="s">
        <v>150</v>
      </c>
      <c r="AA42" s="54" t="s">
        <v>150</v>
      </c>
      <c r="AB42" s="54" t="s">
        <v>150</v>
      </c>
      <c r="AD42" s="38"/>
      <c r="AF42" s="52" t="str">
        <f t="shared" si="44"/>
        <v>FICO 700+</v>
      </c>
      <c r="AG42" s="54" t="s">
        <v>150</v>
      </c>
      <c r="AH42" s="54" t="s">
        <v>150</v>
      </c>
      <c r="AI42" s="54" t="s">
        <v>150</v>
      </c>
      <c r="AJ42" s="54" t="s">
        <v>150</v>
      </c>
      <c r="AK42" s="54" t="s">
        <v>150</v>
      </c>
      <c r="AL42" s="54" t="s">
        <v>150</v>
      </c>
      <c r="AM42" s="55"/>
      <c r="AN42" s="56"/>
      <c r="AO42" s="41"/>
      <c r="AP42" s="52" t="str">
        <f t="shared" si="45"/>
        <v>FICO 700+</v>
      </c>
      <c r="AQ42" s="54" t="s">
        <v>150</v>
      </c>
      <c r="AR42" s="54" t="s">
        <v>150</v>
      </c>
      <c r="AS42" s="54" t="s">
        <v>150</v>
      </c>
      <c r="AT42" s="54" t="s">
        <v>150</v>
      </c>
      <c r="AU42" s="54" t="s">
        <v>150</v>
      </c>
      <c r="AV42" s="54" t="s">
        <v>150</v>
      </c>
      <c r="AX42" s="38"/>
      <c r="AZ42" s="52" t="str">
        <f t="shared" si="46"/>
        <v>FICO 700+</v>
      </c>
      <c r="BA42" s="54" t="s">
        <v>150</v>
      </c>
      <c r="BB42" s="54" t="s">
        <v>150</v>
      </c>
      <c r="BC42" s="54" t="s">
        <v>150</v>
      </c>
      <c r="BD42" s="54" t="s">
        <v>150</v>
      </c>
      <c r="BE42" s="54" t="s">
        <v>150</v>
      </c>
      <c r="BF42" s="54" t="s">
        <v>150</v>
      </c>
    </row>
    <row r="43" spans="2:58" s="37" customFormat="1" ht="12.75" customHeight="1" x14ac:dyDescent="0.45">
      <c r="B43" s="52" t="s">
        <v>158</v>
      </c>
      <c r="C43" s="54" t="s">
        <v>150</v>
      </c>
      <c r="D43" s="54" t="s">
        <v>150</v>
      </c>
      <c r="E43" s="54" t="s">
        <v>150</v>
      </c>
      <c r="F43" s="54" t="s">
        <v>150</v>
      </c>
      <c r="G43" s="54" t="s">
        <v>150</v>
      </c>
      <c r="H43" s="54" t="s">
        <v>150</v>
      </c>
      <c r="J43" s="38"/>
      <c r="L43" s="52" t="s">
        <v>158</v>
      </c>
      <c r="M43" s="54" t="s">
        <v>150</v>
      </c>
      <c r="N43" s="54" t="s">
        <v>150</v>
      </c>
      <c r="O43" s="54" t="s">
        <v>150</v>
      </c>
      <c r="P43" s="54" t="s">
        <v>150</v>
      </c>
      <c r="Q43" s="54" t="s">
        <v>150</v>
      </c>
      <c r="R43" s="54" t="s">
        <v>150</v>
      </c>
      <c r="S43" s="55"/>
      <c r="T43" s="56"/>
      <c r="U43" s="41"/>
      <c r="V43" s="52" t="str">
        <f t="shared" si="43"/>
        <v>FICO 680-699</v>
      </c>
      <c r="W43" s="54" t="s">
        <v>150</v>
      </c>
      <c r="X43" s="54" t="s">
        <v>150</v>
      </c>
      <c r="Y43" s="54" t="s">
        <v>150</v>
      </c>
      <c r="Z43" s="54" t="s">
        <v>150</v>
      </c>
      <c r="AA43" s="54" t="s">
        <v>150</v>
      </c>
      <c r="AB43" s="54" t="s">
        <v>150</v>
      </c>
      <c r="AD43" s="38"/>
      <c r="AF43" s="52" t="str">
        <f t="shared" si="44"/>
        <v>FICO 680-699</v>
      </c>
      <c r="AG43" s="54" t="s">
        <v>150</v>
      </c>
      <c r="AH43" s="54" t="s">
        <v>150</v>
      </c>
      <c r="AI43" s="54" t="s">
        <v>150</v>
      </c>
      <c r="AJ43" s="54" t="s">
        <v>150</v>
      </c>
      <c r="AK43" s="54" t="s">
        <v>150</v>
      </c>
      <c r="AL43" s="54" t="s">
        <v>150</v>
      </c>
      <c r="AM43" s="55"/>
      <c r="AN43" s="56"/>
      <c r="AO43" s="41"/>
      <c r="AP43" s="52" t="str">
        <f t="shared" si="45"/>
        <v>FICO 680-699</v>
      </c>
      <c r="AQ43" s="54" t="s">
        <v>150</v>
      </c>
      <c r="AR43" s="54" t="s">
        <v>150</v>
      </c>
      <c r="AS43" s="54" t="s">
        <v>150</v>
      </c>
      <c r="AT43" s="54" t="s">
        <v>150</v>
      </c>
      <c r="AU43" s="54" t="s">
        <v>150</v>
      </c>
      <c r="AV43" s="54" t="s">
        <v>150</v>
      </c>
      <c r="AX43" s="38"/>
      <c r="AZ43" s="52" t="str">
        <f t="shared" si="46"/>
        <v>FICO 680-699</v>
      </c>
      <c r="BA43" s="54" t="s">
        <v>150</v>
      </c>
      <c r="BB43" s="54" t="s">
        <v>150</v>
      </c>
      <c r="BC43" s="54" t="s">
        <v>150</v>
      </c>
      <c r="BD43" s="54" t="s">
        <v>150</v>
      </c>
      <c r="BE43" s="54" t="s">
        <v>150</v>
      </c>
      <c r="BF43" s="54" t="s">
        <v>150</v>
      </c>
    </row>
    <row r="44" spans="2:58" s="37" customFormat="1" ht="12.75" customHeight="1" x14ac:dyDescent="0.45">
      <c r="B44" s="57" t="s">
        <v>159</v>
      </c>
      <c r="C44" s="59" t="s">
        <v>150</v>
      </c>
      <c r="D44" s="59" t="s">
        <v>150</v>
      </c>
      <c r="E44" s="59" t="s">
        <v>150</v>
      </c>
      <c r="F44" s="59" t="s">
        <v>150</v>
      </c>
      <c r="G44" s="59" t="s">
        <v>150</v>
      </c>
      <c r="H44" s="59" t="s">
        <v>150</v>
      </c>
      <c r="J44" s="38"/>
      <c r="L44" s="57" t="s">
        <v>159</v>
      </c>
      <c r="M44" s="59" t="s">
        <v>150</v>
      </c>
      <c r="N44" s="59" t="s">
        <v>150</v>
      </c>
      <c r="O44" s="59" t="s">
        <v>150</v>
      </c>
      <c r="P44" s="59" t="s">
        <v>150</v>
      </c>
      <c r="Q44" s="59" t="s">
        <v>150</v>
      </c>
      <c r="R44" s="59" t="s">
        <v>150</v>
      </c>
      <c r="S44" s="55"/>
      <c r="T44" s="56"/>
      <c r="U44" s="41"/>
      <c r="V44" s="57" t="str">
        <f t="shared" si="43"/>
        <v>FICO 640-679</v>
      </c>
      <c r="W44" s="59" t="s">
        <v>150</v>
      </c>
      <c r="X44" s="59" t="s">
        <v>150</v>
      </c>
      <c r="Y44" s="59" t="s">
        <v>150</v>
      </c>
      <c r="Z44" s="59" t="s">
        <v>150</v>
      </c>
      <c r="AA44" s="59" t="s">
        <v>150</v>
      </c>
      <c r="AB44" s="59" t="s">
        <v>150</v>
      </c>
      <c r="AD44" s="38"/>
      <c r="AF44" s="57" t="str">
        <f t="shared" si="44"/>
        <v>FICO 640-679</v>
      </c>
      <c r="AG44" s="59" t="s">
        <v>150</v>
      </c>
      <c r="AH44" s="59" t="s">
        <v>150</v>
      </c>
      <c r="AI44" s="59" t="s">
        <v>150</v>
      </c>
      <c r="AJ44" s="59" t="s">
        <v>150</v>
      </c>
      <c r="AK44" s="59" t="s">
        <v>150</v>
      </c>
      <c r="AL44" s="59" t="s">
        <v>150</v>
      </c>
      <c r="AM44" s="55"/>
      <c r="AN44" s="56"/>
      <c r="AO44" s="41"/>
      <c r="AP44" s="57" t="str">
        <f t="shared" si="45"/>
        <v>FICO 640-679</v>
      </c>
      <c r="AQ44" s="59" t="s">
        <v>150</v>
      </c>
      <c r="AR44" s="59" t="s">
        <v>150</v>
      </c>
      <c r="AS44" s="59" t="s">
        <v>150</v>
      </c>
      <c r="AT44" s="59" t="s">
        <v>150</v>
      </c>
      <c r="AU44" s="59" t="s">
        <v>150</v>
      </c>
      <c r="AV44" s="59" t="s">
        <v>150</v>
      </c>
      <c r="AX44" s="38"/>
      <c r="AZ44" s="57" t="str">
        <f t="shared" si="46"/>
        <v>FICO 640-679</v>
      </c>
      <c r="BA44" s="59" t="s">
        <v>150</v>
      </c>
      <c r="BB44" s="59" t="s">
        <v>150</v>
      </c>
      <c r="BC44" s="59" t="s">
        <v>150</v>
      </c>
      <c r="BD44" s="59" t="s">
        <v>150</v>
      </c>
      <c r="BE44" s="59" t="s">
        <v>150</v>
      </c>
      <c r="BF44" s="59" t="s">
        <v>150</v>
      </c>
    </row>
    <row r="45" spans="2:58" s="37" customFormat="1" ht="12.75" customHeight="1" x14ac:dyDescent="0.45">
      <c r="B45" s="60" t="s">
        <v>154</v>
      </c>
      <c r="C45" s="64" t="s">
        <v>150</v>
      </c>
      <c r="D45" s="64" t="s">
        <v>150</v>
      </c>
      <c r="E45" s="64" t="s">
        <v>150</v>
      </c>
      <c r="F45" s="64" t="s">
        <v>150</v>
      </c>
      <c r="G45" s="64" t="s">
        <v>150</v>
      </c>
      <c r="H45" s="64" t="s">
        <v>150</v>
      </c>
      <c r="J45" s="38"/>
      <c r="L45" s="60" t="s">
        <v>154</v>
      </c>
      <c r="M45" s="64" t="s">
        <v>150</v>
      </c>
      <c r="N45" s="64" t="s">
        <v>150</v>
      </c>
      <c r="O45" s="64" t="s">
        <v>150</v>
      </c>
      <c r="P45" s="64" t="s">
        <v>150</v>
      </c>
      <c r="Q45" s="64" t="s">
        <v>150</v>
      </c>
      <c r="R45" s="64" t="s">
        <v>150</v>
      </c>
      <c r="S45" s="50"/>
      <c r="T45" s="51"/>
      <c r="U45" s="41"/>
      <c r="V45" s="60" t="str">
        <f t="shared" si="43"/>
        <v>65.00%-70.00%</v>
      </c>
      <c r="W45" s="64" t="s">
        <v>150</v>
      </c>
      <c r="X45" s="64" t="s">
        <v>150</v>
      </c>
      <c r="Y45" s="64" t="s">
        <v>150</v>
      </c>
      <c r="Z45" s="64" t="s">
        <v>150</v>
      </c>
      <c r="AA45" s="64" t="s">
        <v>150</v>
      </c>
      <c r="AB45" s="64" t="s">
        <v>150</v>
      </c>
      <c r="AD45" s="38"/>
      <c r="AF45" s="60" t="str">
        <f t="shared" si="44"/>
        <v>65.00%-70.00%</v>
      </c>
      <c r="AG45" s="64" t="s">
        <v>150</v>
      </c>
      <c r="AH45" s="64" t="s">
        <v>150</v>
      </c>
      <c r="AI45" s="64" t="s">
        <v>150</v>
      </c>
      <c r="AJ45" s="64" t="s">
        <v>150</v>
      </c>
      <c r="AK45" s="64" t="s">
        <v>150</v>
      </c>
      <c r="AL45" s="64" t="s">
        <v>150</v>
      </c>
      <c r="AM45" s="50"/>
      <c r="AN45" s="51"/>
      <c r="AO45" s="41"/>
      <c r="AP45" s="60" t="str">
        <f t="shared" si="45"/>
        <v>65.00%-70.00%</v>
      </c>
      <c r="AQ45" s="64" t="s">
        <v>150</v>
      </c>
      <c r="AR45" s="64" t="s">
        <v>150</v>
      </c>
      <c r="AS45" s="64" t="s">
        <v>150</v>
      </c>
      <c r="AT45" s="64" t="s">
        <v>150</v>
      </c>
      <c r="AU45" s="64" t="s">
        <v>150</v>
      </c>
      <c r="AV45" s="64" t="s">
        <v>150</v>
      </c>
      <c r="AX45" s="38"/>
      <c r="AZ45" s="60" t="str">
        <f t="shared" si="46"/>
        <v>65.00%-70.00%</v>
      </c>
      <c r="BA45" s="64" t="s">
        <v>150</v>
      </c>
      <c r="BB45" s="64" t="s">
        <v>150</v>
      </c>
      <c r="BC45" s="64" t="s">
        <v>150</v>
      </c>
      <c r="BD45" s="64" t="s">
        <v>150</v>
      </c>
      <c r="BE45" s="64" t="s">
        <v>150</v>
      </c>
      <c r="BF45" s="64" t="s">
        <v>150</v>
      </c>
    </row>
    <row r="46" spans="2:58" s="37" customFormat="1" ht="12.75" customHeight="1" x14ac:dyDescent="0.45">
      <c r="B46" s="52" t="s">
        <v>151</v>
      </c>
      <c r="C46" s="54" t="s">
        <v>150</v>
      </c>
      <c r="D46" s="54" t="s">
        <v>150</v>
      </c>
      <c r="E46" s="54" t="s">
        <v>150</v>
      </c>
      <c r="F46" s="54" t="s">
        <v>150</v>
      </c>
      <c r="G46" s="54" t="s">
        <v>150</v>
      </c>
      <c r="H46" s="54" t="s">
        <v>150</v>
      </c>
      <c r="J46" s="38"/>
      <c r="L46" s="52" t="s">
        <v>151</v>
      </c>
      <c r="M46" s="54" t="s">
        <v>150</v>
      </c>
      <c r="N46" s="54" t="s">
        <v>150</v>
      </c>
      <c r="O46" s="54" t="s">
        <v>150</v>
      </c>
      <c r="P46" s="54" t="s">
        <v>150</v>
      </c>
      <c r="Q46" s="54" t="s">
        <v>150</v>
      </c>
      <c r="R46" s="54" t="s">
        <v>150</v>
      </c>
      <c r="S46" s="55"/>
      <c r="T46" s="56"/>
      <c r="U46" s="41"/>
      <c r="V46" s="52" t="str">
        <f t="shared" si="43"/>
        <v>FICO 700+</v>
      </c>
      <c r="W46" s="54" t="s">
        <v>150</v>
      </c>
      <c r="X46" s="54" t="s">
        <v>150</v>
      </c>
      <c r="Y46" s="54" t="s">
        <v>150</v>
      </c>
      <c r="Z46" s="54" t="s">
        <v>150</v>
      </c>
      <c r="AA46" s="54" t="s">
        <v>150</v>
      </c>
      <c r="AB46" s="54" t="s">
        <v>150</v>
      </c>
      <c r="AD46" s="38"/>
      <c r="AF46" s="52" t="str">
        <f t="shared" si="44"/>
        <v>FICO 700+</v>
      </c>
      <c r="AG46" s="54" t="s">
        <v>150</v>
      </c>
      <c r="AH46" s="54" t="s">
        <v>150</v>
      </c>
      <c r="AI46" s="54" t="s">
        <v>150</v>
      </c>
      <c r="AJ46" s="54" t="s">
        <v>150</v>
      </c>
      <c r="AK46" s="54" t="s">
        <v>150</v>
      </c>
      <c r="AL46" s="54" t="s">
        <v>150</v>
      </c>
      <c r="AM46" s="55"/>
      <c r="AN46" s="56"/>
      <c r="AO46" s="41"/>
      <c r="AP46" s="52" t="str">
        <f t="shared" si="45"/>
        <v>FICO 700+</v>
      </c>
      <c r="AQ46" s="54" t="s">
        <v>150</v>
      </c>
      <c r="AR46" s="54" t="s">
        <v>150</v>
      </c>
      <c r="AS46" s="54" t="s">
        <v>150</v>
      </c>
      <c r="AT46" s="54" t="s">
        <v>150</v>
      </c>
      <c r="AU46" s="54" t="s">
        <v>150</v>
      </c>
      <c r="AV46" s="54" t="s">
        <v>150</v>
      </c>
      <c r="AX46" s="38"/>
      <c r="AZ46" s="52" t="str">
        <f t="shared" si="46"/>
        <v>FICO 700+</v>
      </c>
      <c r="BA46" s="54" t="s">
        <v>150</v>
      </c>
      <c r="BB46" s="54" t="s">
        <v>150</v>
      </c>
      <c r="BC46" s="54" t="s">
        <v>150</v>
      </c>
      <c r="BD46" s="54" t="s">
        <v>150</v>
      </c>
      <c r="BE46" s="54" t="s">
        <v>150</v>
      </c>
      <c r="BF46" s="54" t="s">
        <v>150</v>
      </c>
    </row>
    <row r="47" spans="2:58" s="37" customFormat="1" ht="12.75" customHeight="1" x14ac:dyDescent="0.45">
      <c r="B47" s="52" t="s">
        <v>158</v>
      </c>
      <c r="C47" s="54" t="s">
        <v>150</v>
      </c>
      <c r="D47" s="54" t="s">
        <v>150</v>
      </c>
      <c r="E47" s="54" t="s">
        <v>150</v>
      </c>
      <c r="F47" s="54" t="s">
        <v>150</v>
      </c>
      <c r="G47" s="54" t="s">
        <v>150</v>
      </c>
      <c r="H47" s="54" t="s">
        <v>150</v>
      </c>
      <c r="J47" s="38"/>
      <c r="L47" s="52" t="s">
        <v>158</v>
      </c>
      <c r="M47" s="54" t="s">
        <v>150</v>
      </c>
      <c r="N47" s="54" t="s">
        <v>150</v>
      </c>
      <c r="O47" s="54" t="s">
        <v>150</v>
      </c>
      <c r="P47" s="54" t="s">
        <v>150</v>
      </c>
      <c r="Q47" s="54" t="s">
        <v>150</v>
      </c>
      <c r="R47" s="54" t="s">
        <v>150</v>
      </c>
      <c r="S47" s="55"/>
      <c r="T47" s="56"/>
      <c r="U47" s="41"/>
      <c r="V47" s="52" t="str">
        <f t="shared" si="43"/>
        <v>FICO 680-699</v>
      </c>
      <c r="W47" s="54" t="s">
        <v>150</v>
      </c>
      <c r="X47" s="54" t="s">
        <v>150</v>
      </c>
      <c r="Y47" s="54" t="s">
        <v>150</v>
      </c>
      <c r="Z47" s="54" t="s">
        <v>150</v>
      </c>
      <c r="AA47" s="54" t="s">
        <v>150</v>
      </c>
      <c r="AB47" s="54" t="s">
        <v>150</v>
      </c>
      <c r="AD47" s="38"/>
      <c r="AF47" s="52" t="str">
        <f t="shared" si="44"/>
        <v>FICO 680-699</v>
      </c>
      <c r="AG47" s="54" t="s">
        <v>150</v>
      </c>
      <c r="AH47" s="54" t="s">
        <v>150</v>
      </c>
      <c r="AI47" s="54" t="s">
        <v>150</v>
      </c>
      <c r="AJ47" s="54" t="s">
        <v>150</v>
      </c>
      <c r="AK47" s="54" t="s">
        <v>150</v>
      </c>
      <c r="AL47" s="54" t="s">
        <v>150</v>
      </c>
      <c r="AM47" s="55"/>
      <c r="AN47" s="56"/>
      <c r="AO47" s="41"/>
      <c r="AP47" s="52" t="str">
        <f t="shared" si="45"/>
        <v>FICO 680-699</v>
      </c>
      <c r="AQ47" s="54" t="s">
        <v>150</v>
      </c>
      <c r="AR47" s="54" t="s">
        <v>150</v>
      </c>
      <c r="AS47" s="54" t="s">
        <v>150</v>
      </c>
      <c r="AT47" s="54" t="s">
        <v>150</v>
      </c>
      <c r="AU47" s="54" t="s">
        <v>150</v>
      </c>
      <c r="AV47" s="54" t="s">
        <v>150</v>
      </c>
      <c r="AX47" s="38"/>
      <c r="AZ47" s="52" t="str">
        <f t="shared" si="46"/>
        <v>FICO 680-699</v>
      </c>
      <c r="BA47" s="54" t="s">
        <v>150</v>
      </c>
      <c r="BB47" s="54" t="s">
        <v>150</v>
      </c>
      <c r="BC47" s="54" t="s">
        <v>150</v>
      </c>
      <c r="BD47" s="54" t="s">
        <v>150</v>
      </c>
      <c r="BE47" s="54" t="s">
        <v>150</v>
      </c>
      <c r="BF47" s="54" t="s">
        <v>150</v>
      </c>
    </row>
    <row r="48" spans="2:58" s="37" customFormat="1" ht="12.75" customHeight="1" x14ac:dyDescent="0.45">
      <c r="B48" s="57" t="s">
        <v>159</v>
      </c>
      <c r="C48" s="59" t="s">
        <v>150</v>
      </c>
      <c r="D48" s="59" t="s">
        <v>150</v>
      </c>
      <c r="E48" s="59" t="s">
        <v>150</v>
      </c>
      <c r="F48" s="59" t="s">
        <v>150</v>
      </c>
      <c r="G48" s="59" t="s">
        <v>150</v>
      </c>
      <c r="H48" s="59" t="s">
        <v>150</v>
      </c>
      <c r="J48" s="38"/>
      <c r="L48" s="57" t="s">
        <v>159</v>
      </c>
      <c r="M48" s="59" t="s">
        <v>150</v>
      </c>
      <c r="N48" s="59" t="s">
        <v>150</v>
      </c>
      <c r="O48" s="59" t="s">
        <v>150</v>
      </c>
      <c r="P48" s="59" t="s">
        <v>150</v>
      </c>
      <c r="Q48" s="59" t="s">
        <v>150</v>
      </c>
      <c r="R48" s="59" t="s">
        <v>150</v>
      </c>
      <c r="S48" s="55"/>
      <c r="T48" s="56"/>
      <c r="U48" s="41"/>
      <c r="V48" s="57" t="str">
        <f t="shared" si="43"/>
        <v>FICO 640-679</v>
      </c>
      <c r="W48" s="59" t="s">
        <v>150</v>
      </c>
      <c r="X48" s="59" t="s">
        <v>150</v>
      </c>
      <c r="Y48" s="59" t="s">
        <v>150</v>
      </c>
      <c r="Z48" s="59" t="s">
        <v>150</v>
      </c>
      <c r="AA48" s="59" t="s">
        <v>150</v>
      </c>
      <c r="AB48" s="59" t="s">
        <v>150</v>
      </c>
      <c r="AD48" s="38"/>
      <c r="AF48" s="57" t="str">
        <f t="shared" si="44"/>
        <v>FICO 640-679</v>
      </c>
      <c r="AG48" s="59" t="s">
        <v>150</v>
      </c>
      <c r="AH48" s="59" t="s">
        <v>150</v>
      </c>
      <c r="AI48" s="59" t="s">
        <v>150</v>
      </c>
      <c r="AJ48" s="59" t="s">
        <v>150</v>
      </c>
      <c r="AK48" s="59" t="s">
        <v>150</v>
      </c>
      <c r="AL48" s="59" t="s">
        <v>150</v>
      </c>
      <c r="AM48" s="55"/>
      <c r="AN48" s="56"/>
      <c r="AO48" s="41"/>
      <c r="AP48" s="57" t="str">
        <f t="shared" si="45"/>
        <v>FICO 640-679</v>
      </c>
      <c r="AQ48" s="59" t="s">
        <v>150</v>
      </c>
      <c r="AR48" s="59" t="s">
        <v>150</v>
      </c>
      <c r="AS48" s="59" t="s">
        <v>150</v>
      </c>
      <c r="AT48" s="59" t="s">
        <v>150</v>
      </c>
      <c r="AU48" s="59" t="s">
        <v>150</v>
      </c>
      <c r="AV48" s="59" t="s">
        <v>150</v>
      </c>
      <c r="AX48" s="38"/>
      <c r="AZ48" s="57" t="str">
        <f t="shared" si="46"/>
        <v>FICO 640-679</v>
      </c>
      <c r="BA48" s="59" t="s">
        <v>150</v>
      </c>
      <c r="BB48" s="59" t="s">
        <v>150</v>
      </c>
      <c r="BC48" s="59" t="s">
        <v>150</v>
      </c>
      <c r="BD48" s="59" t="s">
        <v>150</v>
      </c>
      <c r="BE48" s="59" t="s">
        <v>150</v>
      </c>
      <c r="BF48" s="59" t="s">
        <v>150</v>
      </c>
    </row>
    <row r="49" spans="2:58" s="37" customFormat="1" ht="12.75" customHeight="1" x14ac:dyDescent="0.45">
      <c r="B49" s="60" t="s">
        <v>155</v>
      </c>
      <c r="C49" s="61">
        <v>0.09</v>
      </c>
      <c r="D49" s="48">
        <f>C49+0.25%</f>
        <v>9.2499999999999999E-2</v>
      </c>
      <c r="E49" s="48">
        <f>D49+0.25%</f>
        <v>9.5000000000000001E-2</v>
      </c>
      <c r="F49" s="64" t="s">
        <v>150</v>
      </c>
      <c r="G49" s="64" t="s">
        <v>150</v>
      </c>
      <c r="H49" s="64" t="s">
        <v>150</v>
      </c>
      <c r="J49" s="38"/>
      <c r="L49" s="60" t="s">
        <v>155</v>
      </c>
      <c r="M49" s="49" t="s">
        <v>150</v>
      </c>
      <c r="N49" s="49" t="s">
        <v>150</v>
      </c>
      <c r="O49" s="49" t="s">
        <v>150</v>
      </c>
      <c r="P49" s="49" t="s">
        <v>150</v>
      </c>
      <c r="Q49" s="49" t="s">
        <v>150</v>
      </c>
      <c r="R49" s="49" t="s">
        <v>150</v>
      </c>
      <c r="S49" s="50"/>
      <c r="T49" s="51"/>
      <c r="U49" s="41"/>
      <c r="V49" s="60" t="str">
        <f t="shared" si="43"/>
        <v>&lt;64.99%</v>
      </c>
      <c r="W49" s="62">
        <f>C49+0.125%</f>
        <v>9.1249999999999998E-2</v>
      </c>
      <c r="X49" s="48">
        <f>W49+0.25%</f>
        <v>9.375E-2</v>
      </c>
      <c r="Y49" s="48">
        <f>X49+0.25%</f>
        <v>9.6250000000000002E-2</v>
      </c>
      <c r="Z49" s="64" t="s">
        <v>150</v>
      </c>
      <c r="AA49" s="64" t="s">
        <v>150</v>
      </c>
      <c r="AB49" s="64" t="s">
        <v>150</v>
      </c>
      <c r="AD49" s="38"/>
      <c r="AF49" s="60" t="str">
        <f t="shared" si="44"/>
        <v>&lt;64.99%</v>
      </c>
      <c r="AG49" s="49" t="s">
        <v>150</v>
      </c>
      <c r="AH49" s="49" t="s">
        <v>150</v>
      </c>
      <c r="AI49" s="49" t="s">
        <v>150</v>
      </c>
      <c r="AJ49" s="49" t="s">
        <v>150</v>
      </c>
      <c r="AK49" s="49" t="s">
        <v>150</v>
      </c>
      <c r="AL49" s="49" t="s">
        <v>150</v>
      </c>
      <c r="AM49" s="50"/>
      <c r="AN49" s="51"/>
      <c r="AO49" s="41"/>
      <c r="AP49" s="60" t="str">
        <f t="shared" si="45"/>
        <v>&lt;64.99%</v>
      </c>
      <c r="AQ49" s="62">
        <f>W49+0.125%</f>
        <v>9.2499999999999999E-2</v>
      </c>
      <c r="AR49" s="48">
        <f>AQ49+0.25%</f>
        <v>9.5000000000000001E-2</v>
      </c>
      <c r="AS49" s="48">
        <f>AR49+0.25%</f>
        <v>9.7500000000000003E-2</v>
      </c>
      <c r="AT49" s="64" t="s">
        <v>150</v>
      </c>
      <c r="AU49" s="64" t="s">
        <v>150</v>
      </c>
      <c r="AV49" s="64" t="s">
        <v>150</v>
      </c>
      <c r="AX49" s="38"/>
      <c r="AZ49" s="60" t="str">
        <f t="shared" si="46"/>
        <v>&lt;64.99%</v>
      </c>
      <c r="BA49" s="49" t="s">
        <v>150</v>
      </c>
      <c r="BB49" s="49" t="s">
        <v>150</v>
      </c>
      <c r="BC49" s="49" t="s">
        <v>150</v>
      </c>
      <c r="BD49" s="49" t="s">
        <v>150</v>
      </c>
      <c r="BE49" s="49" t="s">
        <v>150</v>
      </c>
      <c r="BF49" s="49" t="s">
        <v>150</v>
      </c>
    </row>
    <row r="50" spans="2:58" s="37" customFormat="1" ht="12.75" customHeight="1" x14ac:dyDescent="0.45">
      <c r="B50" s="52" t="s">
        <v>151</v>
      </c>
      <c r="C50" s="53">
        <f>C49+0</f>
        <v>0.09</v>
      </c>
      <c r="D50" s="53">
        <f>D49+0</f>
        <v>9.2499999999999999E-2</v>
      </c>
      <c r="E50" s="53">
        <f>E49+0</f>
        <v>9.5000000000000001E-2</v>
      </c>
      <c r="F50" s="54" t="s">
        <v>150</v>
      </c>
      <c r="G50" s="54" t="s">
        <v>150</v>
      </c>
      <c r="H50" s="54" t="s">
        <v>150</v>
      </c>
      <c r="J50" s="38"/>
      <c r="L50" s="52" t="s">
        <v>151</v>
      </c>
      <c r="M50" s="54" t="s">
        <v>150</v>
      </c>
      <c r="N50" s="54" t="s">
        <v>150</v>
      </c>
      <c r="O50" s="54" t="s">
        <v>150</v>
      </c>
      <c r="P50" s="54" t="s">
        <v>150</v>
      </c>
      <c r="Q50" s="54" t="s">
        <v>150</v>
      </c>
      <c r="R50" s="54" t="s">
        <v>150</v>
      </c>
      <c r="S50" s="55"/>
      <c r="T50" s="56"/>
      <c r="U50" s="41"/>
      <c r="V50" s="52" t="str">
        <f t="shared" si="43"/>
        <v>FICO 700+</v>
      </c>
      <c r="W50" s="53">
        <f>W49+0</f>
        <v>9.1249999999999998E-2</v>
      </c>
      <c r="X50" s="53">
        <f>X49+0</f>
        <v>9.375E-2</v>
      </c>
      <c r="Y50" s="53">
        <f>Y49+0</f>
        <v>9.6250000000000002E-2</v>
      </c>
      <c r="Z50" s="54" t="s">
        <v>150</v>
      </c>
      <c r="AA50" s="54" t="s">
        <v>150</v>
      </c>
      <c r="AB50" s="54" t="s">
        <v>150</v>
      </c>
      <c r="AD50" s="38"/>
      <c r="AF50" s="52" t="str">
        <f t="shared" si="44"/>
        <v>FICO 700+</v>
      </c>
      <c r="AG50" s="54" t="s">
        <v>150</v>
      </c>
      <c r="AH50" s="54" t="s">
        <v>150</v>
      </c>
      <c r="AI50" s="54" t="s">
        <v>150</v>
      </c>
      <c r="AJ50" s="54" t="s">
        <v>150</v>
      </c>
      <c r="AK50" s="54" t="s">
        <v>150</v>
      </c>
      <c r="AL50" s="54" t="s">
        <v>150</v>
      </c>
      <c r="AM50" s="55"/>
      <c r="AN50" s="56"/>
      <c r="AO50" s="41"/>
      <c r="AP50" s="52" t="str">
        <f t="shared" si="45"/>
        <v>FICO 700+</v>
      </c>
      <c r="AQ50" s="53">
        <f>AQ49+0</f>
        <v>9.2499999999999999E-2</v>
      </c>
      <c r="AR50" s="53">
        <f>AR49+0</f>
        <v>9.5000000000000001E-2</v>
      </c>
      <c r="AS50" s="53">
        <f>AS49+0</f>
        <v>9.7500000000000003E-2</v>
      </c>
      <c r="AT50" s="54" t="s">
        <v>150</v>
      </c>
      <c r="AU50" s="54" t="s">
        <v>150</v>
      </c>
      <c r="AV50" s="54" t="s">
        <v>150</v>
      </c>
      <c r="AX50" s="38"/>
      <c r="AZ50" s="52" t="str">
        <f t="shared" si="46"/>
        <v>FICO 700+</v>
      </c>
      <c r="BA50" s="54" t="s">
        <v>150</v>
      </c>
      <c r="BB50" s="54" t="s">
        <v>150</v>
      </c>
      <c r="BC50" s="54" t="s">
        <v>150</v>
      </c>
      <c r="BD50" s="54" t="s">
        <v>150</v>
      </c>
      <c r="BE50" s="54" t="s">
        <v>150</v>
      </c>
      <c r="BF50" s="54" t="s">
        <v>150</v>
      </c>
    </row>
    <row r="51" spans="2:58" s="37" customFormat="1" ht="12.75" customHeight="1" x14ac:dyDescent="0.45">
      <c r="B51" s="52" t="s">
        <v>158</v>
      </c>
      <c r="C51" s="53">
        <f>C49+0.5%</f>
        <v>9.5000000000000001E-2</v>
      </c>
      <c r="D51" s="53">
        <f>D49+0.5%</f>
        <v>9.7500000000000003E-2</v>
      </c>
      <c r="E51" s="53">
        <f>E49+0.5%</f>
        <v>0.1</v>
      </c>
      <c r="F51" s="54" t="s">
        <v>150</v>
      </c>
      <c r="G51" s="54" t="s">
        <v>150</v>
      </c>
      <c r="H51" s="54" t="s">
        <v>150</v>
      </c>
      <c r="J51" s="38"/>
      <c r="L51" s="52" t="s">
        <v>158</v>
      </c>
      <c r="M51" s="54" t="s">
        <v>150</v>
      </c>
      <c r="N51" s="54" t="s">
        <v>150</v>
      </c>
      <c r="O51" s="54" t="s">
        <v>150</v>
      </c>
      <c r="P51" s="54" t="s">
        <v>150</v>
      </c>
      <c r="Q51" s="54" t="s">
        <v>150</v>
      </c>
      <c r="R51" s="54" t="s">
        <v>150</v>
      </c>
      <c r="S51" s="55"/>
      <c r="T51" s="56"/>
      <c r="U51" s="41"/>
      <c r="V51" s="52" t="str">
        <f t="shared" si="43"/>
        <v>FICO 680-699</v>
      </c>
      <c r="W51" s="53">
        <f>W49+0.5%</f>
        <v>9.6250000000000002E-2</v>
      </c>
      <c r="X51" s="53">
        <f>X49+0.5%</f>
        <v>9.8750000000000004E-2</v>
      </c>
      <c r="Y51" s="53">
        <f>Y49+0.5%</f>
        <v>0.10125000000000001</v>
      </c>
      <c r="Z51" s="54" t="s">
        <v>150</v>
      </c>
      <c r="AA51" s="54" t="s">
        <v>150</v>
      </c>
      <c r="AB51" s="54" t="s">
        <v>150</v>
      </c>
      <c r="AD51" s="38"/>
      <c r="AF51" s="52" t="str">
        <f t="shared" si="44"/>
        <v>FICO 680-699</v>
      </c>
      <c r="AG51" s="54" t="s">
        <v>150</v>
      </c>
      <c r="AH51" s="54" t="s">
        <v>150</v>
      </c>
      <c r="AI51" s="54" t="s">
        <v>150</v>
      </c>
      <c r="AJ51" s="54" t="s">
        <v>150</v>
      </c>
      <c r="AK51" s="54" t="s">
        <v>150</v>
      </c>
      <c r="AL51" s="54" t="s">
        <v>150</v>
      </c>
      <c r="AM51" s="55"/>
      <c r="AN51" s="56"/>
      <c r="AO51" s="41"/>
      <c r="AP51" s="52" t="str">
        <f t="shared" si="45"/>
        <v>FICO 680-699</v>
      </c>
      <c r="AQ51" s="53">
        <f>AQ49+0.5%</f>
        <v>9.7500000000000003E-2</v>
      </c>
      <c r="AR51" s="53">
        <f>AR49+0.5%</f>
        <v>0.1</v>
      </c>
      <c r="AS51" s="53">
        <f>AS49+0.5%</f>
        <v>0.10250000000000001</v>
      </c>
      <c r="AT51" s="54" t="s">
        <v>150</v>
      </c>
      <c r="AU51" s="54" t="s">
        <v>150</v>
      </c>
      <c r="AV51" s="54" t="s">
        <v>150</v>
      </c>
      <c r="AX51" s="38"/>
      <c r="AZ51" s="52" t="str">
        <f t="shared" si="46"/>
        <v>FICO 680-699</v>
      </c>
      <c r="BA51" s="54" t="s">
        <v>150</v>
      </c>
      <c r="BB51" s="54" t="s">
        <v>150</v>
      </c>
      <c r="BC51" s="54" t="s">
        <v>150</v>
      </c>
      <c r="BD51" s="54" t="s">
        <v>150</v>
      </c>
      <c r="BE51" s="54" t="s">
        <v>150</v>
      </c>
      <c r="BF51" s="54" t="s">
        <v>150</v>
      </c>
    </row>
    <row r="52" spans="2:58" s="37" customFormat="1" ht="12.75" customHeight="1" x14ac:dyDescent="0.45">
      <c r="B52" s="52" t="s">
        <v>159</v>
      </c>
      <c r="C52" s="54" t="s">
        <v>150</v>
      </c>
      <c r="D52" s="54" t="s">
        <v>150</v>
      </c>
      <c r="E52" s="54" t="s">
        <v>150</v>
      </c>
      <c r="F52" s="54" t="s">
        <v>150</v>
      </c>
      <c r="G52" s="54" t="s">
        <v>150</v>
      </c>
      <c r="H52" s="54" t="s">
        <v>150</v>
      </c>
      <c r="J52" s="38"/>
      <c r="L52" s="52" t="s">
        <v>159</v>
      </c>
      <c r="M52" s="54" t="s">
        <v>150</v>
      </c>
      <c r="N52" s="54" t="s">
        <v>150</v>
      </c>
      <c r="O52" s="54" t="s">
        <v>150</v>
      </c>
      <c r="P52" s="54" t="s">
        <v>150</v>
      </c>
      <c r="Q52" s="54" t="s">
        <v>150</v>
      </c>
      <c r="R52" s="54" t="s">
        <v>150</v>
      </c>
      <c r="S52" s="55"/>
      <c r="T52" s="56"/>
      <c r="U52" s="41"/>
      <c r="V52" s="52" t="str">
        <f t="shared" si="43"/>
        <v>FICO 640-679</v>
      </c>
      <c r="W52" s="54" t="s">
        <v>150</v>
      </c>
      <c r="X52" s="54" t="s">
        <v>150</v>
      </c>
      <c r="Y52" s="54" t="s">
        <v>150</v>
      </c>
      <c r="Z52" s="54" t="s">
        <v>150</v>
      </c>
      <c r="AA52" s="54" t="s">
        <v>150</v>
      </c>
      <c r="AB52" s="54" t="s">
        <v>150</v>
      </c>
      <c r="AD52" s="38"/>
      <c r="AF52" s="52" t="str">
        <f t="shared" si="44"/>
        <v>FICO 640-679</v>
      </c>
      <c r="AG52" s="54" t="s">
        <v>150</v>
      </c>
      <c r="AH52" s="54" t="s">
        <v>150</v>
      </c>
      <c r="AI52" s="54" t="s">
        <v>150</v>
      </c>
      <c r="AJ52" s="54" t="s">
        <v>150</v>
      </c>
      <c r="AK52" s="54" t="s">
        <v>150</v>
      </c>
      <c r="AL52" s="54" t="s">
        <v>150</v>
      </c>
      <c r="AM52" s="55"/>
      <c r="AN52" s="56"/>
      <c r="AO52" s="41"/>
      <c r="AP52" s="52" t="str">
        <f t="shared" si="45"/>
        <v>FICO 640-679</v>
      </c>
      <c r="AQ52" s="54" t="s">
        <v>150</v>
      </c>
      <c r="AR52" s="54" t="s">
        <v>150</v>
      </c>
      <c r="AS52" s="54" t="s">
        <v>150</v>
      </c>
      <c r="AT52" s="54" t="s">
        <v>150</v>
      </c>
      <c r="AU52" s="54" t="s">
        <v>150</v>
      </c>
      <c r="AV52" s="54" t="s">
        <v>150</v>
      </c>
      <c r="AX52" s="38"/>
      <c r="AZ52" s="52" t="str">
        <f t="shared" si="46"/>
        <v>FICO 640-679</v>
      </c>
      <c r="BA52" s="54" t="s">
        <v>150</v>
      </c>
      <c r="BB52" s="54" t="s">
        <v>150</v>
      </c>
      <c r="BC52" s="54" t="s">
        <v>150</v>
      </c>
      <c r="BD52" s="54" t="s">
        <v>150</v>
      </c>
      <c r="BE52" s="54" t="s">
        <v>150</v>
      </c>
      <c r="BF52" s="54" t="s">
        <v>150</v>
      </c>
    </row>
    <row r="53" spans="2:58" s="37" customFormat="1" ht="12.75" customHeight="1" x14ac:dyDescent="0.45">
      <c r="C53" s="63"/>
      <c r="D53" s="63"/>
      <c r="E53" s="63"/>
      <c r="F53" s="63"/>
      <c r="G53" s="63"/>
      <c r="H53" s="63"/>
      <c r="J53" s="38"/>
      <c r="S53" s="41"/>
      <c r="T53" s="43"/>
      <c r="U53" s="41"/>
      <c r="W53" s="63"/>
      <c r="X53" s="63"/>
      <c r="Y53" s="63"/>
      <c r="Z53" s="63"/>
      <c r="AA53" s="63"/>
      <c r="AB53" s="63"/>
      <c r="AD53" s="38"/>
      <c r="AM53" s="41"/>
      <c r="AN53" s="43"/>
      <c r="AO53" s="41"/>
      <c r="AQ53" s="63"/>
      <c r="AR53" s="63"/>
      <c r="AS53" s="63"/>
      <c r="AT53" s="63"/>
      <c r="AU53" s="63"/>
      <c r="AV53" s="63"/>
      <c r="AX53" s="38"/>
    </row>
    <row r="54" spans="2:58" s="38" customFormat="1" ht="4.5" customHeight="1" x14ac:dyDescent="0.45">
      <c r="C54" s="65"/>
      <c r="D54" s="65"/>
      <c r="E54" s="65"/>
      <c r="F54" s="65"/>
      <c r="G54" s="65"/>
      <c r="H54" s="65"/>
      <c r="S54" s="41"/>
      <c r="T54" s="43"/>
      <c r="U54" s="41"/>
      <c r="W54" s="65"/>
      <c r="X54" s="65"/>
      <c r="Y54" s="65"/>
      <c r="Z54" s="65"/>
      <c r="AA54" s="65"/>
      <c r="AB54" s="65"/>
      <c r="AM54" s="41"/>
      <c r="AN54" s="43"/>
      <c r="AO54" s="41"/>
      <c r="AQ54" s="65"/>
      <c r="AR54" s="65"/>
      <c r="AS54" s="65"/>
      <c r="AT54" s="65"/>
      <c r="AU54" s="65"/>
      <c r="AV54" s="65"/>
    </row>
    <row r="56" spans="2:58" ht="15" customHeight="1" x14ac:dyDescent="0.45">
      <c r="B56" s="96" t="s">
        <v>160</v>
      </c>
      <c r="C56" s="96"/>
      <c r="D56" s="96"/>
      <c r="E56" s="96"/>
      <c r="F56" s="96"/>
      <c r="G56" s="96"/>
      <c r="H56" s="96"/>
      <c r="L56" s="96" t="s">
        <v>161</v>
      </c>
      <c r="M56" s="96"/>
      <c r="N56" s="96"/>
      <c r="O56" s="96"/>
      <c r="P56" s="96"/>
      <c r="Q56" s="96"/>
      <c r="R56" s="96"/>
      <c r="S56" s="35"/>
      <c r="T56" s="36"/>
      <c r="V56" s="96" t="s">
        <v>160</v>
      </c>
      <c r="W56" s="96"/>
      <c r="X56" s="96"/>
      <c r="Y56" s="96"/>
      <c r="Z56" s="96"/>
      <c r="AA56" s="96"/>
      <c r="AB56" s="96"/>
      <c r="AF56" s="96" t="s">
        <v>161</v>
      </c>
      <c r="AG56" s="96"/>
      <c r="AH56" s="96"/>
      <c r="AI56" s="96"/>
      <c r="AJ56" s="96"/>
      <c r="AK56" s="96"/>
      <c r="AL56" s="96"/>
      <c r="AM56" s="35"/>
      <c r="AN56" s="36"/>
      <c r="AP56" s="96" t="s">
        <v>160</v>
      </c>
      <c r="AQ56" s="96"/>
      <c r="AR56" s="96"/>
      <c r="AS56" s="96"/>
      <c r="AT56" s="96"/>
      <c r="AU56" s="96"/>
      <c r="AV56" s="96"/>
      <c r="AZ56" s="96" t="s">
        <v>161</v>
      </c>
      <c r="BA56" s="96"/>
      <c r="BB56" s="96"/>
      <c r="BC56" s="96"/>
      <c r="BD56" s="96"/>
      <c r="BE56" s="96"/>
      <c r="BF56" s="96"/>
    </row>
    <row r="57" spans="2:58" ht="15.75" customHeight="1" x14ac:dyDescent="0.45">
      <c r="B57" s="94" t="s">
        <v>142</v>
      </c>
      <c r="C57" s="94"/>
      <c r="D57" s="94"/>
      <c r="E57" s="94"/>
      <c r="F57" s="94"/>
      <c r="G57" s="94"/>
      <c r="H57" s="94"/>
      <c r="L57" s="94" t="s">
        <v>142</v>
      </c>
      <c r="M57" s="94"/>
      <c r="N57" s="94"/>
      <c r="O57" s="94"/>
      <c r="P57" s="94"/>
      <c r="Q57" s="94"/>
      <c r="R57" s="94"/>
      <c r="S57" s="39"/>
      <c r="T57" s="40"/>
      <c r="V57" s="94" t="s">
        <v>142</v>
      </c>
      <c r="W57" s="94"/>
      <c r="X57" s="94"/>
      <c r="Y57" s="94"/>
      <c r="Z57" s="94"/>
      <c r="AA57" s="94"/>
      <c r="AB57" s="94"/>
      <c r="AF57" s="94" t="s">
        <v>142</v>
      </c>
      <c r="AG57" s="94"/>
      <c r="AH57" s="94"/>
      <c r="AI57" s="94"/>
      <c r="AJ57" s="94"/>
      <c r="AK57" s="94"/>
      <c r="AL57" s="94"/>
      <c r="AM57" s="39"/>
      <c r="AN57" s="40"/>
      <c r="AP57" s="94" t="s">
        <v>142</v>
      </c>
      <c r="AQ57" s="94"/>
      <c r="AR57" s="94"/>
      <c r="AS57" s="94"/>
      <c r="AT57" s="94"/>
      <c r="AU57" s="94"/>
      <c r="AV57" s="94"/>
      <c r="AZ57" s="94" t="s">
        <v>142</v>
      </c>
      <c r="BA57" s="94"/>
      <c r="BB57" s="94"/>
      <c r="BC57" s="94"/>
      <c r="BD57" s="94"/>
      <c r="BE57" s="94"/>
      <c r="BF57" s="94"/>
    </row>
    <row r="58" spans="2:58" ht="15" customHeight="1" x14ac:dyDescent="0.45">
      <c r="B58" s="42"/>
      <c r="C58" s="95" t="s">
        <v>50</v>
      </c>
      <c r="D58" s="95"/>
      <c r="E58" s="95"/>
      <c r="F58" s="95"/>
      <c r="G58" s="95"/>
      <c r="H58" s="95"/>
      <c r="L58" s="42"/>
      <c r="M58" s="95" t="s">
        <v>50</v>
      </c>
      <c r="N58" s="95"/>
      <c r="O58" s="95"/>
      <c r="P58" s="95"/>
      <c r="Q58" s="95"/>
      <c r="R58" s="95"/>
      <c r="S58" s="41"/>
      <c r="T58" s="43"/>
      <c r="V58" s="42"/>
      <c r="W58" s="95" t="str">
        <f>C58</f>
        <v>LTC</v>
      </c>
      <c r="X58" s="95"/>
      <c r="Y58" s="95"/>
      <c r="Z58" s="95"/>
      <c r="AA58" s="95"/>
      <c r="AB58" s="95"/>
      <c r="AF58" s="42"/>
      <c r="AG58" s="95" t="str">
        <f t="shared" ref="AG58:AG71" si="47">W58</f>
        <v>LTC</v>
      </c>
      <c r="AH58" s="95"/>
      <c r="AI58" s="95"/>
      <c r="AJ58" s="95"/>
      <c r="AK58" s="95"/>
      <c r="AL58" s="95"/>
      <c r="AM58" s="41"/>
      <c r="AN58" s="43"/>
      <c r="AP58" s="42"/>
      <c r="AQ58" s="95" t="str">
        <f>C58</f>
        <v>LTC</v>
      </c>
      <c r="AR58" s="95"/>
      <c r="AS58" s="95"/>
      <c r="AT58" s="95"/>
      <c r="AU58" s="95"/>
      <c r="AV58" s="95"/>
      <c r="AZ58" s="42"/>
      <c r="BA58" s="95" t="str">
        <f>C58</f>
        <v>LTC</v>
      </c>
      <c r="BB58" s="95"/>
      <c r="BC58" s="95"/>
      <c r="BD58" s="95"/>
      <c r="BE58" s="95"/>
      <c r="BF58" s="95"/>
    </row>
    <row r="59" spans="2:58" ht="15" customHeight="1" x14ac:dyDescent="0.45">
      <c r="B59" s="44" t="s">
        <v>52</v>
      </c>
      <c r="C59" s="45" t="s">
        <v>143</v>
      </c>
      <c r="D59" s="45" t="s">
        <v>144</v>
      </c>
      <c r="E59" s="45" t="s">
        <v>145</v>
      </c>
      <c r="F59" s="45" t="s">
        <v>146</v>
      </c>
      <c r="G59" s="45" t="s">
        <v>147</v>
      </c>
      <c r="H59" s="45" t="s">
        <v>148</v>
      </c>
      <c r="L59" s="44" t="s">
        <v>52</v>
      </c>
      <c r="M59" s="45" t="s">
        <v>143</v>
      </c>
      <c r="N59" s="45" t="s">
        <v>144</v>
      </c>
      <c r="O59" s="45" t="s">
        <v>145</v>
      </c>
      <c r="P59" s="45" t="s">
        <v>146</v>
      </c>
      <c r="Q59" s="45" t="s">
        <v>147</v>
      </c>
      <c r="R59" s="45" t="s">
        <v>148</v>
      </c>
      <c r="S59" s="41"/>
      <c r="T59" s="43"/>
      <c r="V59" s="44" t="str">
        <f t="shared" ref="V59:V71" si="48">B59</f>
        <v>AR-LTV</v>
      </c>
      <c r="W59" s="45" t="str">
        <f>C59</f>
        <v>&lt;74.99%</v>
      </c>
      <c r="X59" s="45" t="str">
        <f>D59</f>
        <v>75.00%-80.00%</v>
      </c>
      <c r="Y59" s="45" t="str">
        <f>E59</f>
        <v>80.01%-85.00%</v>
      </c>
      <c r="Z59" s="45" t="str">
        <f>F59</f>
        <v>85.01%-87.50%</v>
      </c>
      <c r="AA59" s="45" t="str">
        <f>G59</f>
        <v>87.51%-89.99%</v>
      </c>
      <c r="AB59" s="45" t="str">
        <f>H59</f>
        <v>90.00%-92.50%</v>
      </c>
      <c r="AF59" s="44" t="str">
        <f t="shared" ref="AF59:AF71" si="49">V59</f>
        <v>AR-LTV</v>
      </c>
      <c r="AG59" s="45" t="str">
        <f t="shared" si="47"/>
        <v>&lt;74.99%</v>
      </c>
      <c r="AH59" s="45" t="str">
        <f t="shared" ref="AH59:AH71" si="50">X59</f>
        <v>75.00%-80.00%</v>
      </c>
      <c r="AI59" s="45" t="str">
        <f t="shared" ref="AI59:AI71" si="51">Y59</f>
        <v>80.01%-85.00%</v>
      </c>
      <c r="AJ59" s="45" t="str">
        <f t="shared" ref="AJ59:AJ71" si="52">Z59</f>
        <v>85.01%-87.50%</v>
      </c>
      <c r="AK59" s="45" t="str">
        <f t="shared" ref="AK59:AK71" si="53">AA59</f>
        <v>87.51%-89.99%</v>
      </c>
      <c r="AL59" s="45" t="str">
        <f t="shared" ref="AL59:AL71" si="54">AB59</f>
        <v>90.00%-92.50%</v>
      </c>
      <c r="AM59" s="41"/>
      <c r="AN59" s="43"/>
      <c r="AP59" s="44" t="str">
        <f t="shared" ref="AP59:AP71" si="55">B59</f>
        <v>AR-LTV</v>
      </c>
      <c r="AQ59" s="45" t="str">
        <f>C59</f>
        <v>&lt;74.99%</v>
      </c>
      <c r="AR59" s="45" t="str">
        <f>D59</f>
        <v>75.00%-80.00%</v>
      </c>
      <c r="AS59" s="45" t="str">
        <f>E59</f>
        <v>80.01%-85.00%</v>
      </c>
      <c r="AT59" s="45" t="str">
        <f>F59</f>
        <v>85.01%-87.50%</v>
      </c>
      <c r="AU59" s="45" t="str">
        <f>G59</f>
        <v>87.51%-89.99%</v>
      </c>
      <c r="AV59" s="45" t="str">
        <f>H59</f>
        <v>90.00%-92.50%</v>
      </c>
      <c r="AZ59" s="44" t="str">
        <f t="shared" ref="AZ59:AZ71" si="56">B59</f>
        <v>AR-LTV</v>
      </c>
      <c r="BA59" s="45" t="str">
        <f>C59</f>
        <v>&lt;74.99%</v>
      </c>
      <c r="BB59" s="45" t="str">
        <f>D59</f>
        <v>75.00%-80.00%</v>
      </c>
      <c r="BC59" s="45" t="str">
        <f>E59</f>
        <v>80.01%-85.00%</v>
      </c>
      <c r="BD59" s="45" t="str">
        <f>F59</f>
        <v>85.01%-87.50%</v>
      </c>
      <c r="BE59" s="45" t="str">
        <f>G59</f>
        <v>87.51%-89.99%</v>
      </c>
      <c r="BF59" s="45" t="str">
        <f>H59</f>
        <v>90.00%-92.50%</v>
      </c>
    </row>
    <row r="60" spans="2:58" ht="15" customHeight="1" x14ac:dyDescent="0.45">
      <c r="B60" s="46" t="s">
        <v>149</v>
      </c>
      <c r="C60" s="47">
        <f>C68+0.5%</f>
        <v>8.3750000000000005E-2</v>
      </c>
      <c r="D60" s="47">
        <f>C60+0.25%</f>
        <v>8.6250000000000007E-2</v>
      </c>
      <c r="E60" s="47">
        <f>D60</f>
        <v>8.6250000000000007E-2</v>
      </c>
      <c r="F60" s="47">
        <f>E60+0.25%</f>
        <v>8.8750000000000009E-2</v>
      </c>
      <c r="G60" s="47">
        <f>F60+0.25%</f>
        <v>9.1250000000000012E-2</v>
      </c>
      <c r="H60" s="47">
        <f>G60+0.25%</f>
        <v>9.3750000000000014E-2</v>
      </c>
      <c r="L60" s="46" t="s">
        <v>149</v>
      </c>
      <c r="M60" s="47">
        <f t="shared" ref="M60:M71" si="57">C60</f>
        <v>8.3750000000000005E-2</v>
      </c>
      <c r="N60" s="47">
        <f t="shared" ref="N60:N71" si="58">D60</f>
        <v>8.6250000000000007E-2</v>
      </c>
      <c r="O60" s="47">
        <f t="shared" ref="O60:O71" si="59">E60</f>
        <v>8.6250000000000007E-2</v>
      </c>
      <c r="P60" s="47">
        <f t="shared" ref="P60:P71" si="60">F60</f>
        <v>8.8750000000000009E-2</v>
      </c>
      <c r="Q60" s="47">
        <f t="shared" ref="Q60:Q71" si="61">G60</f>
        <v>9.1250000000000012E-2</v>
      </c>
      <c r="R60" s="47">
        <f t="shared" ref="R60:R71" si="62">H60</f>
        <v>9.3750000000000014E-2</v>
      </c>
      <c r="S60" s="66"/>
      <c r="T60" s="67"/>
      <c r="V60" s="46" t="str">
        <f t="shared" si="48"/>
        <v>70.01%-75.00%</v>
      </c>
      <c r="W60" s="47">
        <f>W68+0.5%</f>
        <v>8.5000000000000006E-2</v>
      </c>
      <c r="X60" s="47">
        <f>W60+0.25%</f>
        <v>8.7500000000000008E-2</v>
      </c>
      <c r="Y60" s="47">
        <f>X60</f>
        <v>8.7500000000000008E-2</v>
      </c>
      <c r="Z60" s="47">
        <f>Y60+0.25%</f>
        <v>9.0000000000000011E-2</v>
      </c>
      <c r="AA60" s="47">
        <f>Z60+0.25%</f>
        <v>9.2500000000000013E-2</v>
      </c>
      <c r="AB60" s="47">
        <f>AA60+0.25%</f>
        <v>9.5000000000000015E-2</v>
      </c>
      <c r="AF60" s="46" t="str">
        <f t="shared" si="49"/>
        <v>70.01%-75.00%</v>
      </c>
      <c r="AG60" s="47">
        <f t="shared" si="47"/>
        <v>8.5000000000000006E-2</v>
      </c>
      <c r="AH60" s="47">
        <f t="shared" si="50"/>
        <v>8.7500000000000008E-2</v>
      </c>
      <c r="AI60" s="47">
        <f t="shared" si="51"/>
        <v>8.7500000000000008E-2</v>
      </c>
      <c r="AJ60" s="47">
        <f t="shared" si="52"/>
        <v>9.0000000000000011E-2</v>
      </c>
      <c r="AK60" s="47">
        <f t="shared" si="53"/>
        <v>9.2500000000000013E-2</v>
      </c>
      <c r="AL60" s="47">
        <f t="shared" si="54"/>
        <v>9.5000000000000015E-2</v>
      </c>
      <c r="AM60" s="66"/>
      <c r="AN60" s="67"/>
      <c r="AP60" s="46" t="str">
        <f t="shared" si="55"/>
        <v>70.01%-75.00%</v>
      </c>
      <c r="AQ60" s="47">
        <f>AQ68+0.5%</f>
        <v>8.6250000000000007E-2</v>
      </c>
      <c r="AR60" s="47">
        <f>AQ60+0.25%</f>
        <v>8.8750000000000009E-2</v>
      </c>
      <c r="AS60" s="47">
        <f>AR60</f>
        <v>8.8750000000000009E-2</v>
      </c>
      <c r="AT60" s="47">
        <f>AS60+0.25%</f>
        <v>9.1250000000000012E-2</v>
      </c>
      <c r="AU60" s="47">
        <f>AT60+0.25%</f>
        <v>9.3750000000000014E-2</v>
      </c>
      <c r="AV60" s="47">
        <f>AU60+0.25%</f>
        <v>9.6250000000000016E-2</v>
      </c>
      <c r="AZ60" s="46" t="str">
        <f t="shared" si="56"/>
        <v>70.01%-75.00%</v>
      </c>
      <c r="BA60" s="47">
        <f t="shared" ref="BA60:BA71" si="63">AQ60</f>
        <v>8.6250000000000007E-2</v>
      </c>
      <c r="BB60" s="47">
        <f t="shared" ref="BB60:BB71" si="64">AR60</f>
        <v>8.8750000000000009E-2</v>
      </c>
      <c r="BC60" s="47">
        <f t="shared" ref="BC60:BC71" si="65">AS60</f>
        <v>8.8750000000000009E-2</v>
      </c>
      <c r="BD60" s="47">
        <f t="shared" ref="BD60:BD71" si="66">AT60</f>
        <v>9.1250000000000012E-2</v>
      </c>
      <c r="BE60" s="47">
        <f t="shared" ref="BE60:BE71" si="67">AU60</f>
        <v>9.3750000000000014E-2</v>
      </c>
      <c r="BF60" s="47">
        <f t="shared" ref="BF60:BF71" si="68">AV60</f>
        <v>9.6250000000000016E-2</v>
      </c>
    </row>
    <row r="61" spans="2:58" ht="15" customHeight="1" x14ac:dyDescent="0.45">
      <c r="B61" s="52" t="s">
        <v>151</v>
      </c>
      <c r="C61" s="53">
        <f t="shared" ref="C61:H61" si="69">C60+0</f>
        <v>8.3750000000000005E-2</v>
      </c>
      <c r="D61" s="53">
        <f t="shared" si="69"/>
        <v>8.6250000000000007E-2</v>
      </c>
      <c r="E61" s="53">
        <f t="shared" si="69"/>
        <v>8.6250000000000007E-2</v>
      </c>
      <c r="F61" s="53">
        <f t="shared" si="69"/>
        <v>8.8750000000000009E-2</v>
      </c>
      <c r="G61" s="53">
        <f t="shared" si="69"/>
        <v>9.1250000000000012E-2</v>
      </c>
      <c r="H61" s="53">
        <f t="shared" si="69"/>
        <v>9.3750000000000014E-2</v>
      </c>
      <c r="L61" s="52" t="s">
        <v>151</v>
      </c>
      <c r="M61" s="53">
        <f t="shared" si="57"/>
        <v>8.3750000000000005E-2</v>
      </c>
      <c r="N61" s="53">
        <f t="shared" si="58"/>
        <v>8.6250000000000007E-2</v>
      </c>
      <c r="O61" s="53">
        <f t="shared" si="59"/>
        <v>8.6250000000000007E-2</v>
      </c>
      <c r="P61" s="53">
        <f t="shared" si="60"/>
        <v>8.8750000000000009E-2</v>
      </c>
      <c r="Q61" s="53">
        <f t="shared" si="61"/>
        <v>9.1250000000000012E-2</v>
      </c>
      <c r="R61" s="53">
        <f t="shared" si="62"/>
        <v>9.3750000000000014E-2</v>
      </c>
      <c r="S61" s="68"/>
      <c r="T61" s="69"/>
      <c r="V61" s="52" t="str">
        <f t="shared" si="48"/>
        <v>FICO 700+</v>
      </c>
      <c r="W61" s="53">
        <f t="shared" ref="W61:AB61" si="70">W60+0</f>
        <v>8.5000000000000006E-2</v>
      </c>
      <c r="X61" s="53">
        <f t="shared" si="70"/>
        <v>8.7500000000000008E-2</v>
      </c>
      <c r="Y61" s="53">
        <f t="shared" si="70"/>
        <v>8.7500000000000008E-2</v>
      </c>
      <c r="Z61" s="53">
        <f t="shared" si="70"/>
        <v>9.0000000000000011E-2</v>
      </c>
      <c r="AA61" s="53">
        <f t="shared" si="70"/>
        <v>9.2500000000000013E-2</v>
      </c>
      <c r="AB61" s="53">
        <f t="shared" si="70"/>
        <v>9.5000000000000015E-2</v>
      </c>
      <c r="AF61" s="52" t="str">
        <f t="shared" si="49"/>
        <v>FICO 700+</v>
      </c>
      <c r="AG61" s="53">
        <f t="shared" si="47"/>
        <v>8.5000000000000006E-2</v>
      </c>
      <c r="AH61" s="53">
        <f t="shared" si="50"/>
        <v>8.7500000000000008E-2</v>
      </c>
      <c r="AI61" s="53">
        <f t="shared" si="51"/>
        <v>8.7500000000000008E-2</v>
      </c>
      <c r="AJ61" s="53">
        <f t="shared" si="52"/>
        <v>9.0000000000000011E-2</v>
      </c>
      <c r="AK61" s="53">
        <f t="shared" si="53"/>
        <v>9.2500000000000013E-2</v>
      </c>
      <c r="AL61" s="53">
        <f t="shared" si="54"/>
        <v>9.5000000000000015E-2</v>
      </c>
      <c r="AM61" s="68"/>
      <c r="AN61" s="69"/>
      <c r="AP61" s="52" t="str">
        <f t="shared" si="55"/>
        <v>FICO 700+</v>
      </c>
      <c r="AQ61" s="53">
        <f t="shared" ref="AQ61:AV61" si="71">AQ60+0</f>
        <v>8.6250000000000007E-2</v>
      </c>
      <c r="AR61" s="53">
        <f t="shared" si="71"/>
        <v>8.8750000000000009E-2</v>
      </c>
      <c r="AS61" s="53">
        <f t="shared" si="71"/>
        <v>8.8750000000000009E-2</v>
      </c>
      <c r="AT61" s="53">
        <f t="shared" si="71"/>
        <v>9.1250000000000012E-2</v>
      </c>
      <c r="AU61" s="53">
        <f t="shared" si="71"/>
        <v>9.3750000000000014E-2</v>
      </c>
      <c r="AV61" s="53">
        <f t="shared" si="71"/>
        <v>9.6250000000000016E-2</v>
      </c>
      <c r="AZ61" s="52" t="str">
        <f t="shared" si="56"/>
        <v>FICO 700+</v>
      </c>
      <c r="BA61" s="53">
        <f t="shared" si="63"/>
        <v>8.6250000000000007E-2</v>
      </c>
      <c r="BB61" s="53">
        <f t="shared" si="64"/>
        <v>8.8750000000000009E-2</v>
      </c>
      <c r="BC61" s="53">
        <f t="shared" si="65"/>
        <v>8.8750000000000009E-2</v>
      </c>
      <c r="BD61" s="53">
        <f t="shared" si="66"/>
        <v>9.1250000000000012E-2</v>
      </c>
      <c r="BE61" s="53">
        <f t="shared" si="67"/>
        <v>9.3750000000000014E-2</v>
      </c>
      <c r="BF61" s="53">
        <f t="shared" si="68"/>
        <v>9.6250000000000016E-2</v>
      </c>
    </row>
    <row r="62" spans="2:58" ht="15" customHeight="1" x14ac:dyDescent="0.45">
      <c r="B62" s="52" t="s">
        <v>152</v>
      </c>
      <c r="C62" s="53">
        <f t="shared" ref="C62:H62" si="72">C60+0.5%</f>
        <v>8.8750000000000009E-2</v>
      </c>
      <c r="D62" s="53">
        <f t="shared" si="72"/>
        <v>9.1250000000000012E-2</v>
      </c>
      <c r="E62" s="53">
        <f t="shared" si="72"/>
        <v>9.1250000000000012E-2</v>
      </c>
      <c r="F62" s="53">
        <f t="shared" si="72"/>
        <v>9.3750000000000014E-2</v>
      </c>
      <c r="G62" s="53">
        <f t="shared" si="72"/>
        <v>9.6250000000000016E-2</v>
      </c>
      <c r="H62" s="53">
        <f t="shared" si="72"/>
        <v>9.8750000000000018E-2</v>
      </c>
      <c r="L62" s="52" t="s">
        <v>152</v>
      </c>
      <c r="M62" s="53">
        <f t="shared" si="57"/>
        <v>8.8750000000000009E-2</v>
      </c>
      <c r="N62" s="53">
        <f t="shared" si="58"/>
        <v>9.1250000000000012E-2</v>
      </c>
      <c r="O62" s="53">
        <f t="shared" si="59"/>
        <v>9.1250000000000012E-2</v>
      </c>
      <c r="P62" s="53">
        <f t="shared" si="60"/>
        <v>9.3750000000000014E-2</v>
      </c>
      <c r="Q62" s="53">
        <f t="shared" si="61"/>
        <v>9.6250000000000016E-2</v>
      </c>
      <c r="R62" s="53">
        <f t="shared" si="62"/>
        <v>9.8750000000000018E-2</v>
      </c>
      <c r="S62" s="68"/>
      <c r="T62" s="69"/>
      <c r="V62" s="52" t="str">
        <f t="shared" si="48"/>
        <v>FICO 660-699</v>
      </c>
      <c r="W62" s="53">
        <f t="shared" ref="W62:AB62" si="73">W60+0.5%</f>
        <v>9.0000000000000011E-2</v>
      </c>
      <c r="X62" s="53">
        <f t="shared" si="73"/>
        <v>9.2500000000000013E-2</v>
      </c>
      <c r="Y62" s="53">
        <f t="shared" si="73"/>
        <v>9.2500000000000013E-2</v>
      </c>
      <c r="Z62" s="53">
        <f t="shared" si="73"/>
        <v>9.5000000000000015E-2</v>
      </c>
      <c r="AA62" s="53">
        <f t="shared" si="73"/>
        <v>9.7500000000000017E-2</v>
      </c>
      <c r="AB62" s="53">
        <f t="shared" si="73"/>
        <v>0.10000000000000002</v>
      </c>
      <c r="AF62" s="52" t="str">
        <f t="shared" si="49"/>
        <v>FICO 660-699</v>
      </c>
      <c r="AG62" s="53">
        <f t="shared" si="47"/>
        <v>9.0000000000000011E-2</v>
      </c>
      <c r="AH62" s="53">
        <f t="shared" si="50"/>
        <v>9.2500000000000013E-2</v>
      </c>
      <c r="AI62" s="53">
        <f t="shared" si="51"/>
        <v>9.2500000000000013E-2</v>
      </c>
      <c r="AJ62" s="53">
        <f t="shared" si="52"/>
        <v>9.5000000000000015E-2</v>
      </c>
      <c r="AK62" s="53">
        <f t="shared" si="53"/>
        <v>9.7500000000000017E-2</v>
      </c>
      <c r="AL62" s="53">
        <f t="shared" si="54"/>
        <v>0.10000000000000002</v>
      </c>
      <c r="AM62" s="68"/>
      <c r="AN62" s="69"/>
      <c r="AP62" s="52" t="str">
        <f t="shared" si="55"/>
        <v>FICO 660-699</v>
      </c>
      <c r="AQ62" s="53">
        <f t="shared" ref="AQ62:AV62" si="74">AQ60+0.5%</f>
        <v>9.1250000000000012E-2</v>
      </c>
      <c r="AR62" s="53">
        <f t="shared" si="74"/>
        <v>9.3750000000000014E-2</v>
      </c>
      <c r="AS62" s="53">
        <f t="shared" si="74"/>
        <v>9.3750000000000014E-2</v>
      </c>
      <c r="AT62" s="53">
        <f t="shared" si="74"/>
        <v>9.6250000000000016E-2</v>
      </c>
      <c r="AU62" s="53">
        <f t="shared" si="74"/>
        <v>9.8750000000000018E-2</v>
      </c>
      <c r="AV62" s="53">
        <f t="shared" si="74"/>
        <v>0.10125000000000002</v>
      </c>
      <c r="AZ62" s="52" t="str">
        <f t="shared" si="56"/>
        <v>FICO 660-699</v>
      </c>
      <c r="BA62" s="53">
        <f t="shared" si="63"/>
        <v>9.1250000000000012E-2</v>
      </c>
      <c r="BB62" s="53">
        <f t="shared" si="64"/>
        <v>9.3750000000000014E-2</v>
      </c>
      <c r="BC62" s="53">
        <f t="shared" si="65"/>
        <v>9.3750000000000014E-2</v>
      </c>
      <c r="BD62" s="53">
        <f t="shared" si="66"/>
        <v>9.6250000000000016E-2</v>
      </c>
      <c r="BE62" s="53">
        <f t="shared" si="67"/>
        <v>9.8750000000000018E-2</v>
      </c>
      <c r="BF62" s="53">
        <f t="shared" si="68"/>
        <v>0.10125000000000002</v>
      </c>
    </row>
    <row r="63" spans="2:58" ht="15" customHeight="1" x14ac:dyDescent="0.45">
      <c r="B63" s="57" t="s">
        <v>153</v>
      </c>
      <c r="C63" s="58">
        <f t="shared" ref="C63:H63" si="75">C60+0.75%</f>
        <v>9.1249999999999998E-2</v>
      </c>
      <c r="D63" s="58">
        <f t="shared" si="75"/>
        <v>9.375E-2</v>
      </c>
      <c r="E63" s="58">
        <f t="shared" si="75"/>
        <v>9.375E-2</v>
      </c>
      <c r="F63" s="58">
        <f t="shared" si="75"/>
        <v>9.6250000000000002E-2</v>
      </c>
      <c r="G63" s="58">
        <f t="shared" si="75"/>
        <v>9.8750000000000004E-2</v>
      </c>
      <c r="H63" s="58">
        <f t="shared" si="75"/>
        <v>0.10125000000000001</v>
      </c>
      <c r="L63" s="57" t="s">
        <v>153</v>
      </c>
      <c r="M63" s="58">
        <f t="shared" si="57"/>
        <v>9.1249999999999998E-2</v>
      </c>
      <c r="N63" s="58">
        <f t="shared" si="58"/>
        <v>9.375E-2</v>
      </c>
      <c r="O63" s="58">
        <f t="shared" si="59"/>
        <v>9.375E-2</v>
      </c>
      <c r="P63" s="58">
        <f t="shared" si="60"/>
        <v>9.6250000000000002E-2</v>
      </c>
      <c r="Q63" s="58">
        <f t="shared" si="61"/>
        <v>9.8750000000000004E-2</v>
      </c>
      <c r="R63" s="58">
        <f t="shared" si="62"/>
        <v>0.10125000000000001</v>
      </c>
      <c r="S63" s="68"/>
      <c r="T63" s="69"/>
      <c r="V63" s="57" t="str">
        <f t="shared" si="48"/>
        <v>FICO 640-659</v>
      </c>
      <c r="W63" s="58">
        <f t="shared" ref="W63:AB63" si="76">W60+0.75%</f>
        <v>9.2499999999999999E-2</v>
      </c>
      <c r="X63" s="58">
        <f t="shared" si="76"/>
        <v>9.5000000000000001E-2</v>
      </c>
      <c r="Y63" s="58">
        <f t="shared" si="76"/>
        <v>9.5000000000000001E-2</v>
      </c>
      <c r="Z63" s="58">
        <f t="shared" si="76"/>
        <v>9.7500000000000003E-2</v>
      </c>
      <c r="AA63" s="58">
        <f t="shared" si="76"/>
        <v>0.1</v>
      </c>
      <c r="AB63" s="58">
        <f t="shared" si="76"/>
        <v>0.10250000000000001</v>
      </c>
      <c r="AF63" s="57" t="str">
        <f t="shared" si="49"/>
        <v>FICO 640-659</v>
      </c>
      <c r="AG63" s="58">
        <f t="shared" si="47"/>
        <v>9.2499999999999999E-2</v>
      </c>
      <c r="AH63" s="58">
        <f t="shared" si="50"/>
        <v>9.5000000000000001E-2</v>
      </c>
      <c r="AI63" s="58">
        <f t="shared" si="51"/>
        <v>9.5000000000000001E-2</v>
      </c>
      <c r="AJ63" s="58">
        <f t="shared" si="52"/>
        <v>9.7500000000000003E-2</v>
      </c>
      <c r="AK63" s="58">
        <f t="shared" si="53"/>
        <v>0.1</v>
      </c>
      <c r="AL63" s="58">
        <f t="shared" si="54"/>
        <v>0.10250000000000001</v>
      </c>
      <c r="AM63" s="68"/>
      <c r="AN63" s="69"/>
      <c r="AP63" s="57" t="str">
        <f t="shared" si="55"/>
        <v>FICO 640-659</v>
      </c>
      <c r="AQ63" s="58">
        <f t="shared" ref="AQ63:AV63" si="77">AQ60+0.75%</f>
        <v>9.375E-2</v>
      </c>
      <c r="AR63" s="58">
        <f t="shared" si="77"/>
        <v>9.6250000000000002E-2</v>
      </c>
      <c r="AS63" s="58">
        <f t="shared" si="77"/>
        <v>9.6250000000000002E-2</v>
      </c>
      <c r="AT63" s="58">
        <f t="shared" si="77"/>
        <v>9.8750000000000004E-2</v>
      </c>
      <c r="AU63" s="58">
        <f t="shared" si="77"/>
        <v>0.10125000000000001</v>
      </c>
      <c r="AV63" s="58">
        <f t="shared" si="77"/>
        <v>0.10375000000000001</v>
      </c>
      <c r="AZ63" s="57" t="str">
        <f t="shared" si="56"/>
        <v>FICO 640-659</v>
      </c>
      <c r="BA63" s="58">
        <f t="shared" si="63"/>
        <v>9.375E-2</v>
      </c>
      <c r="BB63" s="58">
        <f t="shared" si="64"/>
        <v>9.6250000000000002E-2</v>
      </c>
      <c r="BC63" s="58">
        <f t="shared" si="65"/>
        <v>9.6250000000000002E-2</v>
      </c>
      <c r="BD63" s="58">
        <f t="shared" si="66"/>
        <v>9.8750000000000004E-2</v>
      </c>
      <c r="BE63" s="58">
        <f t="shared" si="67"/>
        <v>0.10125000000000001</v>
      </c>
      <c r="BF63" s="58">
        <f t="shared" si="68"/>
        <v>0.10375000000000001</v>
      </c>
    </row>
    <row r="64" spans="2:58" ht="15" customHeight="1" x14ac:dyDescent="0.45">
      <c r="B64" s="60" t="s">
        <v>154</v>
      </c>
      <c r="C64" s="48">
        <f>C68+0.25%</f>
        <v>8.1250000000000003E-2</v>
      </c>
      <c r="D64" s="48">
        <f>C64+0.25%</f>
        <v>8.3750000000000005E-2</v>
      </c>
      <c r="E64" s="47">
        <f>D64</f>
        <v>8.3750000000000005E-2</v>
      </c>
      <c r="F64" s="48">
        <f>E64+0.25%</f>
        <v>8.6250000000000007E-2</v>
      </c>
      <c r="G64" s="48">
        <f>F64+0.25%</f>
        <v>8.8750000000000009E-2</v>
      </c>
      <c r="H64" s="48">
        <f>G64+0.25%</f>
        <v>9.1250000000000012E-2</v>
      </c>
      <c r="L64" s="60" t="s">
        <v>154</v>
      </c>
      <c r="M64" s="48">
        <f t="shared" si="57"/>
        <v>8.1250000000000003E-2</v>
      </c>
      <c r="N64" s="48">
        <f t="shared" si="58"/>
        <v>8.3750000000000005E-2</v>
      </c>
      <c r="O64" s="47">
        <f t="shared" si="59"/>
        <v>8.3750000000000005E-2</v>
      </c>
      <c r="P64" s="48">
        <f t="shared" si="60"/>
        <v>8.6250000000000007E-2</v>
      </c>
      <c r="Q64" s="48">
        <f t="shared" si="61"/>
        <v>8.8750000000000009E-2</v>
      </c>
      <c r="R64" s="48">
        <f t="shared" si="62"/>
        <v>9.1250000000000012E-2</v>
      </c>
      <c r="S64" s="66"/>
      <c r="T64" s="67"/>
      <c r="V64" s="60" t="str">
        <f t="shared" si="48"/>
        <v>65.00%-70.00%</v>
      </c>
      <c r="W64" s="48">
        <f>W68+0.25%</f>
        <v>8.2500000000000004E-2</v>
      </c>
      <c r="X64" s="48">
        <f>W64+0.25%</f>
        <v>8.5000000000000006E-2</v>
      </c>
      <c r="Y64" s="47">
        <f>X64</f>
        <v>8.5000000000000006E-2</v>
      </c>
      <c r="Z64" s="48">
        <f>Y64+0.25%</f>
        <v>8.7500000000000008E-2</v>
      </c>
      <c r="AA64" s="48">
        <f>Z64+0.25%</f>
        <v>9.0000000000000011E-2</v>
      </c>
      <c r="AB64" s="48">
        <f>AA64+0.25%</f>
        <v>9.2500000000000013E-2</v>
      </c>
      <c r="AF64" s="60" t="str">
        <f t="shared" si="49"/>
        <v>65.00%-70.00%</v>
      </c>
      <c r="AG64" s="48">
        <f t="shared" si="47"/>
        <v>8.2500000000000004E-2</v>
      </c>
      <c r="AH64" s="48">
        <f t="shared" si="50"/>
        <v>8.5000000000000006E-2</v>
      </c>
      <c r="AI64" s="47">
        <f t="shared" si="51"/>
        <v>8.5000000000000006E-2</v>
      </c>
      <c r="AJ64" s="48">
        <f t="shared" si="52"/>
        <v>8.7500000000000008E-2</v>
      </c>
      <c r="AK64" s="48">
        <f t="shared" si="53"/>
        <v>9.0000000000000011E-2</v>
      </c>
      <c r="AL64" s="48">
        <f t="shared" si="54"/>
        <v>9.2500000000000013E-2</v>
      </c>
      <c r="AM64" s="66"/>
      <c r="AN64" s="67"/>
      <c r="AP64" s="60" t="str">
        <f t="shared" si="55"/>
        <v>65.00%-70.00%</v>
      </c>
      <c r="AQ64" s="48">
        <f>AQ68+0.25%</f>
        <v>8.3750000000000005E-2</v>
      </c>
      <c r="AR64" s="48">
        <f>AQ64+0.25%</f>
        <v>8.6250000000000007E-2</v>
      </c>
      <c r="AS64" s="47">
        <f>AR64</f>
        <v>8.6250000000000007E-2</v>
      </c>
      <c r="AT64" s="48">
        <f>AS64+0.25%</f>
        <v>8.8750000000000009E-2</v>
      </c>
      <c r="AU64" s="48">
        <f>AT64+0.25%</f>
        <v>9.1250000000000012E-2</v>
      </c>
      <c r="AV64" s="48">
        <f>AU64+0.25%</f>
        <v>9.3750000000000014E-2</v>
      </c>
      <c r="AZ64" s="60" t="str">
        <f t="shared" si="56"/>
        <v>65.00%-70.00%</v>
      </c>
      <c r="BA64" s="48">
        <f t="shared" si="63"/>
        <v>8.3750000000000005E-2</v>
      </c>
      <c r="BB64" s="48">
        <f t="shared" si="64"/>
        <v>8.6250000000000007E-2</v>
      </c>
      <c r="BC64" s="47">
        <f t="shared" si="65"/>
        <v>8.6250000000000007E-2</v>
      </c>
      <c r="BD64" s="48">
        <f t="shared" si="66"/>
        <v>8.8750000000000009E-2</v>
      </c>
      <c r="BE64" s="48">
        <f t="shared" si="67"/>
        <v>9.1250000000000012E-2</v>
      </c>
      <c r="BF64" s="48">
        <f t="shared" si="68"/>
        <v>9.3750000000000014E-2</v>
      </c>
    </row>
    <row r="65" spans="2:58" ht="15" customHeight="1" x14ac:dyDescent="0.45">
      <c r="B65" s="52" t="s">
        <v>151</v>
      </c>
      <c r="C65" s="53">
        <f t="shared" ref="C65:H65" si="78">C64+0</f>
        <v>8.1250000000000003E-2</v>
      </c>
      <c r="D65" s="53">
        <f t="shared" si="78"/>
        <v>8.3750000000000005E-2</v>
      </c>
      <c r="E65" s="53">
        <f t="shared" si="78"/>
        <v>8.3750000000000005E-2</v>
      </c>
      <c r="F65" s="53">
        <f t="shared" si="78"/>
        <v>8.6250000000000007E-2</v>
      </c>
      <c r="G65" s="53">
        <f t="shared" si="78"/>
        <v>8.8750000000000009E-2</v>
      </c>
      <c r="H65" s="53">
        <f t="shared" si="78"/>
        <v>9.1250000000000012E-2</v>
      </c>
      <c r="L65" s="52" t="s">
        <v>151</v>
      </c>
      <c r="M65" s="53">
        <f t="shared" si="57"/>
        <v>8.1250000000000003E-2</v>
      </c>
      <c r="N65" s="53">
        <f t="shared" si="58"/>
        <v>8.3750000000000005E-2</v>
      </c>
      <c r="O65" s="53">
        <f t="shared" si="59"/>
        <v>8.3750000000000005E-2</v>
      </c>
      <c r="P65" s="53">
        <f t="shared" si="60"/>
        <v>8.6250000000000007E-2</v>
      </c>
      <c r="Q65" s="53">
        <f t="shared" si="61"/>
        <v>8.8750000000000009E-2</v>
      </c>
      <c r="R65" s="53">
        <f t="shared" si="62"/>
        <v>9.1250000000000012E-2</v>
      </c>
      <c r="S65" s="68"/>
      <c r="T65" s="69"/>
      <c r="V65" s="52" t="str">
        <f t="shared" si="48"/>
        <v>FICO 700+</v>
      </c>
      <c r="W65" s="53">
        <f t="shared" ref="W65:AB65" si="79">W64+0</f>
        <v>8.2500000000000004E-2</v>
      </c>
      <c r="X65" s="53">
        <f t="shared" si="79"/>
        <v>8.5000000000000006E-2</v>
      </c>
      <c r="Y65" s="53">
        <f t="shared" si="79"/>
        <v>8.5000000000000006E-2</v>
      </c>
      <c r="Z65" s="53">
        <f t="shared" si="79"/>
        <v>8.7500000000000008E-2</v>
      </c>
      <c r="AA65" s="53">
        <f t="shared" si="79"/>
        <v>9.0000000000000011E-2</v>
      </c>
      <c r="AB65" s="53">
        <f t="shared" si="79"/>
        <v>9.2500000000000013E-2</v>
      </c>
      <c r="AF65" s="52" t="str">
        <f t="shared" si="49"/>
        <v>FICO 700+</v>
      </c>
      <c r="AG65" s="53">
        <f t="shared" si="47"/>
        <v>8.2500000000000004E-2</v>
      </c>
      <c r="AH65" s="53">
        <f t="shared" si="50"/>
        <v>8.5000000000000006E-2</v>
      </c>
      <c r="AI65" s="53">
        <f t="shared" si="51"/>
        <v>8.5000000000000006E-2</v>
      </c>
      <c r="AJ65" s="53">
        <f t="shared" si="52"/>
        <v>8.7500000000000008E-2</v>
      </c>
      <c r="AK65" s="53">
        <f t="shared" si="53"/>
        <v>9.0000000000000011E-2</v>
      </c>
      <c r="AL65" s="53">
        <f t="shared" si="54"/>
        <v>9.2500000000000013E-2</v>
      </c>
      <c r="AM65" s="68"/>
      <c r="AN65" s="69"/>
      <c r="AP65" s="52" t="str">
        <f t="shared" si="55"/>
        <v>FICO 700+</v>
      </c>
      <c r="AQ65" s="53">
        <f t="shared" ref="AQ65:AV65" si="80">AQ64+0</f>
        <v>8.3750000000000005E-2</v>
      </c>
      <c r="AR65" s="53">
        <f t="shared" si="80"/>
        <v>8.6250000000000007E-2</v>
      </c>
      <c r="AS65" s="53">
        <f t="shared" si="80"/>
        <v>8.6250000000000007E-2</v>
      </c>
      <c r="AT65" s="53">
        <f t="shared" si="80"/>
        <v>8.8750000000000009E-2</v>
      </c>
      <c r="AU65" s="53">
        <f t="shared" si="80"/>
        <v>9.1250000000000012E-2</v>
      </c>
      <c r="AV65" s="53">
        <f t="shared" si="80"/>
        <v>9.3750000000000014E-2</v>
      </c>
      <c r="AZ65" s="52" t="str">
        <f t="shared" si="56"/>
        <v>FICO 700+</v>
      </c>
      <c r="BA65" s="53">
        <f t="shared" si="63"/>
        <v>8.3750000000000005E-2</v>
      </c>
      <c r="BB65" s="53">
        <f t="shared" si="64"/>
        <v>8.6250000000000007E-2</v>
      </c>
      <c r="BC65" s="53">
        <f t="shared" si="65"/>
        <v>8.6250000000000007E-2</v>
      </c>
      <c r="BD65" s="53">
        <f t="shared" si="66"/>
        <v>8.8750000000000009E-2</v>
      </c>
      <c r="BE65" s="53">
        <f t="shared" si="67"/>
        <v>9.1250000000000012E-2</v>
      </c>
      <c r="BF65" s="53">
        <f t="shared" si="68"/>
        <v>9.3750000000000014E-2</v>
      </c>
    </row>
    <row r="66" spans="2:58" ht="15" customHeight="1" x14ac:dyDescent="0.45">
      <c r="B66" s="52" t="s">
        <v>152</v>
      </c>
      <c r="C66" s="53">
        <f t="shared" ref="C66:H66" si="81">C64+0.5%</f>
        <v>8.6250000000000007E-2</v>
      </c>
      <c r="D66" s="53">
        <f t="shared" si="81"/>
        <v>8.8750000000000009E-2</v>
      </c>
      <c r="E66" s="53">
        <f t="shared" si="81"/>
        <v>8.8750000000000009E-2</v>
      </c>
      <c r="F66" s="53">
        <f t="shared" si="81"/>
        <v>9.1250000000000012E-2</v>
      </c>
      <c r="G66" s="53">
        <f t="shared" si="81"/>
        <v>9.3750000000000014E-2</v>
      </c>
      <c r="H66" s="53">
        <f t="shared" si="81"/>
        <v>9.6250000000000016E-2</v>
      </c>
      <c r="L66" s="52" t="s">
        <v>152</v>
      </c>
      <c r="M66" s="53">
        <f t="shared" si="57"/>
        <v>8.6250000000000007E-2</v>
      </c>
      <c r="N66" s="53">
        <f t="shared" si="58"/>
        <v>8.8750000000000009E-2</v>
      </c>
      <c r="O66" s="53">
        <f t="shared" si="59"/>
        <v>8.8750000000000009E-2</v>
      </c>
      <c r="P66" s="53">
        <f t="shared" si="60"/>
        <v>9.1250000000000012E-2</v>
      </c>
      <c r="Q66" s="53">
        <f t="shared" si="61"/>
        <v>9.3750000000000014E-2</v>
      </c>
      <c r="R66" s="53">
        <f t="shared" si="62"/>
        <v>9.6250000000000016E-2</v>
      </c>
      <c r="S66" s="68"/>
      <c r="T66" s="69"/>
      <c r="V66" s="52" t="str">
        <f t="shared" si="48"/>
        <v>FICO 660-699</v>
      </c>
      <c r="W66" s="53">
        <f t="shared" ref="W66:AB66" si="82">W64+0.5%</f>
        <v>8.7500000000000008E-2</v>
      </c>
      <c r="X66" s="53">
        <f t="shared" si="82"/>
        <v>9.0000000000000011E-2</v>
      </c>
      <c r="Y66" s="53">
        <f t="shared" si="82"/>
        <v>9.0000000000000011E-2</v>
      </c>
      <c r="Z66" s="53">
        <f t="shared" si="82"/>
        <v>9.2500000000000013E-2</v>
      </c>
      <c r="AA66" s="53">
        <f t="shared" si="82"/>
        <v>9.5000000000000015E-2</v>
      </c>
      <c r="AB66" s="53">
        <f t="shared" si="82"/>
        <v>9.7500000000000017E-2</v>
      </c>
      <c r="AF66" s="52" t="str">
        <f t="shared" si="49"/>
        <v>FICO 660-699</v>
      </c>
      <c r="AG66" s="53">
        <f t="shared" si="47"/>
        <v>8.7500000000000008E-2</v>
      </c>
      <c r="AH66" s="53">
        <f t="shared" si="50"/>
        <v>9.0000000000000011E-2</v>
      </c>
      <c r="AI66" s="53">
        <f t="shared" si="51"/>
        <v>9.0000000000000011E-2</v>
      </c>
      <c r="AJ66" s="53">
        <f t="shared" si="52"/>
        <v>9.2500000000000013E-2</v>
      </c>
      <c r="AK66" s="53">
        <f t="shared" si="53"/>
        <v>9.5000000000000015E-2</v>
      </c>
      <c r="AL66" s="53">
        <f t="shared" si="54"/>
        <v>9.7500000000000017E-2</v>
      </c>
      <c r="AM66" s="68"/>
      <c r="AN66" s="69"/>
      <c r="AP66" s="52" t="str">
        <f t="shared" si="55"/>
        <v>FICO 660-699</v>
      </c>
      <c r="AQ66" s="53">
        <f t="shared" ref="AQ66:AV66" si="83">AQ64+0.5%</f>
        <v>8.8750000000000009E-2</v>
      </c>
      <c r="AR66" s="53">
        <f t="shared" si="83"/>
        <v>9.1250000000000012E-2</v>
      </c>
      <c r="AS66" s="53">
        <f t="shared" si="83"/>
        <v>9.1250000000000012E-2</v>
      </c>
      <c r="AT66" s="53">
        <f t="shared" si="83"/>
        <v>9.3750000000000014E-2</v>
      </c>
      <c r="AU66" s="53">
        <f t="shared" si="83"/>
        <v>9.6250000000000016E-2</v>
      </c>
      <c r="AV66" s="53">
        <f t="shared" si="83"/>
        <v>9.8750000000000018E-2</v>
      </c>
      <c r="AZ66" s="52" t="str">
        <f t="shared" si="56"/>
        <v>FICO 660-699</v>
      </c>
      <c r="BA66" s="53">
        <f t="shared" si="63"/>
        <v>8.8750000000000009E-2</v>
      </c>
      <c r="BB66" s="53">
        <f t="shared" si="64"/>
        <v>9.1250000000000012E-2</v>
      </c>
      <c r="BC66" s="53">
        <f t="shared" si="65"/>
        <v>9.1250000000000012E-2</v>
      </c>
      <c r="BD66" s="53">
        <f t="shared" si="66"/>
        <v>9.3750000000000014E-2</v>
      </c>
      <c r="BE66" s="53">
        <f t="shared" si="67"/>
        <v>9.6250000000000016E-2</v>
      </c>
      <c r="BF66" s="53">
        <f t="shared" si="68"/>
        <v>9.8750000000000018E-2</v>
      </c>
    </row>
    <row r="67" spans="2:58" ht="15" customHeight="1" x14ac:dyDescent="0.45">
      <c r="B67" s="57" t="s">
        <v>153</v>
      </c>
      <c r="C67" s="58">
        <f t="shared" ref="C67:H67" si="84">C64+0.75%</f>
        <v>8.8749999999999996E-2</v>
      </c>
      <c r="D67" s="58">
        <f t="shared" si="84"/>
        <v>9.1249999999999998E-2</v>
      </c>
      <c r="E67" s="58">
        <f t="shared" si="84"/>
        <v>9.1249999999999998E-2</v>
      </c>
      <c r="F67" s="58">
        <f t="shared" si="84"/>
        <v>9.375E-2</v>
      </c>
      <c r="G67" s="58">
        <f t="shared" si="84"/>
        <v>9.6250000000000002E-2</v>
      </c>
      <c r="H67" s="58">
        <f t="shared" si="84"/>
        <v>9.8750000000000004E-2</v>
      </c>
      <c r="L67" s="57" t="s">
        <v>153</v>
      </c>
      <c r="M67" s="58">
        <f t="shared" si="57"/>
        <v>8.8749999999999996E-2</v>
      </c>
      <c r="N67" s="58">
        <f t="shared" si="58"/>
        <v>9.1249999999999998E-2</v>
      </c>
      <c r="O67" s="58">
        <f t="shared" si="59"/>
        <v>9.1249999999999998E-2</v>
      </c>
      <c r="P67" s="58">
        <f t="shared" si="60"/>
        <v>9.375E-2</v>
      </c>
      <c r="Q67" s="58">
        <f t="shared" si="61"/>
        <v>9.6250000000000002E-2</v>
      </c>
      <c r="R67" s="58">
        <f t="shared" si="62"/>
        <v>9.8750000000000004E-2</v>
      </c>
      <c r="S67" s="68"/>
      <c r="T67" s="69"/>
      <c r="V67" s="57" t="str">
        <f t="shared" si="48"/>
        <v>FICO 640-659</v>
      </c>
      <c r="W67" s="58">
        <f t="shared" ref="W67:AB67" si="85">W64+0.75%</f>
        <v>0.09</v>
      </c>
      <c r="X67" s="58">
        <f t="shared" si="85"/>
        <v>9.2499999999999999E-2</v>
      </c>
      <c r="Y67" s="58">
        <f t="shared" si="85"/>
        <v>9.2499999999999999E-2</v>
      </c>
      <c r="Z67" s="58">
        <f t="shared" si="85"/>
        <v>9.5000000000000001E-2</v>
      </c>
      <c r="AA67" s="58">
        <f t="shared" si="85"/>
        <v>9.7500000000000003E-2</v>
      </c>
      <c r="AB67" s="58">
        <f t="shared" si="85"/>
        <v>0.1</v>
      </c>
      <c r="AF67" s="57" t="str">
        <f t="shared" si="49"/>
        <v>FICO 640-659</v>
      </c>
      <c r="AG67" s="58">
        <f t="shared" si="47"/>
        <v>0.09</v>
      </c>
      <c r="AH67" s="58">
        <f t="shared" si="50"/>
        <v>9.2499999999999999E-2</v>
      </c>
      <c r="AI67" s="58">
        <f t="shared" si="51"/>
        <v>9.2499999999999999E-2</v>
      </c>
      <c r="AJ67" s="58">
        <f t="shared" si="52"/>
        <v>9.5000000000000001E-2</v>
      </c>
      <c r="AK67" s="58">
        <f t="shared" si="53"/>
        <v>9.7500000000000003E-2</v>
      </c>
      <c r="AL67" s="58">
        <f t="shared" si="54"/>
        <v>0.1</v>
      </c>
      <c r="AM67" s="68"/>
      <c r="AN67" s="69"/>
      <c r="AP67" s="57" t="str">
        <f t="shared" si="55"/>
        <v>FICO 640-659</v>
      </c>
      <c r="AQ67" s="58">
        <f t="shared" ref="AQ67:AV67" si="86">AQ64+0.75%</f>
        <v>9.1249999999999998E-2</v>
      </c>
      <c r="AR67" s="58">
        <f t="shared" si="86"/>
        <v>9.375E-2</v>
      </c>
      <c r="AS67" s="58">
        <f t="shared" si="86"/>
        <v>9.375E-2</v>
      </c>
      <c r="AT67" s="58">
        <f t="shared" si="86"/>
        <v>9.6250000000000002E-2</v>
      </c>
      <c r="AU67" s="58">
        <f t="shared" si="86"/>
        <v>9.8750000000000004E-2</v>
      </c>
      <c r="AV67" s="58">
        <f t="shared" si="86"/>
        <v>0.10125000000000001</v>
      </c>
      <c r="AZ67" s="57" t="str">
        <f t="shared" si="56"/>
        <v>FICO 640-659</v>
      </c>
      <c r="BA67" s="58">
        <f t="shared" si="63"/>
        <v>9.1249999999999998E-2</v>
      </c>
      <c r="BB67" s="58">
        <f t="shared" si="64"/>
        <v>9.375E-2</v>
      </c>
      <c r="BC67" s="58">
        <f t="shared" si="65"/>
        <v>9.375E-2</v>
      </c>
      <c r="BD67" s="58">
        <f t="shared" si="66"/>
        <v>9.6250000000000002E-2</v>
      </c>
      <c r="BE67" s="58">
        <f t="shared" si="67"/>
        <v>9.8750000000000004E-2</v>
      </c>
      <c r="BF67" s="58">
        <f t="shared" si="68"/>
        <v>0.10125000000000001</v>
      </c>
    </row>
    <row r="68" spans="2:58" ht="15" customHeight="1" x14ac:dyDescent="0.45">
      <c r="B68" s="46" t="s">
        <v>155</v>
      </c>
      <c r="C68" s="61">
        <v>7.8750000000000001E-2</v>
      </c>
      <c r="D68" s="48">
        <f>C68+0.25%</f>
        <v>8.1250000000000003E-2</v>
      </c>
      <c r="E68" s="47">
        <f>D68</f>
        <v>8.1250000000000003E-2</v>
      </c>
      <c r="F68" s="48">
        <f>E68+0.25%</f>
        <v>8.3750000000000005E-2</v>
      </c>
      <c r="G68" s="48">
        <f>F68+0.25%</f>
        <v>8.6250000000000007E-2</v>
      </c>
      <c r="H68" s="48">
        <f>G68+0.25%</f>
        <v>8.8750000000000009E-2</v>
      </c>
      <c r="L68" s="60" t="s">
        <v>155</v>
      </c>
      <c r="M68" s="62">
        <f t="shared" si="57"/>
        <v>7.8750000000000001E-2</v>
      </c>
      <c r="N68" s="48">
        <f t="shared" si="58"/>
        <v>8.1250000000000003E-2</v>
      </c>
      <c r="O68" s="47">
        <f t="shared" si="59"/>
        <v>8.1250000000000003E-2</v>
      </c>
      <c r="P68" s="48">
        <f t="shared" si="60"/>
        <v>8.3750000000000005E-2</v>
      </c>
      <c r="Q68" s="48">
        <f t="shared" si="61"/>
        <v>8.6250000000000007E-2</v>
      </c>
      <c r="R68" s="48">
        <f t="shared" si="62"/>
        <v>8.8750000000000009E-2</v>
      </c>
      <c r="S68" s="66"/>
      <c r="T68" s="67"/>
      <c r="V68" s="60" t="str">
        <f t="shared" si="48"/>
        <v>&lt;64.99%</v>
      </c>
      <c r="W68" s="62">
        <f>C68+0.125%</f>
        <v>0.08</v>
      </c>
      <c r="X68" s="48">
        <f>W68+0.25%</f>
        <v>8.2500000000000004E-2</v>
      </c>
      <c r="Y68" s="47">
        <f>X68</f>
        <v>8.2500000000000004E-2</v>
      </c>
      <c r="Z68" s="48">
        <f>Y68+0.25%</f>
        <v>8.5000000000000006E-2</v>
      </c>
      <c r="AA68" s="48">
        <f>Z68+0.25%</f>
        <v>8.7500000000000008E-2</v>
      </c>
      <c r="AB68" s="48">
        <f>AA68+0.25%</f>
        <v>9.0000000000000011E-2</v>
      </c>
      <c r="AF68" s="60" t="str">
        <f t="shared" si="49"/>
        <v>&lt;64.99%</v>
      </c>
      <c r="AG68" s="62">
        <f t="shared" si="47"/>
        <v>0.08</v>
      </c>
      <c r="AH68" s="48">
        <f t="shared" si="50"/>
        <v>8.2500000000000004E-2</v>
      </c>
      <c r="AI68" s="47">
        <f t="shared" si="51"/>
        <v>8.2500000000000004E-2</v>
      </c>
      <c r="AJ68" s="48">
        <f t="shared" si="52"/>
        <v>8.5000000000000006E-2</v>
      </c>
      <c r="AK68" s="48">
        <f t="shared" si="53"/>
        <v>8.7500000000000008E-2</v>
      </c>
      <c r="AL68" s="48">
        <f t="shared" si="54"/>
        <v>9.0000000000000011E-2</v>
      </c>
      <c r="AM68" s="66"/>
      <c r="AN68" s="67"/>
      <c r="AP68" s="60" t="str">
        <f t="shared" si="55"/>
        <v>&lt;64.99%</v>
      </c>
      <c r="AQ68" s="62">
        <f>W68+0.125%</f>
        <v>8.1250000000000003E-2</v>
      </c>
      <c r="AR68" s="48">
        <f>AQ68+0.25%</f>
        <v>8.3750000000000005E-2</v>
      </c>
      <c r="AS68" s="47">
        <f>AR68</f>
        <v>8.3750000000000005E-2</v>
      </c>
      <c r="AT68" s="48">
        <f>AS68+0.25%</f>
        <v>8.6250000000000007E-2</v>
      </c>
      <c r="AU68" s="48">
        <f>AT68+0.25%</f>
        <v>8.8750000000000009E-2</v>
      </c>
      <c r="AV68" s="48">
        <f>AU68+0.25%</f>
        <v>9.1250000000000012E-2</v>
      </c>
      <c r="AZ68" s="60" t="str">
        <f t="shared" si="56"/>
        <v>&lt;64.99%</v>
      </c>
      <c r="BA68" s="62">
        <f t="shared" si="63"/>
        <v>8.1250000000000003E-2</v>
      </c>
      <c r="BB68" s="48">
        <f t="shared" si="64"/>
        <v>8.3750000000000005E-2</v>
      </c>
      <c r="BC68" s="47">
        <f t="shared" si="65"/>
        <v>8.3750000000000005E-2</v>
      </c>
      <c r="BD68" s="48">
        <f t="shared" si="66"/>
        <v>8.6250000000000007E-2</v>
      </c>
      <c r="BE68" s="48">
        <f t="shared" si="67"/>
        <v>8.8750000000000009E-2</v>
      </c>
      <c r="BF68" s="48">
        <f t="shared" si="68"/>
        <v>9.1250000000000012E-2</v>
      </c>
    </row>
    <row r="69" spans="2:58" ht="15" customHeight="1" x14ac:dyDescent="0.45">
      <c r="B69" s="52" t="s">
        <v>151</v>
      </c>
      <c r="C69" s="53">
        <f t="shared" ref="C69:H69" si="87">C68+0</f>
        <v>7.8750000000000001E-2</v>
      </c>
      <c r="D69" s="53">
        <f t="shared" si="87"/>
        <v>8.1250000000000003E-2</v>
      </c>
      <c r="E69" s="53">
        <f t="shared" si="87"/>
        <v>8.1250000000000003E-2</v>
      </c>
      <c r="F69" s="53">
        <f t="shared" si="87"/>
        <v>8.3750000000000005E-2</v>
      </c>
      <c r="G69" s="53">
        <f t="shared" si="87"/>
        <v>8.6250000000000007E-2</v>
      </c>
      <c r="H69" s="53">
        <f t="shared" si="87"/>
        <v>8.8750000000000009E-2</v>
      </c>
      <c r="L69" s="52" t="s">
        <v>151</v>
      </c>
      <c r="M69" s="53">
        <f t="shared" si="57"/>
        <v>7.8750000000000001E-2</v>
      </c>
      <c r="N69" s="53">
        <f t="shared" si="58"/>
        <v>8.1250000000000003E-2</v>
      </c>
      <c r="O69" s="53">
        <f t="shared" si="59"/>
        <v>8.1250000000000003E-2</v>
      </c>
      <c r="P69" s="53">
        <f t="shared" si="60"/>
        <v>8.3750000000000005E-2</v>
      </c>
      <c r="Q69" s="53">
        <f t="shared" si="61"/>
        <v>8.6250000000000007E-2</v>
      </c>
      <c r="R69" s="53">
        <f t="shared" si="62"/>
        <v>8.8750000000000009E-2</v>
      </c>
      <c r="S69" s="68"/>
      <c r="T69" s="69"/>
      <c r="V69" s="52" t="str">
        <f t="shared" si="48"/>
        <v>FICO 700+</v>
      </c>
      <c r="W69" s="53">
        <f t="shared" ref="W69:AB69" si="88">W68+0</f>
        <v>0.08</v>
      </c>
      <c r="X69" s="53">
        <f t="shared" si="88"/>
        <v>8.2500000000000004E-2</v>
      </c>
      <c r="Y69" s="53">
        <f t="shared" si="88"/>
        <v>8.2500000000000004E-2</v>
      </c>
      <c r="Z69" s="53">
        <f t="shared" si="88"/>
        <v>8.5000000000000006E-2</v>
      </c>
      <c r="AA69" s="53">
        <f t="shared" si="88"/>
        <v>8.7500000000000008E-2</v>
      </c>
      <c r="AB69" s="53">
        <f t="shared" si="88"/>
        <v>9.0000000000000011E-2</v>
      </c>
      <c r="AF69" s="52" t="str">
        <f t="shared" si="49"/>
        <v>FICO 700+</v>
      </c>
      <c r="AG69" s="53">
        <f t="shared" si="47"/>
        <v>0.08</v>
      </c>
      <c r="AH69" s="53">
        <f t="shared" si="50"/>
        <v>8.2500000000000004E-2</v>
      </c>
      <c r="AI69" s="53">
        <f t="shared" si="51"/>
        <v>8.2500000000000004E-2</v>
      </c>
      <c r="AJ69" s="53">
        <f t="shared" si="52"/>
        <v>8.5000000000000006E-2</v>
      </c>
      <c r="AK69" s="53">
        <f t="shared" si="53"/>
        <v>8.7500000000000008E-2</v>
      </c>
      <c r="AL69" s="53">
        <f t="shared" si="54"/>
        <v>9.0000000000000011E-2</v>
      </c>
      <c r="AM69" s="68"/>
      <c r="AN69" s="69"/>
      <c r="AP69" s="52" t="str">
        <f t="shared" si="55"/>
        <v>FICO 700+</v>
      </c>
      <c r="AQ69" s="53">
        <f t="shared" ref="AQ69:AV69" si="89">AQ68+0</f>
        <v>8.1250000000000003E-2</v>
      </c>
      <c r="AR69" s="53">
        <f t="shared" si="89"/>
        <v>8.3750000000000005E-2</v>
      </c>
      <c r="AS69" s="53">
        <f t="shared" si="89"/>
        <v>8.3750000000000005E-2</v>
      </c>
      <c r="AT69" s="53">
        <f t="shared" si="89"/>
        <v>8.6250000000000007E-2</v>
      </c>
      <c r="AU69" s="53">
        <f t="shared" si="89"/>
        <v>8.8750000000000009E-2</v>
      </c>
      <c r="AV69" s="53">
        <f t="shared" si="89"/>
        <v>9.1250000000000012E-2</v>
      </c>
      <c r="AZ69" s="52" t="str">
        <f t="shared" si="56"/>
        <v>FICO 700+</v>
      </c>
      <c r="BA69" s="53">
        <f t="shared" si="63"/>
        <v>8.1250000000000003E-2</v>
      </c>
      <c r="BB69" s="53">
        <f t="shared" si="64"/>
        <v>8.3750000000000005E-2</v>
      </c>
      <c r="BC69" s="53">
        <f t="shared" si="65"/>
        <v>8.3750000000000005E-2</v>
      </c>
      <c r="BD69" s="53">
        <f t="shared" si="66"/>
        <v>8.6250000000000007E-2</v>
      </c>
      <c r="BE69" s="53">
        <f t="shared" si="67"/>
        <v>8.8750000000000009E-2</v>
      </c>
      <c r="BF69" s="53">
        <f t="shared" si="68"/>
        <v>9.1250000000000012E-2</v>
      </c>
    </row>
    <row r="70" spans="2:58" ht="15" customHeight="1" x14ac:dyDescent="0.45">
      <c r="B70" s="52" t="s">
        <v>152</v>
      </c>
      <c r="C70" s="53">
        <f t="shared" ref="C70:H70" si="90">C68+0.5%</f>
        <v>8.3750000000000005E-2</v>
      </c>
      <c r="D70" s="53">
        <f t="shared" si="90"/>
        <v>8.6250000000000007E-2</v>
      </c>
      <c r="E70" s="53">
        <f t="shared" si="90"/>
        <v>8.6250000000000007E-2</v>
      </c>
      <c r="F70" s="53">
        <f t="shared" si="90"/>
        <v>8.8750000000000009E-2</v>
      </c>
      <c r="G70" s="53">
        <f t="shared" si="90"/>
        <v>9.1250000000000012E-2</v>
      </c>
      <c r="H70" s="53">
        <f t="shared" si="90"/>
        <v>9.3750000000000014E-2</v>
      </c>
      <c r="L70" s="52" t="s">
        <v>152</v>
      </c>
      <c r="M70" s="53">
        <f t="shared" si="57"/>
        <v>8.3750000000000005E-2</v>
      </c>
      <c r="N70" s="53">
        <f t="shared" si="58"/>
        <v>8.6250000000000007E-2</v>
      </c>
      <c r="O70" s="53">
        <f t="shared" si="59"/>
        <v>8.6250000000000007E-2</v>
      </c>
      <c r="P70" s="53">
        <f t="shared" si="60"/>
        <v>8.8750000000000009E-2</v>
      </c>
      <c r="Q70" s="53">
        <f t="shared" si="61"/>
        <v>9.1250000000000012E-2</v>
      </c>
      <c r="R70" s="53">
        <f t="shared" si="62"/>
        <v>9.3750000000000014E-2</v>
      </c>
      <c r="S70" s="68"/>
      <c r="T70" s="69"/>
      <c r="V70" s="52" t="str">
        <f t="shared" si="48"/>
        <v>FICO 660-699</v>
      </c>
      <c r="W70" s="53">
        <f t="shared" ref="W70:AB70" si="91">W68+0.5%</f>
        <v>8.5000000000000006E-2</v>
      </c>
      <c r="X70" s="53">
        <f t="shared" si="91"/>
        <v>8.7500000000000008E-2</v>
      </c>
      <c r="Y70" s="53">
        <f t="shared" si="91"/>
        <v>8.7500000000000008E-2</v>
      </c>
      <c r="Z70" s="53">
        <f t="shared" si="91"/>
        <v>9.0000000000000011E-2</v>
      </c>
      <c r="AA70" s="53">
        <f t="shared" si="91"/>
        <v>9.2500000000000013E-2</v>
      </c>
      <c r="AB70" s="53">
        <f t="shared" si="91"/>
        <v>9.5000000000000015E-2</v>
      </c>
      <c r="AF70" s="52" t="str">
        <f t="shared" si="49"/>
        <v>FICO 660-699</v>
      </c>
      <c r="AG70" s="53">
        <f t="shared" si="47"/>
        <v>8.5000000000000006E-2</v>
      </c>
      <c r="AH70" s="53">
        <f t="shared" si="50"/>
        <v>8.7500000000000008E-2</v>
      </c>
      <c r="AI70" s="53">
        <f t="shared" si="51"/>
        <v>8.7500000000000008E-2</v>
      </c>
      <c r="AJ70" s="53">
        <f t="shared" si="52"/>
        <v>9.0000000000000011E-2</v>
      </c>
      <c r="AK70" s="53">
        <f t="shared" si="53"/>
        <v>9.2500000000000013E-2</v>
      </c>
      <c r="AL70" s="53">
        <f t="shared" si="54"/>
        <v>9.5000000000000015E-2</v>
      </c>
      <c r="AM70" s="68"/>
      <c r="AN70" s="69"/>
      <c r="AP70" s="52" t="str">
        <f t="shared" si="55"/>
        <v>FICO 660-699</v>
      </c>
      <c r="AQ70" s="53">
        <f t="shared" ref="AQ70:AV70" si="92">AQ68+0.5%</f>
        <v>8.6250000000000007E-2</v>
      </c>
      <c r="AR70" s="53">
        <f t="shared" si="92"/>
        <v>8.8750000000000009E-2</v>
      </c>
      <c r="AS70" s="53">
        <f t="shared" si="92"/>
        <v>8.8750000000000009E-2</v>
      </c>
      <c r="AT70" s="53">
        <f t="shared" si="92"/>
        <v>9.1250000000000012E-2</v>
      </c>
      <c r="AU70" s="53">
        <f t="shared" si="92"/>
        <v>9.3750000000000014E-2</v>
      </c>
      <c r="AV70" s="53">
        <f t="shared" si="92"/>
        <v>9.6250000000000016E-2</v>
      </c>
      <c r="AZ70" s="52" t="str">
        <f t="shared" si="56"/>
        <v>FICO 660-699</v>
      </c>
      <c r="BA70" s="53">
        <f t="shared" si="63"/>
        <v>8.6250000000000007E-2</v>
      </c>
      <c r="BB70" s="53">
        <f t="shared" si="64"/>
        <v>8.8750000000000009E-2</v>
      </c>
      <c r="BC70" s="53">
        <f t="shared" si="65"/>
        <v>8.8750000000000009E-2</v>
      </c>
      <c r="BD70" s="53">
        <f t="shared" si="66"/>
        <v>9.1250000000000012E-2</v>
      </c>
      <c r="BE70" s="53">
        <f t="shared" si="67"/>
        <v>9.3750000000000014E-2</v>
      </c>
      <c r="BF70" s="53">
        <f t="shared" si="68"/>
        <v>9.6250000000000016E-2</v>
      </c>
    </row>
    <row r="71" spans="2:58" ht="15" customHeight="1" x14ac:dyDescent="0.45">
      <c r="B71" s="52" t="s">
        <v>153</v>
      </c>
      <c r="C71" s="53">
        <f t="shared" ref="C71:H71" si="93">C68+0.75%</f>
        <v>8.6249999999999993E-2</v>
      </c>
      <c r="D71" s="53">
        <f t="shared" si="93"/>
        <v>8.8749999999999996E-2</v>
      </c>
      <c r="E71" s="53">
        <f t="shared" si="93"/>
        <v>8.8749999999999996E-2</v>
      </c>
      <c r="F71" s="53">
        <f t="shared" si="93"/>
        <v>9.1249999999999998E-2</v>
      </c>
      <c r="G71" s="53">
        <f t="shared" si="93"/>
        <v>9.375E-2</v>
      </c>
      <c r="H71" s="53">
        <f t="shared" si="93"/>
        <v>9.6250000000000002E-2</v>
      </c>
      <c r="L71" s="52" t="s">
        <v>153</v>
      </c>
      <c r="M71" s="53">
        <f t="shared" si="57"/>
        <v>8.6249999999999993E-2</v>
      </c>
      <c r="N71" s="53">
        <f t="shared" si="58"/>
        <v>8.8749999999999996E-2</v>
      </c>
      <c r="O71" s="53">
        <f t="shared" si="59"/>
        <v>8.8749999999999996E-2</v>
      </c>
      <c r="P71" s="53">
        <f t="shared" si="60"/>
        <v>9.1249999999999998E-2</v>
      </c>
      <c r="Q71" s="53">
        <f t="shared" si="61"/>
        <v>9.375E-2</v>
      </c>
      <c r="R71" s="53">
        <f t="shared" si="62"/>
        <v>9.6250000000000002E-2</v>
      </c>
      <c r="S71" s="68"/>
      <c r="T71" s="69"/>
      <c r="V71" s="52" t="str">
        <f t="shared" si="48"/>
        <v>FICO 640-659</v>
      </c>
      <c r="W71" s="53">
        <f t="shared" ref="W71:AB71" si="94">W68+0.75%</f>
        <v>8.7499999999999994E-2</v>
      </c>
      <c r="X71" s="53">
        <f t="shared" si="94"/>
        <v>0.09</v>
      </c>
      <c r="Y71" s="53">
        <f t="shared" si="94"/>
        <v>0.09</v>
      </c>
      <c r="Z71" s="53">
        <f t="shared" si="94"/>
        <v>9.2499999999999999E-2</v>
      </c>
      <c r="AA71" s="53">
        <f t="shared" si="94"/>
        <v>9.5000000000000001E-2</v>
      </c>
      <c r="AB71" s="53">
        <f t="shared" si="94"/>
        <v>9.7500000000000003E-2</v>
      </c>
      <c r="AF71" s="52" t="str">
        <f t="shared" si="49"/>
        <v>FICO 640-659</v>
      </c>
      <c r="AG71" s="53">
        <f t="shared" si="47"/>
        <v>8.7499999999999994E-2</v>
      </c>
      <c r="AH71" s="53">
        <f t="shared" si="50"/>
        <v>0.09</v>
      </c>
      <c r="AI71" s="53">
        <f t="shared" si="51"/>
        <v>0.09</v>
      </c>
      <c r="AJ71" s="53">
        <f t="shared" si="52"/>
        <v>9.2499999999999999E-2</v>
      </c>
      <c r="AK71" s="53">
        <f t="shared" si="53"/>
        <v>9.5000000000000001E-2</v>
      </c>
      <c r="AL71" s="53">
        <f t="shared" si="54"/>
        <v>9.7500000000000003E-2</v>
      </c>
      <c r="AM71" s="68"/>
      <c r="AN71" s="69"/>
      <c r="AP71" s="52" t="str">
        <f t="shared" si="55"/>
        <v>FICO 640-659</v>
      </c>
      <c r="AQ71" s="53">
        <f t="shared" ref="AQ71:AV71" si="95">AQ68+0.75%</f>
        <v>8.8749999999999996E-2</v>
      </c>
      <c r="AR71" s="53">
        <f t="shared" si="95"/>
        <v>9.1249999999999998E-2</v>
      </c>
      <c r="AS71" s="53">
        <f t="shared" si="95"/>
        <v>9.1249999999999998E-2</v>
      </c>
      <c r="AT71" s="53">
        <f t="shared" si="95"/>
        <v>9.375E-2</v>
      </c>
      <c r="AU71" s="53">
        <f t="shared" si="95"/>
        <v>9.6250000000000002E-2</v>
      </c>
      <c r="AV71" s="53">
        <f t="shared" si="95"/>
        <v>9.8750000000000004E-2</v>
      </c>
      <c r="AZ71" s="52" t="str">
        <f t="shared" si="56"/>
        <v>FICO 640-659</v>
      </c>
      <c r="BA71" s="53">
        <f t="shared" si="63"/>
        <v>8.8749999999999996E-2</v>
      </c>
      <c r="BB71" s="53">
        <f t="shared" si="64"/>
        <v>9.1249999999999998E-2</v>
      </c>
      <c r="BC71" s="53">
        <f t="shared" si="65"/>
        <v>9.1249999999999998E-2</v>
      </c>
      <c r="BD71" s="53">
        <f t="shared" si="66"/>
        <v>9.375E-2</v>
      </c>
      <c r="BE71" s="53">
        <f t="shared" si="67"/>
        <v>9.6250000000000002E-2</v>
      </c>
      <c r="BF71" s="53">
        <f t="shared" si="68"/>
        <v>9.8750000000000004E-2</v>
      </c>
    </row>
    <row r="72" spans="2:58" ht="15" customHeight="1" x14ac:dyDescent="0.45">
      <c r="B72" s="37"/>
      <c r="C72" s="63"/>
      <c r="D72" s="63"/>
      <c r="E72" s="63"/>
      <c r="F72" s="63"/>
      <c r="G72" s="63"/>
      <c r="H72" s="63"/>
      <c r="L72" s="37"/>
      <c r="M72" s="63"/>
      <c r="N72" s="63"/>
      <c r="O72" s="63"/>
      <c r="P72" s="63"/>
      <c r="Q72" s="63"/>
      <c r="R72" s="63"/>
      <c r="S72" s="55"/>
      <c r="T72" s="56"/>
      <c r="V72" s="37"/>
      <c r="W72" s="63"/>
      <c r="X72" s="63"/>
      <c r="Y72" s="63"/>
      <c r="Z72" s="63"/>
      <c r="AA72" s="63"/>
      <c r="AB72" s="63"/>
      <c r="AF72" s="37"/>
      <c r="AG72" s="63"/>
      <c r="AH72" s="63"/>
      <c r="AI72" s="63"/>
      <c r="AJ72" s="63"/>
      <c r="AK72" s="63"/>
      <c r="AL72" s="63"/>
      <c r="AM72" s="55"/>
      <c r="AN72" s="56"/>
      <c r="AP72" s="37"/>
      <c r="AQ72" s="63"/>
      <c r="AR72" s="63"/>
      <c r="AS72" s="63"/>
      <c r="AT72" s="63"/>
      <c r="AU72" s="63"/>
      <c r="AV72" s="63"/>
      <c r="AZ72" s="37"/>
      <c r="BA72" s="63"/>
      <c r="BB72" s="63"/>
      <c r="BC72" s="63"/>
      <c r="BD72" s="63"/>
      <c r="BE72" s="63"/>
      <c r="BF72" s="63"/>
    </row>
    <row r="73" spans="2:58" ht="15.75" customHeight="1" x14ac:dyDescent="0.45">
      <c r="B73" s="94" t="s">
        <v>156</v>
      </c>
      <c r="C73" s="94"/>
      <c r="D73" s="94"/>
      <c r="E73" s="94"/>
      <c r="F73" s="94"/>
      <c r="G73" s="94"/>
      <c r="H73" s="94"/>
      <c r="L73" s="94" t="s">
        <v>156</v>
      </c>
      <c r="M73" s="94"/>
      <c r="N73" s="94"/>
      <c r="O73" s="94"/>
      <c r="P73" s="94"/>
      <c r="Q73" s="94"/>
      <c r="R73" s="94"/>
      <c r="S73" s="39"/>
      <c r="T73" s="40"/>
      <c r="V73" s="94" t="s">
        <v>156</v>
      </c>
      <c r="W73" s="94"/>
      <c r="X73" s="94"/>
      <c r="Y73" s="94"/>
      <c r="Z73" s="94"/>
      <c r="AA73" s="94"/>
      <c r="AB73" s="94"/>
      <c r="AF73" s="94" t="s">
        <v>156</v>
      </c>
      <c r="AG73" s="94"/>
      <c r="AH73" s="94"/>
      <c r="AI73" s="94"/>
      <c r="AJ73" s="94"/>
      <c r="AK73" s="94"/>
      <c r="AL73" s="94"/>
      <c r="AM73" s="39"/>
      <c r="AN73" s="40"/>
      <c r="AP73" s="94" t="s">
        <v>156</v>
      </c>
      <c r="AQ73" s="94"/>
      <c r="AR73" s="94"/>
      <c r="AS73" s="94"/>
      <c r="AT73" s="94"/>
      <c r="AU73" s="94"/>
      <c r="AV73" s="94"/>
      <c r="AZ73" s="94" t="s">
        <v>156</v>
      </c>
      <c r="BA73" s="94"/>
      <c r="BB73" s="94"/>
      <c r="BC73" s="94"/>
      <c r="BD73" s="94"/>
      <c r="BE73" s="94"/>
      <c r="BF73" s="94"/>
    </row>
    <row r="74" spans="2:58" ht="15" customHeight="1" x14ac:dyDescent="0.45">
      <c r="B74" s="42"/>
      <c r="C74" s="95" t="s">
        <v>50</v>
      </c>
      <c r="D74" s="95"/>
      <c r="E74" s="95"/>
      <c r="F74" s="95"/>
      <c r="G74" s="95"/>
      <c r="H74" s="95"/>
      <c r="L74" s="42"/>
      <c r="M74" s="95" t="s">
        <v>50</v>
      </c>
      <c r="N74" s="95"/>
      <c r="O74" s="95"/>
      <c r="P74" s="95"/>
      <c r="Q74" s="95"/>
      <c r="R74" s="95"/>
      <c r="S74" s="41"/>
      <c r="T74" s="43"/>
      <c r="V74" s="42"/>
      <c r="W74" s="95" t="str">
        <f>C74</f>
        <v>LTC</v>
      </c>
      <c r="X74" s="95"/>
      <c r="Y74" s="95"/>
      <c r="Z74" s="95"/>
      <c r="AA74" s="95"/>
      <c r="AB74" s="95"/>
      <c r="AF74" s="42"/>
      <c r="AG74" s="95" t="str">
        <f t="shared" ref="AG74:AG87" si="96">W74</f>
        <v>LTC</v>
      </c>
      <c r="AH74" s="95"/>
      <c r="AI74" s="95"/>
      <c r="AJ74" s="95"/>
      <c r="AK74" s="95"/>
      <c r="AL74" s="95"/>
      <c r="AM74" s="41"/>
      <c r="AN74" s="43"/>
      <c r="AP74" s="42"/>
      <c r="AQ74" s="95" t="str">
        <f>C74</f>
        <v>LTC</v>
      </c>
      <c r="AR74" s="95"/>
      <c r="AS74" s="95"/>
      <c r="AT74" s="95"/>
      <c r="AU74" s="95"/>
      <c r="AV74" s="95"/>
      <c r="AZ74" s="42"/>
      <c r="BA74" s="95" t="str">
        <f>C74</f>
        <v>LTC</v>
      </c>
      <c r="BB74" s="95"/>
      <c r="BC74" s="95"/>
      <c r="BD74" s="95"/>
      <c r="BE74" s="95"/>
      <c r="BF74" s="95"/>
    </row>
    <row r="75" spans="2:58" ht="15" customHeight="1" x14ac:dyDescent="0.45">
      <c r="B75" s="44" t="s">
        <v>52</v>
      </c>
      <c r="C75" s="45" t="s">
        <v>143</v>
      </c>
      <c r="D75" s="45" t="s">
        <v>144</v>
      </c>
      <c r="E75" s="45" t="s">
        <v>145</v>
      </c>
      <c r="F75" s="45" t="s">
        <v>146</v>
      </c>
      <c r="G75" s="45" t="s">
        <v>147</v>
      </c>
      <c r="H75" s="45" t="s">
        <v>148</v>
      </c>
      <c r="L75" s="44" t="s">
        <v>52</v>
      </c>
      <c r="M75" s="70" t="s">
        <v>143</v>
      </c>
      <c r="N75" s="70" t="s">
        <v>144</v>
      </c>
      <c r="O75" s="70" t="s">
        <v>145</v>
      </c>
      <c r="P75" s="70" t="s">
        <v>146</v>
      </c>
      <c r="Q75" s="70" t="s">
        <v>147</v>
      </c>
      <c r="R75" s="70" t="s">
        <v>148</v>
      </c>
      <c r="S75" s="41"/>
      <c r="T75" s="43"/>
      <c r="V75" s="44" t="str">
        <f t="shared" ref="V75:V87" si="97">B75</f>
        <v>AR-LTV</v>
      </c>
      <c r="W75" s="45" t="str">
        <f>C75</f>
        <v>&lt;74.99%</v>
      </c>
      <c r="X75" s="45" t="str">
        <f>D75</f>
        <v>75.00%-80.00%</v>
      </c>
      <c r="Y75" s="45" t="str">
        <f>E75</f>
        <v>80.01%-85.00%</v>
      </c>
      <c r="Z75" s="45" t="str">
        <f>F75</f>
        <v>85.01%-87.50%</v>
      </c>
      <c r="AA75" s="45" t="str">
        <f>G75</f>
        <v>87.51%-89.99%</v>
      </c>
      <c r="AB75" s="45" t="str">
        <f>H75</f>
        <v>90.00%-92.50%</v>
      </c>
      <c r="AF75" s="44" t="str">
        <f t="shared" ref="AF75:AF87" si="98">V75</f>
        <v>AR-LTV</v>
      </c>
      <c r="AG75" s="45" t="str">
        <f t="shared" si="96"/>
        <v>&lt;74.99%</v>
      </c>
      <c r="AH75" s="45" t="str">
        <f t="shared" ref="AH75:AH87" si="99">X75</f>
        <v>75.00%-80.00%</v>
      </c>
      <c r="AI75" s="45" t="str">
        <f t="shared" ref="AI75:AI87" si="100">Y75</f>
        <v>80.01%-85.00%</v>
      </c>
      <c r="AJ75" s="45" t="str">
        <f t="shared" ref="AJ75:AJ87" si="101">Z75</f>
        <v>85.01%-87.50%</v>
      </c>
      <c r="AK75" s="45" t="str">
        <f t="shared" ref="AK75:AK87" si="102">AA75</f>
        <v>87.51%-89.99%</v>
      </c>
      <c r="AL75" s="45" t="str">
        <f t="shared" ref="AL75:AL87" si="103">AB75</f>
        <v>90.00%-92.50%</v>
      </c>
      <c r="AM75" s="41"/>
      <c r="AN75" s="43"/>
      <c r="AP75" s="44" t="str">
        <f t="shared" ref="AP75:AP87" si="104">B75</f>
        <v>AR-LTV</v>
      </c>
      <c r="AQ75" s="45" t="str">
        <f>C75</f>
        <v>&lt;74.99%</v>
      </c>
      <c r="AR75" s="45" t="str">
        <f>D75</f>
        <v>75.00%-80.00%</v>
      </c>
      <c r="AS75" s="45" t="str">
        <f>E75</f>
        <v>80.01%-85.00%</v>
      </c>
      <c r="AT75" s="45" t="str">
        <f>F75</f>
        <v>85.01%-87.50%</v>
      </c>
      <c r="AU75" s="45" t="str">
        <f>G75</f>
        <v>87.51%-89.99%</v>
      </c>
      <c r="AV75" s="45" t="str">
        <f>H75</f>
        <v>90.00%-92.50%</v>
      </c>
      <c r="AZ75" s="44" t="str">
        <f t="shared" ref="AZ75:AZ87" si="105">B75</f>
        <v>AR-LTV</v>
      </c>
      <c r="BA75" s="45" t="str">
        <f>C75</f>
        <v>&lt;74.99%</v>
      </c>
      <c r="BB75" s="45" t="str">
        <f>D75</f>
        <v>75.00%-80.00%</v>
      </c>
      <c r="BC75" s="45" t="str">
        <f>E75</f>
        <v>80.01%-85.00%</v>
      </c>
      <c r="BD75" s="45" t="str">
        <f>F75</f>
        <v>85.01%-87.50%</v>
      </c>
      <c r="BE75" s="45" t="str">
        <f>G75</f>
        <v>87.51%-89.99%</v>
      </c>
      <c r="BF75" s="45" t="str">
        <f>H75</f>
        <v>90.00%-92.50%</v>
      </c>
    </row>
    <row r="76" spans="2:58" ht="15" customHeight="1" x14ac:dyDescent="0.45">
      <c r="B76" s="46" t="s">
        <v>149</v>
      </c>
      <c r="C76" s="49" t="s">
        <v>150</v>
      </c>
      <c r="D76" s="49" t="s">
        <v>150</v>
      </c>
      <c r="E76" s="49" t="s">
        <v>150</v>
      </c>
      <c r="F76" s="49" t="s">
        <v>150</v>
      </c>
      <c r="G76" s="49" t="s">
        <v>150</v>
      </c>
      <c r="H76" s="49" t="s">
        <v>150</v>
      </c>
      <c r="L76" s="60" t="s">
        <v>149</v>
      </c>
      <c r="M76" s="64" t="str">
        <f t="shared" ref="M76:M87" si="106">C76</f>
        <v>NA</v>
      </c>
      <c r="N76" s="64" t="str">
        <f t="shared" ref="N76:N87" si="107">D76</f>
        <v>NA</v>
      </c>
      <c r="O76" s="64" t="str">
        <f t="shared" ref="O76:O87" si="108">E76</f>
        <v>NA</v>
      </c>
      <c r="P76" s="49" t="str">
        <f t="shared" ref="P76:P87" si="109">F76</f>
        <v>NA</v>
      </c>
      <c r="Q76" s="49" t="str">
        <f t="shared" ref="Q76:Q87" si="110">G76</f>
        <v>NA</v>
      </c>
      <c r="R76" s="49" t="str">
        <f t="shared" ref="R76:R87" si="111">H76</f>
        <v>NA</v>
      </c>
      <c r="S76" s="50"/>
      <c r="T76" s="51"/>
      <c r="V76" s="46" t="str">
        <f t="shared" si="97"/>
        <v>70.01%-75.00%</v>
      </c>
      <c r="W76" s="49" t="s">
        <v>150</v>
      </c>
      <c r="X76" s="49" t="s">
        <v>150</v>
      </c>
      <c r="Y76" s="49" t="s">
        <v>150</v>
      </c>
      <c r="Z76" s="49" t="s">
        <v>150</v>
      </c>
      <c r="AA76" s="49" t="s">
        <v>150</v>
      </c>
      <c r="AB76" s="49" t="s">
        <v>150</v>
      </c>
      <c r="AF76" s="46" t="str">
        <f t="shared" si="98"/>
        <v>70.01%-75.00%</v>
      </c>
      <c r="AG76" s="64" t="str">
        <f t="shared" si="96"/>
        <v>NA</v>
      </c>
      <c r="AH76" s="64" t="str">
        <f t="shared" si="99"/>
        <v>NA</v>
      </c>
      <c r="AI76" s="64" t="str">
        <f t="shared" si="100"/>
        <v>NA</v>
      </c>
      <c r="AJ76" s="49" t="str">
        <f t="shared" si="101"/>
        <v>NA</v>
      </c>
      <c r="AK76" s="49" t="str">
        <f t="shared" si="102"/>
        <v>NA</v>
      </c>
      <c r="AL76" s="49" t="str">
        <f t="shared" si="103"/>
        <v>NA</v>
      </c>
      <c r="AM76" s="50"/>
      <c r="AN76" s="51"/>
      <c r="AP76" s="46" t="str">
        <f t="shared" si="104"/>
        <v>70.01%-75.00%</v>
      </c>
      <c r="AQ76" s="49" t="s">
        <v>150</v>
      </c>
      <c r="AR76" s="49" t="s">
        <v>150</v>
      </c>
      <c r="AS76" s="49" t="s">
        <v>150</v>
      </c>
      <c r="AT76" s="49" t="s">
        <v>150</v>
      </c>
      <c r="AU76" s="49" t="s">
        <v>150</v>
      </c>
      <c r="AV76" s="49" t="s">
        <v>150</v>
      </c>
      <c r="AZ76" s="60" t="str">
        <f t="shared" si="105"/>
        <v>70.01%-75.00%</v>
      </c>
      <c r="BA76" s="64" t="str">
        <f t="shared" ref="BA76:BA87" si="112">AQ76</f>
        <v>NA</v>
      </c>
      <c r="BB76" s="64" t="str">
        <f t="shared" ref="BB76:BB87" si="113">AR76</f>
        <v>NA</v>
      </c>
      <c r="BC76" s="64" t="str">
        <f t="shared" ref="BC76:BC87" si="114">AS76</f>
        <v>NA</v>
      </c>
      <c r="BD76" s="49" t="str">
        <f t="shared" ref="BD76:BD87" si="115">AT76</f>
        <v>NA</v>
      </c>
      <c r="BE76" s="49" t="str">
        <f t="shared" ref="BE76:BE87" si="116">AU76</f>
        <v>NA</v>
      </c>
      <c r="BF76" s="49" t="str">
        <f t="shared" ref="BF76:BF87" si="117">AV76</f>
        <v>NA</v>
      </c>
    </row>
    <row r="77" spans="2:58" ht="15" customHeight="1" x14ac:dyDescent="0.45">
      <c r="B77" s="52" t="s">
        <v>151</v>
      </c>
      <c r="C77" s="54" t="s">
        <v>150</v>
      </c>
      <c r="D77" s="54" t="s">
        <v>150</v>
      </c>
      <c r="E77" s="54" t="s">
        <v>150</v>
      </c>
      <c r="F77" s="54" t="s">
        <v>150</v>
      </c>
      <c r="G77" s="54" t="s">
        <v>150</v>
      </c>
      <c r="H77" s="54" t="s">
        <v>150</v>
      </c>
      <c r="L77" s="52" t="s">
        <v>151</v>
      </c>
      <c r="M77" s="54" t="str">
        <f t="shared" si="106"/>
        <v>NA</v>
      </c>
      <c r="N77" s="54" t="str">
        <f t="shared" si="107"/>
        <v>NA</v>
      </c>
      <c r="O77" s="54" t="str">
        <f t="shared" si="108"/>
        <v>NA</v>
      </c>
      <c r="P77" s="54" t="str">
        <f t="shared" si="109"/>
        <v>NA</v>
      </c>
      <c r="Q77" s="54" t="str">
        <f t="shared" si="110"/>
        <v>NA</v>
      </c>
      <c r="R77" s="54" t="str">
        <f t="shared" si="111"/>
        <v>NA</v>
      </c>
      <c r="S77" s="55"/>
      <c r="T77" s="56"/>
      <c r="V77" s="52" t="str">
        <f t="shared" si="97"/>
        <v>FICO 700+</v>
      </c>
      <c r="W77" s="54" t="s">
        <v>150</v>
      </c>
      <c r="X77" s="54" t="s">
        <v>150</v>
      </c>
      <c r="Y77" s="54" t="s">
        <v>150</v>
      </c>
      <c r="Z77" s="54" t="s">
        <v>150</v>
      </c>
      <c r="AA77" s="54" t="s">
        <v>150</v>
      </c>
      <c r="AB77" s="54" t="s">
        <v>150</v>
      </c>
      <c r="AF77" s="52" t="str">
        <f t="shared" si="98"/>
        <v>FICO 700+</v>
      </c>
      <c r="AG77" s="54" t="str">
        <f t="shared" si="96"/>
        <v>NA</v>
      </c>
      <c r="AH77" s="54" t="str">
        <f t="shared" si="99"/>
        <v>NA</v>
      </c>
      <c r="AI77" s="54" t="str">
        <f t="shared" si="100"/>
        <v>NA</v>
      </c>
      <c r="AJ77" s="54" t="str">
        <f t="shared" si="101"/>
        <v>NA</v>
      </c>
      <c r="AK77" s="54" t="str">
        <f t="shared" si="102"/>
        <v>NA</v>
      </c>
      <c r="AL77" s="54" t="str">
        <f t="shared" si="103"/>
        <v>NA</v>
      </c>
      <c r="AM77" s="55"/>
      <c r="AN77" s="56"/>
      <c r="AP77" s="52" t="str">
        <f t="shared" si="104"/>
        <v>FICO 700+</v>
      </c>
      <c r="AQ77" s="54" t="s">
        <v>150</v>
      </c>
      <c r="AR77" s="54" t="s">
        <v>150</v>
      </c>
      <c r="AS77" s="54" t="s">
        <v>150</v>
      </c>
      <c r="AT77" s="54" t="s">
        <v>150</v>
      </c>
      <c r="AU77" s="54" t="s">
        <v>150</v>
      </c>
      <c r="AV77" s="54" t="s">
        <v>150</v>
      </c>
      <c r="AZ77" s="52" t="str">
        <f t="shared" si="105"/>
        <v>FICO 700+</v>
      </c>
      <c r="BA77" s="54" t="str">
        <f t="shared" si="112"/>
        <v>NA</v>
      </c>
      <c r="BB77" s="54" t="str">
        <f t="shared" si="113"/>
        <v>NA</v>
      </c>
      <c r="BC77" s="54" t="str">
        <f t="shared" si="114"/>
        <v>NA</v>
      </c>
      <c r="BD77" s="54" t="str">
        <f t="shared" si="115"/>
        <v>NA</v>
      </c>
      <c r="BE77" s="54" t="str">
        <f t="shared" si="116"/>
        <v>NA</v>
      </c>
      <c r="BF77" s="54" t="str">
        <f t="shared" si="117"/>
        <v>NA</v>
      </c>
    </row>
    <row r="78" spans="2:58" ht="15" customHeight="1" x14ac:dyDescent="0.45">
      <c r="B78" s="52" t="s">
        <v>152</v>
      </c>
      <c r="C78" s="54" t="s">
        <v>150</v>
      </c>
      <c r="D78" s="54" t="s">
        <v>150</v>
      </c>
      <c r="E78" s="54" t="s">
        <v>150</v>
      </c>
      <c r="F78" s="54" t="s">
        <v>150</v>
      </c>
      <c r="G78" s="54" t="s">
        <v>150</v>
      </c>
      <c r="H78" s="54" t="s">
        <v>150</v>
      </c>
      <c r="L78" s="52" t="s">
        <v>152</v>
      </c>
      <c r="M78" s="54" t="str">
        <f t="shared" si="106"/>
        <v>NA</v>
      </c>
      <c r="N78" s="54" t="str">
        <f t="shared" si="107"/>
        <v>NA</v>
      </c>
      <c r="O78" s="54" t="str">
        <f t="shared" si="108"/>
        <v>NA</v>
      </c>
      <c r="P78" s="54" t="str">
        <f t="shared" si="109"/>
        <v>NA</v>
      </c>
      <c r="Q78" s="54" t="str">
        <f t="shared" si="110"/>
        <v>NA</v>
      </c>
      <c r="R78" s="54" t="str">
        <f t="shared" si="111"/>
        <v>NA</v>
      </c>
      <c r="S78" s="55"/>
      <c r="T78" s="56"/>
      <c r="V78" s="52" t="str">
        <f t="shared" si="97"/>
        <v>FICO 660-699</v>
      </c>
      <c r="W78" s="54" t="s">
        <v>150</v>
      </c>
      <c r="X78" s="54" t="s">
        <v>150</v>
      </c>
      <c r="Y78" s="54" t="s">
        <v>150</v>
      </c>
      <c r="Z78" s="54" t="s">
        <v>150</v>
      </c>
      <c r="AA78" s="54" t="s">
        <v>150</v>
      </c>
      <c r="AB78" s="54" t="s">
        <v>150</v>
      </c>
      <c r="AF78" s="52" t="str">
        <f t="shared" si="98"/>
        <v>FICO 660-699</v>
      </c>
      <c r="AG78" s="54" t="str">
        <f t="shared" si="96"/>
        <v>NA</v>
      </c>
      <c r="AH78" s="54" t="str">
        <f t="shared" si="99"/>
        <v>NA</v>
      </c>
      <c r="AI78" s="54" t="str">
        <f t="shared" si="100"/>
        <v>NA</v>
      </c>
      <c r="AJ78" s="54" t="str">
        <f t="shared" si="101"/>
        <v>NA</v>
      </c>
      <c r="AK78" s="54" t="str">
        <f t="shared" si="102"/>
        <v>NA</v>
      </c>
      <c r="AL78" s="54" t="str">
        <f t="shared" si="103"/>
        <v>NA</v>
      </c>
      <c r="AM78" s="55"/>
      <c r="AN78" s="56"/>
      <c r="AP78" s="52" t="str">
        <f t="shared" si="104"/>
        <v>FICO 660-699</v>
      </c>
      <c r="AQ78" s="54" t="s">
        <v>150</v>
      </c>
      <c r="AR78" s="54" t="s">
        <v>150</v>
      </c>
      <c r="AS78" s="54" t="s">
        <v>150</v>
      </c>
      <c r="AT78" s="54" t="s">
        <v>150</v>
      </c>
      <c r="AU78" s="54" t="s">
        <v>150</v>
      </c>
      <c r="AV78" s="54" t="s">
        <v>150</v>
      </c>
      <c r="AZ78" s="52" t="str">
        <f t="shared" si="105"/>
        <v>FICO 660-699</v>
      </c>
      <c r="BA78" s="54" t="str">
        <f t="shared" si="112"/>
        <v>NA</v>
      </c>
      <c r="BB78" s="54" t="str">
        <f t="shared" si="113"/>
        <v>NA</v>
      </c>
      <c r="BC78" s="54" t="str">
        <f t="shared" si="114"/>
        <v>NA</v>
      </c>
      <c r="BD78" s="54" t="str">
        <f t="shared" si="115"/>
        <v>NA</v>
      </c>
      <c r="BE78" s="54" t="str">
        <f t="shared" si="116"/>
        <v>NA</v>
      </c>
      <c r="BF78" s="54" t="str">
        <f t="shared" si="117"/>
        <v>NA</v>
      </c>
    </row>
    <row r="79" spans="2:58" ht="15" customHeight="1" x14ac:dyDescent="0.45">
      <c r="B79" s="57" t="s">
        <v>153</v>
      </c>
      <c r="C79" s="59" t="s">
        <v>150</v>
      </c>
      <c r="D79" s="59" t="s">
        <v>150</v>
      </c>
      <c r="E79" s="59" t="s">
        <v>150</v>
      </c>
      <c r="F79" s="59" t="s">
        <v>150</v>
      </c>
      <c r="G79" s="59" t="s">
        <v>150</v>
      </c>
      <c r="H79" s="59" t="s">
        <v>150</v>
      </c>
      <c r="L79" s="57" t="s">
        <v>153</v>
      </c>
      <c r="M79" s="59" t="str">
        <f t="shared" si="106"/>
        <v>NA</v>
      </c>
      <c r="N79" s="59" t="str">
        <f t="shared" si="107"/>
        <v>NA</v>
      </c>
      <c r="O79" s="59" t="str">
        <f t="shared" si="108"/>
        <v>NA</v>
      </c>
      <c r="P79" s="59" t="str">
        <f t="shared" si="109"/>
        <v>NA</v>
      </c>
      <c r="Q79" s="59" t="str">
        <f t="shared" si="110"/>
        <v>NA</v>
      </c>
      <c r="R79" s="59" t="str">
        <f t="shared" si="111"/>
        <v>NA</v>
      </c>
      <c r="S79" s="55"/>
      <c r="T79" s="56"/>
      <c r="V79" s="57" t="str">
        <f t="shared" si="97"/>
        <v>FICO 640-659</v>
      </c>
      <c r="W79" s="59" t="s">
        <v>150</v>
      </c>
      <c r="X79" s="59" t="s">
        <v>150</v>
      </c>
      <c r="Y79" s="59" t="s">
        <v>150</v>
      </c>
      <c r="Z79" s="59" t="s">
        <v>150</v>
      </c>
      <c r="AA79" s="59" t="s">
        <v>150</v>
      </c>
      <c r="AB79" s="59" t="s">
        <v>150</v>
      </c>
      <c r="AF79" s="57" t="str">
        <f t="shared" si="98"/>
        <v>FICO 640-659</v>
      </c>
      <c r="AG79" s="59" t="str">
        <f t="shared" si="96"/>
        <v>NA</v>
      </c>
      <c r="AH79" s="59" t="str">
        <f t="shared" si="99"/>
        <v>NA</v>
      </c>
      <c r="AI79" s="59" t="str">
        <f t="shared" si="100"/>
        <v>NA</v>
      </c>
      <c r="AJ79" s="59" t="str">
        <f t="shared" si="101"/>
        <v>NA</v>
      </c>
      <c r="AK79" s="59" t="str">
        <f t="shared" si="102"/>
        <v>NA</v>
      </c>
      <c r="AL79" s="59" t="str">
        <f t="shared" si="103"/>
        <v>NA</v>
      </c>
      <c r="AM79" s="55"/>
      <c r="AN79" s="56"/>
      <c r="AP79" s="57" t="str">
        <f t="shared" si="104"/>
        <v>FICO 640-659</v>
      </c>
      <c r="AQ79" s="59" t="s">
        <v>150</v>
      </c>
      <c r="AR79" s="59" t="s">
        <v>150</v>
      </c>
      <c r="AS79" s="59" t="s">
        <v>150</v>
      </c>
      <c r="AT79" s="59" t="s">
        <v>150</v>
      </c>
      <c r="AU79" s="59" t="s">
        <v>150</v>
      </c>
      <c r="AV79" s="59" t="s">
        <v>150</v>
      </c>
      <c r="AZ79" s="57" t="str">
        <f t="shared" si="105"/>
        <v>FICO 640-659</v>
      </c>
      <c r="BA79" s="59" t="str">
        <f t="shared" si="112"/>
        <v>NA</v>
      </c>
      <c r="BB79" s="59" t="str">
        <f t="shared" si="113"/>
        <v>NA</v>
      </c>
      <c r="BC79" s="59" t="str">
        <f t="shared" si="114"/>
        <v>NA</v>
      </c>
      <c r="BD79" s="59" t="str">
        <f t="shared" si="115"/>
        <v>NA</v>
      </c>
      <c r="BE79" s="59" t="str">
        <f t="shared" si="116"/>
        <v>NA</v>
      </c>
      <c r="BF79" s="59" t="str">
        <f t="shared" si="117"/>
        <v>NA</v>
      </c>
    </row>
    <row r="80" spans="2:58" ht="15" customHeight="1" x14ac:dyDescent="0.45">
      <c r="B80" s="60" t="s">
        <v>154</v>
      </c>
      <c r="C80" s="48">
        <f>C84+0.25%</f>
        <v>0.09</v>
      </c>
      <c r="D80" s="48">
        <f>C80+0.25%</f>
        <v>9.2499999999999999E-2</v>
      </c>
      <c r="E80" s="48">
        <f>D80+0.25%</f>
        <v>9.5000000000000001E-2</v>
      </c>
      <c r="F80" s="64" t="s">
        <v>150</v>
      </c>
      <c r="G80" s="64" t="s">
        <v>150</v>
      </c>
      <c r="H80" s="64" t="s">
        <v>150</v>
      </c>
      <c r="L80" s="60" t="s">
        <v>154</v>
      </c>
      <c r="M80" s="48">
        <f t="shared" si="106"/>
        <v>0.09</v>
      </c>
      <c r="N80" s="48">
        <f t="shared" si="107"/>
        <v>9.2499999999999999E-2</v>
      </c>
      <c r="O80" s="48">
        <f t="shared" si="108"/>
        <v>9.5000000000000001E-2</v>
      </c>
      <c r="P80" s="64" t="str">
        <f t="shared" si="109"/>
        <v>NA</v>
      </c>
      <c r="Q80" s="64" t="str">
        <f t="shared" si="110"/>
        <v>NA</v>
      </c>
      <c r="R80" s="64" t="str">
        <f t="shared" si="111"/>
        <v>NA</v>
      </c>
      <c r="S80" s="50"/>
      <c r="T80" s="51"/>
      <c r="V80" s="60" t="str">
        <f t="shared" si="97"/>
        <v>65.00%-70.00%</v>
      </c>
      <c r="W80" s="48">
        <f>W84+0.25%</f>
        <v>9.1249999999999998E-2</v>
      </c>
      <c r="X80" s="48">
        <f>W80+0.25%</f>
        <v>9.375E-2</v>
      </c>
      <c r="Y80" s="48">
        <f>X80+0.25%</f>
        <v>9.6250000000000002E-2</v>
      </c>
      <c r="Z80" s="64" t="s">
        <v>150</v>
      </c>
      <c r="AA80" s="64" t="s">
        <v>150</v>
      </c>
      <c r="AB80" s="64" t="s">
        <v>150</v>
      </c>
      <c r="AF80" s="60" t="str">
        <f t="shared" si="98"/>
        <v>65.00%-70.00%</v>
      </c>
      <c r="AG80" s="48">
        <f t="shared" si="96"/>
        <v>9.1249999999999998E-2</v>
      </c>
      <c r="AH80" s="48">
        <f t="shared" si="99"/>
        <v>9.375E-2</v>
      </c>
      <c r="AI80" s="48">
        <f t="shared" si="100"/>
        <v>9.6250000000000002E-2</v>
      </c>
      <c r="AJ80" s="64" t="str">
        <f t="shared" si="101"/>
        <v>NA</v>
      </c>
      <c r="AK80" s="64" t="str">
        <f t="shared" si="102"/>
        <v>NA</v>
      </c>
      <c r="AL80" s="64" t="str">
        <f t="shared" si="103"/>
        <v>NA</v>
      </c>
      <c r="AM80" s="50"/>
      <c r="AN80" s="51"/>
      <c r="AP80" s="60" t="str">
        <f t="shared" si="104"/>
        <v>65.00%-70.00%</v>
      </c>
      <c r="AQ80" s="48">
        <f>AQ84+0.25%</f>
        <v>9.2499999999999999E-2</v>
      </c>
      <c r="AR80" s="48">
        <f>AQ80+0.25%</f>
        <v>9.5000000000000001E-2</v>
      </c>
      <c r="AS80" s="48">
        <f>AR80+0.25%</f>
        <v>9.7500000000000003E-2</v>
      </c>
      <c r="AT80" s="64" t="s">
        <v>150</v>
      </c>
      <c r="AU80" s="64" t="s">
        <v>150</v>
      </c>
      <c r="AV80" s="64" t="s">
        <v>150</v>
      </c>
      <c r="AZ80" s="60" t="str">
        <f t="shared" si="105"/>
        <v>65.00%-70.00%</v>
      </c>
      <c r="BA80" s="48">
        <f t="shared" si="112"/>
        <v>9.2499999999999999E-2</v>
      </c>
      <c r="BB80" s="48">
        <f t="shared" si="113"/>
        <v>9.5000000000000001E-2</v>
      </c>
      <c r="BC80" s="48">
        <f t="shared" si="114"/>
        <v>9.7500000000000003E-2</v>
      </c>
      <c r="BD80" s="64" t="str">
        <f t="shared" si="115"/>
        <v>NA</v>
      </c>
      <c r="BE80" s="64" t="str">
        <f t="shared" si="116"/>
        <v>NA</v>
      </c>
      <c r="BF80" s="64" t="str">
        <f t="shared" si="117"/>
        <v>NA</v>
      </c>
    </row>
    <row r="81" spans="2:58" ht="15" customHeight="1" x14ac:dyDescent="0.45">
      <c r="B81" s="52" t="s">
        <v>151</v>
      </c>
      <c r="C81" s="53">
        <f>C80+0</f>
        <v>0.09</v>
      </c>
      <c r="D81" s="53">
        <f>D80+0</f>
        <v>9.2499999999999999E-2</v>
      </c>
      <c r="E81" s="53">
        <f>E80+0</f>
        <v>9.5000000000000001E-2</v>
      </c>
      <c r="F81" s="54" t="s">
        <v>150</v>
      </c>
      <c r="G81" s="54" t="s">
        <v>150</v>
      </c>
      <c r="H81" s="54" t="s">
        <v>150</v>
      </c>
      <c r="L81" s="52" t="s">
        <v>151</v>
      </c>
      <c r="M81" s="53">
        <f t="shared" si="106"/>
        <v>0.09</v>
      </c>
      <c r="N81" s="53">
        <f t="shared" si="107"/>
        <v>9.2499999999999999E-2</v>
      </c>
      <c r="O81" s="53">
        <f t="shared" si="108"/>
        <v>9.5000000000000001E-2</v>
      </c>
      <c r="P81" s="54" t="str">
        <f t="shared" si="109"/>
        <v>NA</v>
      </c>
      <c r="Q81" s="54" t="str">
        <f t="shared" si="110"/>
        <v>NA</v>
      </c>
      <c r="R81" s="54" t="str">
        <f t="shared" si="111"/>
        <v>NA</v>
      </c>
      <c r="S81" s="55"/>
      <c r="T81" s="56"/>
      <c r="V81" s="52" t="str">
        <f t="shared" si="97"/>
        <v>FICO 700+</v>
      </c>
      <c r="W81" s="53">
        <f>W80+0</f>
        <v>9.1249999999999998E-2</v>
      </c>
      <c r="X81" s="53">
        <f>X80+0</f>
        <v>9.375E-2</v>
      </c>
      <c r="Y81" s="53">
        <f>Y80+0</f>
        <v>9.6250000000000002E-2</v>
      </c>
      <c r="Z81" s="54" t="s">
        <v>150</v>
      </c>
      <c r="AA81" s="54" t="s">
        <v>150</v>
      </c>
      <c r="AB81" s="54" t="s">
        <v>150</v>
      </c>
      <c r="AF81" s="52" t="str">
        <f t="shared" si="98"/>
        <v>FICO 700+</v>
      </c>
      <c r="AG81" s="53">
        <f t="shared" si="96"/>
        <v>9.1249999999999998E-2</v>
      </c>
      <c r="AH81" s="53">
        <f t="shared" si="99"/>
        <v>9.375E-2</v>
      </c>
      <c r="AI81" s="53">
        <f t="shared" si="100"/>
        <v>9.6250000000000002E-2</v>
      </c>
      <c r="AJ81" s="54" t="str">
        <f t="shared" si="101"/>
        <v>NA</v>
      </c>
      <c r="AK81" s="54" t="str">
        <f t="shared" si="102"/>
        <v>NA</v>
      </c>
      <c r="AL81" s="54" t="str">
        <f t="shared" si="103"/>
        <v>NA</v>
      </c>
      <c r="AM81" s="55"/>
      <c r="AN81" s="56"/>
      <c r="AP81" s="52" t="str">
        <f t="shared" si="104"/>
        <v>FICO 700+</v>
      </c>
      <c r="AQ81" s="53">
        <f>AQ80+0</f>
        <v>9.2499999999999999E-2</v>
      </c>
      <c r="AR81" s="53">
        <f>AR80+0</f>
        <v>9.5000000000000001E-2</v>
      </c>
      <c r="AS81" s="53">
        <f>AS80+0</f>
        <v>9.7500000000000003E-2</v>
      </c>
      <c r="AT81" s="54" t="s">
        <v>150</v>
      </c>
      <c r="AU81" s="54" t="s">
        <v>150</v>
      </c>
      <c r="AV81" s="54" t="s">
        <v>150</v>
      </c>
      <c r="AZ81" s="52" t="str">
        <f t="shared" si="105"/>
        <v>FICO 700+</v>
      </c>
      <c r="BA81" s="53">
        <f t="shared" si="112"/>
        <v>9.2499999999999999E-2</v>
      </c>
      <c r="BB81" s="53">
        <f t="shared" si="113"/>
        <v>9.5000000000000001E-2</v>
      </c>
      <c r="BC81" s="53">
        <f t="shared" si="114"/>
        <v>9.7500000000000003E-2</v>
      </c>
      <c r="BD81" s="54" t="str">
        <f t="shared" si="115"/>
        <v>NA</v>
      </c>
      <c r="BE81" s="54" t="str">
        <f t="shared" si="116"/>
        <v>NA</v>
      </c>
      <c r="BF81" s="54" t="str">
        <f t="shared" si="117"/>
        <v>NA</v>
      </c>
    </row>
    <row r="82" spans="2:58" ht="15" customHeight="1" x14ac:dyDescent="0.45">
      <c r="B82" s="52" t="s">
        <v>152</v>
      </c>
      <c r="C82" s="53">
        <f>C80+0.5%</f>
        <v>9.5000000000000001E-2</v>
      </c>
      <c r="D82" s="53">
        <f>D80+0.5%</f>
        <v>9.7500000000000003E-2</v>
      </c>
      <c r="E82" s="53">
        <f>E80+0.5%</f>
        <v>0.1</v>
      </c>
      <c r="F82" s="54" t="s">
        <v>150</v>
      </c>
      <c r="G82" s="54" t="s">
        <v>150</v>
      </c>
      <c r="H82" s="54" t="s">
        <v>150</v>
      </c>
      <c r="L82" s="52" t="s">
        <v>152</v>
      </c>
      <c r="M82" s="53">
        <f t="shared" si="106"/>
        <v>9.5000000000000001E-2</v>
      </c>
      <c r="N82" s="53">
        <f t="shared" si="107"/>
        <v>9.7500000000000003E-2</v>
      </c>
      <c r="O82" s="53">
        <f t="shared" si="108"/>
        <v>0.1</v>
      </c>
      <c r="P82" s="54" t="str">
        <f t="shared" si="109"/>
        <v>NA</v>
      </c>
      <c r="Q82" s="54" t="str">
        <f t="shared" si="110"/>
        <v>NA</v>
      </c>
      <c r="R82" s="54" t="str">
        <f t="shared" si="111"/>
        <v>NA</v>
      </c>
      <c r="S82" s="55"/>
      <c r="T82" s="56"/>
      <c r="V82" s="52" t="str">
        <f t="shared" si="97"/>
        <v>FICO 660-699</v>
      </c>
      <c r="W82" s="53">
        <f>W80+0.5%</f>
        <v>9.6250000000000002E-2</v>
      </c>
      <c r="X82" s="53">
        <f>X80+0.5%</f>
        <v>9.8750000000000004E-2</v>
      </c>
      <c r="Y82" s="53">
        <f>Y80+0.5%</f>
        <v>0.10125000000000001</v>
      </c>
      <c r="Z82" s="54" t="s">
        <v>150</v>
      </c>
      <c r="AA82" s="54" t="s">
        <v>150</v>
      </c>
      <c r="AB82" s="54" t="s">
        <v>150</v>
      </c>
      <c r="AF82" s="52" t="str">
        <f t="shared" si="98"/>
        <v>FICO 660-699</v>
      </c>
      <c r="AG82" s="53">
        <f t="shared" si="96"/>
        <v>9.6250000000000002E-2</v>
      </c>
      <c r="AH82" s="53">
        <f t="shared" si="99"/>
        <v>9.8750000000000004E-2</v>
      </c>
      <c r="AI82" s="53">
        <f t="shared" si="100"/>
        <v>0.10125000000000001</v>
      </c>
      <c r="AJ82" s="54" t="str">
        <f t="shared" si="101"/>
        <v>NA</v>
      </c>
      <c r="AK82" s="54" t="str">
        <f t="shared" si="102"/>
        <v>NA</v>
      </c>
      <c r="AL82" s="54" t="str">
        <f t="shared" si="103"/>
        <v>NA</v>
      </c>
      <c r="AM82" s="55"/>
      <c r="AN82" s="56"/>
      <c r="AP82" s="52" t="str">
        <f t="shared" si="104"/>
        <v>FICO 660-699</v>
      </c>
      <c r="AQ82" s="53">
        <f>AQ80+0.5%</f>
        <v>9.7500000000000003E-2</v>
      </c>
      <c r="AR82" s="53">
        <f>AR80+0.5%</f>
        <v>0.1</v>
      </c>
      <c r="AS82" s="53">
        <f>AS80+0.5%</f>
        <v>0.10250000000000001</v>
      </c>
      <c r="AT82" s="54" t="s">
        <v>150</v>
      </c>
      <c r="AU82" s="54" t="s">
        <v>150</v>
      </c>
      <c r="AV82" s="54" t="s">
        <v>150</v>
      </c>
      <c r="AZ82" s="52" t="str">
        <f t="shared" si="105"/>
        <v>FICO 660-699</v>
      </c>
      <c r="BA82" s="53">
        <f t="shared" si="112"/>
        <v>9.7500000000000003E-2</v>
      </c>
      <c r="BB82" s="53">
        <f t="shared" si="113"/>
        <v>0.1</v>
      </c>
      <c r="BC82" s="53">
        <f t="shared" si="114"/>
        <v>0.10250000000000001</v>
      </c>
      <c r="BD82" s="54" t="str">
        <f t="shared" si="115"/>
        <v>NA</v>
      </c>
      <c r="BE82" s="54" t="str">
        <f t="shared" si="116"/>
        <v>NA</v>
      </c>
      <c r="BF82" s="54" t="str">
        <f t="shared" si="117"/>
        <v>NA</v>
      </c>
    </row>
    <row r="83" spans="2:58" ht="15" customHeight="1" x14ac:dyDescent="0.45">
      <c r="B83" s="57" t="s">
        <v>153</v>
      </c>
      <c r="C83" s="59" t="s">
        <v>150</v>
      </c>
      <c r="D83" s="59" t="s">
        <v>150</v>
      </c>
      <c r="E83" s="59" t="s">
        <v>150</v>
      </c>
      <c r="F83" s="59" t="s">
        <v>150</v>
      </c>
      <c r="G83" s="59" t="s">
        <v>150</v>
      </c>
      <c r="H83" s="59" t="s">
        <v>150</v>
      </c>
      <c r="L83" s="57" t="s">
        <v>153</v>
      </c>
      <c r="M83" s="59" t="str">
        <f t="shared" si="106"/>
        <v>NA</v>
      </c>
      <c r="N83" s="59" t="str">
        <f t="shared" si="107"/>
        <v>NA</v>
      </c>
      <c r="O83" s="59" t="str">
        <f t="shared" si="108"/>
        <v>NA</v>
      </c>
      <c r="P83" s="59" t="str">
        <f t="shared" si="109"/>
        <v>NA</v>
      </c>
      <c r="Q83" s="59" t="str">
        <f t="shared" si="110"/>
        <v>NA</v>
      </c>
      <c r="R83" s="59" t="str">
        <f t="shared" si="111"/>
        <v>NA</v>
      </c>
      <c r="S83" s="55"/>
      <c r="T83" s="56"/>
      <c r="V83" s="57" t="str">
        <f t="shared" si="97"/>
        <v>FICO 640-659</v>
      </c>
      <c r="W83" s="59" t="s">
        <v>150</v>
      </c>
      <c r="X83" s="59" t="s">
        <v>150</v>
      </c>
      <c r="Y83" s="59" t="s">
        <v>150</v>
      </c>
      <c r="Z83" s="59" t="s">
        <v>150</v>
      </c>
      <c r="AA83" s="59" t="s">
        <v>150</v>
      </c>
      <c r="AB83" s="59" t="s">
        <v>150</v>
      </c>
      <c r="AF83" s="57" t="str">
        <f t="shared" si="98"/>
        <v>FICO 640-659</v>
      </c>
      <c r="AG83" s="59" t="str">
        <f t="shared" si="96"/>
        <v>NA</v>
      </c>
      <c r="AH83" s="59" t="str">
        <f t="shared" si="99"/>
        <v>NA</v>
      </c>
      <c r="AI83" s="59" t="str">
        <f t="shared" si="100"/>
        <v>NA</v>
      </c>
      <c r="AJ83" s="59" t="str">
        <f t="shared" si="101"/>
        <v>NA</v>
      </c>
      <c r="AK83" s="59" t="str">
        <f t="shared" si="102"/>
        <v>NA</v>
      </c>
      <c r="AL83" s="59" t="str">
        <f t="shared" si="103"/>
        <v>NA</v>
      </c>
      <c r="AM83" s="55"/>
      <c r="AN83" s="56"/>
      <c r="AP83" s="57" t="str">
        <f t="shared" si="104"/>
        <v>FICO 640-659</v>
      </c>
      <c r="AQ83" s="59" t="s">
        <v>150</v>
      </c>
      <c r="AR83" s="59" t="s">
        <v>150</v>
      </c>
      <c r="AS83" s="59" t="s">
        <v>150</v>
      </c>
      <c r="AT83" s="59" t="s">
        <v>150</v>
      </c>
      <c r="AU83" s="59" t="s">
        <v>150</v>
      </c>
      <c r="AV83" s="59" t="s">
        <v>150</v>
      </c>
      <c r="AZ83" s="57" t="str">
        <f t="shared" si="105"/>
        <v>FICO 640-659</v>
      </c>
      <c r="BA83" s="59" t="str">
        <f t="shared" si="112"/>
        <v>NA</v>
      </c>
      <c r="BB83" s="59" t="str">
        <f t="shared" si="113"/>
        <v>NA</v>
      </c>
      <c r="BC83" s="59" t="str">
        <f t="shared" si="114"/>
        <v>NA</v>
      </c>
      <c r="BD83" s="59" t="str">
        <f t="shared" si="115"/>
        <v>NA</v>
      </c>
      <c r="BE83" s="59" t="str">
        <f t="shared" si="116"/>
        <v>NA</v>
      </c>
      <c r="BF83" s="59" t="str">
        <f t="shared" si="117"/>
        <v>NA</v>
      </c>
    </row>
    <row r="84" spans="2:58" ht="15" customHeight="1" x14ac:dyDescent="0.45">
      <c r="B84" s="60" t="s">
        <v>155</v>
      </c>
      <c r="C84" s="61">
        <v>8.7499999999999994E-2</v>
      </c>
      <c r="D84" s="48">
        <f>C84+0.25%</f>
        <v>0.09</v>
      </c>
      <c r="E84" s="48">
        <f>D84+0.25%</f>
        <v>9.2499999999999999E-2</v>
      </c>
      <c r="F84" s="64" t="s">
        <v>150</v>
      </c>
      <c r="G84" s="64" t="s">
        <v>150</v>
      </c>
      <c r="H84" s="64" t="s">
        <v>150</v>
      </c>
      <c r="L84" s="60" t="s">
        <v>155</v>
      </c>
      <c r="M84" s="62">
        <f t="shared" si="106"/>
        <v>8.7499999999999994E-2</v>
      </c>
      <c r="N84" s="48">
        <f t="shared" si="107"/>
        <v>0.09</v>
      </c>
      <c r="O84" s="48">
        <f t="shared" si="108"/>
        <v>9.2499999999999999E-2</v>
      </c>
      <c r="P84" s="49" t="str">
        <f t="shared" si="109"/>
        <v>NA</v>
      </c>
      <c r="Q84" s="49" t="str">
        <f t="shared" si="110"/>
        <v>NA</v>
      </c>
      <c r="R84" s="49" t="str">
        <f t="shared" si="111"/>
        <v>NA</v>
      </c>
      <c r="S84" s="50"/>
      <c r="T84" s="51"/>
      <c r="V84" s="60" t="str">
        <f t="shared" si="97"/>
        <v>&lt;64.99%</v>
      </c>
      <c r="W84" s="62">
        <f>C84+0.125%</f>
        <v>8.8749999999999996E-2</v>
      </c>
      <c r="X84" s="48">
        <f>W84+0.25%</f>
        <v>9.1249999999999998E-2</v>
      </c>
      <c r="Y84" s="48">
        <f>X84+0.25%</f>
        <v>9.375E-2</v>
      </c>
      <c r="Z84" s="64" t="s">
        <v>150</v>
      </c>
      <c r="AA84" s="64" t="s">
        <v>150</v>
      </c>
      <c r="AB84" s="64" t="s">
        <v>150</v>
      </c>
      <c r="AF84" s="60" t="str">
        <f t="shared" si="98"/>
        <v>&lt;64.99%</v>
      </c>
      <c r="AG84" s="62">
        <f t="shared" si="96"/>
        <v>8.8749999999999996E-2</v>
      </c>
      <c r="AH84" s="48">
        <f t="shared" si="99"/>
        <v>9.1249999999999998E-2</v>
      </c>
      <c r="AI84" s="48">
        <f t="shared" si="100"/>
        <v>9.375E-2</v>
      </c>
      <c r="AJ84" s="49" t="str">
        <f t="shared" si="101"/>
        <v>NA</v>
      </c>
      <c r="AK84" s="49" t="str">
        <f t="shared" si="102"/>
        <v>NA</v>
      </c>
      <c r="AL84" s="49" t="str">
        <f t="shared" si="103"/>
        <v>NA</v>
      </c>
      <c r="AM84" s="50"/>
      <c r="AN84" s="51"/>
      <c r="AP84" s="60" t="str">
        <f t="shared" si="104"/>
        <v>&lt;64.99%</v>
      </c>
      <c r="AQ84" s="62">
        <f>W84+0.125%</f>
        <v>0.09</v>
      </c>
      <c r="AR84" s="48">
        <f>AQ84+0.25%</f>
        <v>9.2499999999999999E-2</v>
      </c>
      <c r="AS84" s="48">
        <f>AR84+0.25%</f>
        <v>9.5000000000000001E-2</v>
      </c>
      <c r="AT84" s="64" t="s">
        <v>150</v>
      </c>
      <c r="AU84" s="64" t="s">
        <v>150</v>
      </c>
      <c r="AV84" s="64" t="s">
        <v>150</v>
      </c>
      <c r="AZ84" s="60" t="str">
        <f t="shared" si="105"/>
        <v>&lt;64.99%</v>
      </c>
      <c r="BA84" s="62">
        <f t="shared" si="112"/>
        <v>0.09</v>
      </c>
      <c r="BB84" s="48">
        <f t="shared" si="113"/>
        <v>9.2499999999999999E-2</v>
      </c>
      <c r="BC84" s="48">
        <f t="shared" si="114"/>
        <v>9.5000000000000001E-2</v>
      </c>
      <c r="BD84" s="49" t="str">
        <f t="shared" si="115"/>
        <v>NA</v>
      </c>
      <c r="BE84" s="49" t="str">
        <f t="shared" si="116"/>
        <v>NA</v>
      </c>
      <c r="BF84" s="49" t="str">
        <f t="shared" si="117"/>
        <v>NA</v>
      </c>
    </row>
    <row r="85" spans="2:58" ht="15" customHeight="1" x14ac:dyDescent="0.45">
      <c r="B85" s="52" t="s">
        <v>151</v>
      </c>
      <c r="C85" s="53">
        <f>C84+0</f>
        <v>8.7499999999999994E-2</v>
      </c>
      <c r="D85" s="53">
        <f>D84+0</f>
        <v>0.09</v>
      </c>
      <c r="E85" s="53">
        <f>E84+0</f>
        <v>9.2499999999999999E-2</v>
      </c>
      <c r="F85" s="54" t="s">
        <v>150</v>
      </c>
      <c r="G85" s="54" t="s">
        <v>150</v>
      </c>
      <c r="H85" s="54" t="s">
        <v>150</v>
      </c>
      <c r="L85" s="52" t="s">
        <v>151</v>
      </c>
      <c r="M85" s="53">
        <f t="shared" si="106"/>
        <v>8.7499999999999994E-2</v>
      </c>
      <c r="N85" s="53">
        <f t="shared" si="107"/>
        <v>0.09</v>
      </c>
      <c r="O85" s="53">
        <f t="shared" si="108"/>
        <v>9.2499999999999999E-2</v>
      </c>
      <c r="P85" s="54" t="str">
        <f t="shared" si="109"/>
        <v>NA</v>
      </c>
      <c r="Q85" s="54" t="str">
        <f t="shared" si="110"/>
        <v>NA</v>
      </c>
      <c r="R85" s="54" t="str">
        <f t="shared" si="111"/>
        <v>NA</v>
      </c>
      <c r="S85" s="55"/>
      <c r="T85" s="56"/>
      <c r="V85" s="52" t="str">
        <f t="shared" si="97"/>
        <v>FICO 700+</v>
      </c>
      <c r="W85" s="53">
        <f>W84+0</f>
        <v>8.8749999999999996E-2</v>
      </c>
      <c r="X85" s="53">
        <f>X84+0</f>
        <v>9.1249999999999998E-2</v>
      </c>
      <c r="Y85" s="53">
        <f>Y84+0</f>
        <v>9.375E-2</v>
      </c>
      <c r="Z85" s="54" t="s">
        <v>150</v>
      </c>
      <c r="AA85" s="54" t="s">
        <v>150</v>
      </c>
      <c r="AB85" s="54" t="s">
        <v>150</v>
      </c>
      <c r="AF85" s="52" t="str">
        <f t="shared" si="98"/>
        <v>FICO 700+</v>
      </c>
      <c r="AG85" s="53">
        <f t="shared" si="96"/>
        <v>8.8749999999999996E-2</v>
      </c>
      <c r="AH85" s="53">
        <f t="shared" si="99"/>
        <v>9.1249999999999998E-2</v>
      </c>
      <c r="AI85" s="53">
        <f t="shared" si="100"/>
        <v>9.375E-2</v>
      </c>
      <c r="AJ85" s="54" t="str">
        <f t="shared" si="101"/>
        <v>NA</v>
      </c>
      <c r="AK85" s="54" t="str">
        <f t="shared" si="102"/>
        <v>NA</v>
      </c>
      <c r="AL85" s="54" t="str">
        <f t="shared" si="103"/>
        <v>NA</v>
      </c>
      <c r="AM85" s="55"/>
      <c r="AN85" s="56"/>
      <c r="AP85" s="52" t="str">
        <f t="shared" si="104"/>
        <v>FICO 700+</v>
      </c>
      <c r="AQ85" s="53">
        <f>AQ84+0</f>
        <v>0.09</v>
      </c>
      <c r="AR85" s="53">
        <f>AR84+0</f>
        <v>9.2499999999999999E-2</v>
      </c>
      <c r="AS85" s="53">
        <f>AS84+0</f>
        <v>9.5000000000000001E-2</v>
      </c>
      <c r="AT85" s="54" t="s">
        <v>150</v>
      </c>
      <c r="AU85" s="54" t="s">
        <v>150</v>
      </c>
      <c r="AV85" s="54" t="s">
        <v>150</v>
      </c>
      <c r="AZ85" s="52" t="str">
        <f t="shared" si="105"/>
        <v>FICO 700+</v>
      </c>
      <c r="BA85" s="53">
        <f t="shared" si="112"/>
        <v>0.09</v>
      </c>
      <c r="BB85" s="53">
        <f t="shared" si="113"/>
        <v>9.2499999999999999E-2</v>
      </c>
      <c r="BC85" s="53">
        <f t="shared" si="114"/>
        <v>9.5000000000000001E-2</v>
      </c>
      <c r="BD85" s="54" t="str">
        <f t="shared" si="115"/>
        <v>NA</v>
      </c>
      <c r="BE85" s="54" t="str">
        <f t="shared" si="116"/>
        <v>NA</v>
      </c>
      <c r="BF85" s="54" t="str">
        <f t="shared" si="117"/>
        <v>NA</v>
      </c>
    </row>
    <row r="86" spans="2:58" ht="15" customHeight="1" x14ac:dyDescent="0.45">
      <c r="B86" s="52" t="s">
        <v>152</v>
      </c>
      <c r="C86" s="53">
        <f>C84+0.5%</f>
        <v>9.2499999999999999E-2</v>
      </c>
      <c r="D86" s="53">
        <f>D84+0.5%</f>
        <v>9.5000000000000001E-2</v>
      </c>
      <c r="E86" s="53">
        <f>E84+0.5%</f>
        <v>9.7500000000000003E-2</v>
      </c>
      <c r="F86" s="54" t="s">
        <v>150</v>
      </c>
      <c r="G86" s="54" t="s">
        <v>150</v>
      </c>
      <c r="H86" s="54" t="s">
        <v>150</v>
      </c>
      <c r="L86" s="52" t="s">
        <v>152</v>
      </c>
      <c r="M86" s="53">
        <f t="shared" si="106"/>
        <v>9.2499999999999999E-2</v>
      </c>
      <c r="N86" s="53">
        <f t="shared" si="107"/>
        <v>9.5000000000000001E-2</v>
      </c>
      <c r="O86" s="53">
        <f t="shared" si="108"/>
        <v>9.7500000000000003E-2</v>
      </c>
      <c r="P86" s="54" t="str">
        <f t="shared" si="109"/>
        <v>NA</v>
      </c>
      <c r="Q86" s="54" t="str">
        <f t="shared" si="110"/>
        <v>NA</v>
      </c>
      <c r="R86" s="54" t="str">
        <f t="shared" si="111"/>
        <v>NA</v>
      </c>
      <c r="S86" s="55"/>
      <c r="T86" s="56"/>
      <c r="V86" s="52" t="str">
        <f t="shared" si="97"/>
        <v>FICO 660-699</v>
      </c>
      <c r="W86" s="53">
        <f>W84+0.5%</f>
        <v>9.375E-2</v>
      </c>
      <c r="X86" s="53">
        <f>X84+0.5%</f>
        <v>9.6250000000000002E-2</v>
      </c>
      <c r="Y86" s="53">
        <f>Y84+0.5%</f>
        <v>9.8750000000000004E-2</v>
      </c>
      <c r="Z86" s="54" t="s">
        <v>150</v>
      </c>
      <c r="AA86" s="54" t="s">
        <v>150</v>
      </c>
      <c r="AB86" s="54" t="s">
        <v>150</v>
      </c>
      <c r="AF86" s="52" t="str">
        <f t="shared" si="98"/>
        <v>FICO 660-699</v>
      </c>
      <c r="AG86" s="53">
        <f t="shared" si="96"/>
        <v>9.375E-2</v>
      </c>
      <c r="AH86" s="53">
        <f t="shared" si="99"/>
        <v>9.6250000000000002E-2</v>
      </c>
      <c r="AI86" s="53">
        <f t="shared" si="100"/>
        <v>9.8750000000000004E-2</v>
      </c>
      <c r="AJ86" s="54" t="str">
        <f t="shared" si="101"/>
        <v>NA</v>
      </c>
      <c r="AK86" s="54" t="str">
        <f t="shared" si="102"/>
        <v>NA</v>
      </c>
      <c r="AL86" s="54" t="str">
        <f t="shared" si="103"/>
        <v>NA</v>
      </c>
      <c r="AM86" s="55"/>
      <c r="AN86" s="56"/>
      <c r="AP86" s="52" t="str">
        <f t="shared" si="104"/>
        <v>FICO 660-699</v>
      </c>
      <c r="AQ86" s="53">
        <f>AQ84+0.5%</f>
        <v>9.5000000000000001E-2</v>
      </c>
      <c r="AR86" s="53">
        <f>AR84+0.5%</f>
        <v>9.7500000000000003E-2</v>
      </c>
      <c r="AS86" s="53">
        <f>AS84+0.5%</f>
        <v>0.1</v>
      </c>
      <c r="AT86" s="54" t="s">
        <v>150</v>
      </c>
      <c r="AU86" s="54" t="s">
        <v>150</v>
      </c>
      <c r="AV86" s="54" t="s">
        <v>150</v>
      </c>
      <c r="AZ86" s="52" t="str">
        <f t="shared" si="105"/>
        <v>FICO 660-699</v>
      </c>
      <c r="BA86" s="53">
        <f t="shared" si="112"/>
        <v>9.5000000000000001E-2</v>
      </c>
      <c r="BB86" s="53">
        <f t="shared" si="113"/>
        <v>9.7500000000000003E-2</v>
      </c>
      <c r="BC86" s="53">
        <f t="shared" si="114"/>
        <v>0.1</v>
      </c>
      <c r="BD86" s="54" t="str">
        <f t="shared" si="115"/>
        <v>NA</v>
      </c>
      <c r="BE86" s="54" t="str">
        <f t="shared" si="116"/>
        <v>NA</v>
      </c>
      <c r="BF86" s="54" t="str">
        <f t="shared" si="117"/>
        <v>NA</v>
      </c>
    </row>
    <row r="87" spans="2:58" ht="15" customHeight="1" x14ac:dyDescent="0.45">
      <c r="B87" s="52" t="s">
        <v>153</v>
      </c>
      <c r="C87" s="54" t="s">
        <v>150</v>
      </c>
      <c r="D87" s="54" t="s">
        <v>150</v>
      </c>
      <c r="E87" s="54" t="s">
        <v>150</v>
      </c>
      <c r="F87" s="54" t="s">
        <v>150</v>
      </c>
      <c r="G87" s="54" t="s">
        <v>150</v>
      </c>
      <c r="H87" s="54" t="s">
        <v>150</v>
      </c>
      <c r="L87" s="52" t="s">
        <v>153</v>
      </c>
      <c r="M87" s="54" t="str">
        <f t="shared" si="106"/>
        <v>NA</v>
      </c>
      <c r="N87" s="54" t="str">
        <f t="shared" si="107"/>
        <v>NA</v>
      </c>
      <c r="O87" s="54" t="str">
        <f t="shared" si="108"/>
        <v>NA</v>
      </c>
      <c r="P87" s="54" t="str">
        <f t="shared" si="109"/>
        <v>NA</v>
      </c>
      <c r="Q87" s="54" t="str">
        <f t="shared" si="110"/>
        <v>NA</v>
      </c>
      <c r="R87" s="54" t="str">
        <f t="shared" si="111"/>
        <v>NA</v>
      </c>
      <c r="S87" s="55"/>
      <c r="T87" s="56"/>
      <c r="V87" s="52" t="str">
        <f t="shared" si="97"/>
        <v>FICO 640-659</v>
      </c>
      <c r="W87" s="54" t="s">
        <v>150</v>
      </c>
      <c r="X87" s="54" t="s">
        <v>150</v>
      </c>
      <c r="Y87" s="54" t="s">
        <v>150</v>
      </c>
      <c r="Z87" s="54" t="s">
        <v>150</v>
      </c>
      <c r="AA87" s="54" t="s">
        <v>150</v>
      </c>
      <c r="AB87" s="54" t="s">
        <v>150</v>
      </c>
      <c r="AF87" s="52" t="str">
        <f t="shared" si="98"/>
        <v>FICO 640-659</v>
      </c>
      <c r="AG87" s="54" t="str">
        <f t="shared" si="96"/>
        <v>NA</v>
      </c>
      <c r="AH87" s="54" t="str">
        <f t="shared" si="99"/>
        <v>NA</v>
      </c>
      <c r="AI87" s="54" t="str">
        <f t="shared" si="100"/>
        <v>NA</v>
      </c>
      <c r="AJ87" s="54" t="str">
        <f t="shared" si="101"/>
        <v>NA</v>
      </c>
      <c r="AK87" s="54" t="str">
        <f t="shared" si="102"/>
        <v>NA</v>
      </c>
      <c r="AL87" s="54" t="str">
        <f t="shared" si="103"/>
        <v>NA</v>
      </c>
      <c r="AM87" s="55"/>
      <c r="AN87" s="56"/>
      <c r="AP87" s="52" t="str">
        <f t="shared" si="104"/>
        <v>FICO 640-659</v>
      </c>
      <c r="AQ87" s="54" t="s">
        <v>150</v>
      </c>
      <c r="AR87" s="54" t="s">
        <v>150</v>
      </c>
      <c r="AS87" s="54" t="s">
        <v>150</v>
      </c>
      <c r="AT87" s="54" t="s">
        <v>150</v>
      </c>
      <c r="AU87" s="54" t="s">
        <v>150</v>
      </c>
      <c r="AV87" s="54" t="s">
        <v>150</v>
      </c>
      <c r="AZ87" s="52" t="str">
        <f t="shared" si="105"/>
        <v>FICO 640-659</v>
      </c>
      <c r="BA87" s="54" t="str">
        <f t="shared" si="112"/>
        <v>NA</v>
      </c>
      <c r="BB87" s="54" t="str">
        <f t="shared" si="113"/>
        <v>NA</v>
      </c>
      <c r="BC87" s="54" t="str">
        <f t="shared" si="114"/>
        <v>NA</v>
      </c>
      <c r="BD87" s="54" t="str">
        <f t="shared" si="115"/>
        <v>NA</v>
      </c>
      <c r="BE87" s="54" t="str">
        <f t="shared" si="116"/>
        <v>NA</v>
      </c>
      <c r="BF87" s="54" t="str">
        <f t="shared" si="117"/>
        <v>NA</v>
      </c>
    </row>
    <row r="88" spans="2:58" ht="15" customHeight="1" x14ac:dyDescent="0.45">
      <c r="B88" s="37"/>
      <c r="C88" s="63"/>
      <c r="D88" s="63"/>
      <c r="E88" s="63"/>
      <c r="F88" s="63"/>
      <c r="G88" s="63"/>
      <c r="H88" s="63"/>
      <c r="L88" s="37"/>
      <c r="M88" s="63"/>
      <c r="N88" s="63"/>
      <c r="O88" s="63"/>
      <c r="P88" s="63"/>
      <c r="Q88" s="63"/>
      <c r="R88" s="63"/>
      <c r="S88" s="55"/>
      <c r="T88" s="56"/>
      <c r="V88" s="37"/>
      <c r="W88" s="63"/>
      <c r="X88" s="63"/>
      <c r="Y88" s="63"/>
      <c r="Z88" s="63"/>
      <c r="AA88" s="63"/>
      <c r="AB88" s="63"/>
      <c r="AF88" s="37"/>
      <c r="AG88" s="63"/>
      <c r="AH88" s="63"/>
      <c r="AI88" s="63"/>
      <c r="AJ88" s="63"/>
      <c r="AK88" s="63"/>
      <c r="AL88" s="63"/>
      <c r="AM88" s="55"/>
      <c r="AN88" s="56"/>
      <c r="AP88" s="37"/>
      <c r="AQ88" s="63"/>
      <c r="AR88" s="63"/>
      <c r="AS88" s="63"/>
      <c r="AT88" s="63"/>
      <c r="AU88" s="63"/>
      <c r="AV88" s="63"/>
      <c r="AZ88" s="37"/>
      <c r="BA88" s="63"/>
      <c r="BB88" s="63"/>
      <c r="BC88" s="63"/>
      <c r="BD88" s="63"/>
      <c r="BE88" s="63"/>
      <c r="BF88" s="63"/>
    </row>
    <row r="89" spans="2:58" ht="15.75" customHeight="1" x14ac:dyDescent="0.45">
      <c r="B89" s="94" t="s">
        <v>157</v>
      </c>
      <c r="C89" s="94"/>
      <c r="D89" s="94"/>
      <c r="E89" s="94"/>
      <c r="F89" s="94"/>
      <c r="G89" s="94"/>
      <c r="H89" s="94"/>
      <c r="L89" s="94" t="s">
        <v>157</v>
      </c>
      <c r="M89" s="94"/>
      <c r="N89" s="94"/>
      <c r="O89" s="94"/>
      <c r="P89" s="94"/>
      <c r="Q89" s="94"/>
      <c r="R89" s="94"/>
      <c r="S89" s="39"/>
      <c r="T89" s="40"/>
      <c r="V89" s="94" t="s">
        <v>157</v>
      </c>
      <c r="W89" s="94"/>
      <c r="X89" s="94"/>
      <c r="Y89" s="94"/>
      <c r="Z89" s="94"/>
      <c r="AA89" s="94"/>
      <c r="AB89" s="94"/>
      <c r="AF89" s="94" t="s">
        <v>157</v>
      </c>
      <c r="AG89" s="94"/>
      <c r="AH89" s="94"/>
      <c r="AI89" s="94"/>
      <c r="AJ89" s="94"/>
      <c r="AK89" s="94"/>
      <c r="AL89" s="94"/>
      <c r="AM89" s="39"/>
      <c r="AN89" s="40"/>
      <c r="AP89" s="94" t="s">
        <v>157</v>
      </c>
      <c r="AQ89" s="94"/>
      <c r="AR89" s="94"/>
      <c r="AS89" s="94"/>
      <c r="AT89" s="94"/>
      <c r="AU89" s="94"/>
      <c r="AV89" s="94"/>
      <c r="AZ89" s="94" t="s">
        <v>157</v>
      </c>
      <c r="BA89" s="94"/>
      <c r="BB89" s="94"/>
      <c r="BC89" s="94"/>
      <c r="BD89" s="94"/>
      <c r="BE89" s="94"/>
      <c r="BF89" s="94"/>
    </row>
    <row r="90" spans="2:58" ht="15" customHeight="1" x14ac:dyDescent="0.45">
      <c r="B90" s="42"/>
      <c r="C90" s="95" t="s">
        <v>50</v>
      </c>
      <c r="D90" s="95"/>
      <c r="E90" s="95"/>
      <c r="F90" s="95"/>
      <c r="G90" s="95"/>
      <c r="H90" s="95"/>
      <c r="L90" s="42"/>
      <c r="M90" s="95" t="s">
        <v>50</v>
      </c>
      <c r="N90" s="95"/>
      <c r="O90" s="95"/>
      <c r="P90" s="95"/>
      <c r="Q90" s="95"/>
      <c r="R90" s="95"/>
      <c r="S90" s="41"/>
      <c r="T90" s="43"/>
      <c r="V90" s="42"/>
      <c r="W90" s="95" t="str">
        <f>C90</f>
        <v>LTC</v>
      </c>
      <c r="X90" s="95"/>
      <c r="Y90" s="95"/>
      <c r="Z90" s="95"/>
      <c r="AA90" s="95"/>
      <c r="AB90" s="95"/>
      <c r="AF90" s="42"/>
      <c r="AG90" s="95" t="str">
        <f t="shared" ref="AG90:AG103" si="118">W90</f>
        <v>LTC</v>
      </c>
      <c r="AH90" s="95"/>
      <c r="AI90" s="95"/>
      <c r="AJ90" s="95"/>
      <c r="AK90" s="95"/>
      <c r="AL90" s="95"/>
      <c r="AM90" s="41"/>
      <c r="AN90" s="43"/>
      <c r="AP90" s="42"/>
      <c r="AQ90" s="95" t="str">
        <f>C90</f>
        <v>LTC</v>
      </c>
      <c r="AR90" s="95"/>
      <c r="AS90" s="95"/>
      <c r="AT90" s="95"/>
      <c r="AU90" s="95"/>
      <c r="AV90" s="95"/>
      <c r="AZ90" s="42"/>
      <c r="BA90" s="95" t="str">
        <f>C90</f>
        <v>LTC</v>
      </c>
      <c r="BB90" s="95"/>
      <c r="BC90" s="95"/>
      <c r="BD90" s="95"/>
      <c r="BE90" s="95"/>
      <c r="BF90" s="95"/>
    </row>
    <row r="91" spans="2:58" ht="15" customHeight="1" x14ac:dyDescent="0.45">
      <c r="B91" s="44" t="s">
        <v>52</v>
      </c>
      <c r="C91" s="45" t="s">
        <v>143</v>
      </c>
      <c r="D91" s="45" t="s">
        <v>144</v>
      </c>
      <c r="E91" s="45" t="s">
        <v>145</v>
      </c>
      <c r="F91" s="45" t="s">
        <v>146</v>
      </c>
      <c r="G91" s="45" t="s">
        <v>147</v>
      </c>
      <c r="H91" s="45" t="s">
        <v>148</v>
      </c>
      <c r="L91" s="44" t="s">
        <v>52</v>
      </c>
      <c r="M91" s="45" t="s">
        <v>143</v>
      </c>
      <c r="N91" s="45" t="s">
        <v>144</v>
      </c>
      <c r="O91" s="45" t="s">
        <v>145</v>
      </c>
      <c r="P91" s="45" t="s">
        <v>146</v>
      </c>
      <c r="Q91" s="45" t="s">
        <v>147</v>
      </c>
      <c r="R91" s="45" t="s">
        <v>148</v>
      </c>
      <c r="S91" s="41"/>
      <c r="T91" s="43"/>
      <c r="V91" s="44" t="str">
        <f t="shared" ref="V91:V103" si="119">B91</f>
        <v>AR-LTV</v>
      </c>
      <c r="W91" s="45" t="str">
        <f>C91</f>
        <v>&lt;74.99%</v>
      </c>
      <c r="X91" s="45" t="str">
        <f>D91</f>
        <v>75.00%-80.00%</v>
      </c>
      <c r="Y91" s="45" t="str">
        <f>E91</f>
        <v>80.01%-85.00%</v>
      </c>
      <c r="Z91" s="45" t="str">
        <f>F91</f>
        <v>85.01%-87.50%</v>
      </c>
      <c r="AA91" s="45" t="str">
        <f>G91</f>
        <v>87.51%-89.99%</v>
      </c>
      <c r="AB91" s="45" t="str">
        <f>H91</f>
        <v>90.00%-92.50%</v>
      </c>
      <c r="AF91" s="44" t="str">
        <f t="shared" ref="AF91:AF103" si="120">V91</f>
        <v>AR-LTV</v>
      </c>
      <c r="AG91" s="45" t="str">
        <f t="shared" si="118"/>
        <v>&lt;74.99%</v>
      </c>
      <c r="AH91" s="45" t="str">
        <f t="shared" ref="AH91:AH103" si="121">X91</f>
        <v>75.00%-80.00%</v>
      </c>
      <c r="AI91" s="45" t="str">
        <f t="shared" ref="AI91:AI103" si="122">Y91</f>
        <v>80.01%-85.00%</v>
      </c>
      <c r="AJ91" s="45" t="str">
        <f t="shared" ref="AJ91:AJ103" si="123">Z91</f>
        <v>85.01%-87.50%</v>
      </c>
      <c r="AK91" s="45" t="str">
        <f t="shared" ref="AK91:AK103" si="124">AA91</f>
        <v>87.51%-89.99%</v>
      </c>
      <c r="AL91" s="45" t="str">
        <f t="shared" ref="AL91:AL103" si="125">AB91</f>
        <v>90.00%-92.50%</v>
      </c>
      <c r="AM91" s="41"/>
      <c r="AN91" s="43"/>
      <c r="AP91" s="44" t="str">
        <f t="shared" ref="AP91:AP103" si="126">B91</f>
        <v>AR-LTV</v>
      </c>
      <c r="AQ91" s="45" t="str">
        <f>C91</f>
        <v>&lt;74.99%</v>
      </c>
      <c r="AR91" s="45" t="str">
        <f>D91</f>
        <v>75.00%-80.00%</v>
      </c>
      <c r="AS91" s="45" t="str">
        <f>E91</f>
        <v>80.01%-85.00%</v>
      </c>
      <c r="AT91" s="45" t="str">
        <f>F91</f>
        <v>85.01%-87.50%</v>
      </c>
      <c r="AU91" s="45" t="str">
        <f>G91</f>
        <v>87.51%-89.99%</v>
      </c>
      <c r="AV91" s="45" t="str">
        <f>H91</f>
        <v>90.00%-92.50%</v>
      </c>
      <c r="AZ91" s="44" t="str">
        <f t="shared" ref="AZ91:AZ103" si="127">B91</f>
        <v>AR-LTV</v>
      </c>
      <c r="BA91" s="45" t="str">
        <f>C91</f>
        <v>&lt;74.99%</v>
      </c>
      <c r="BB91" s="45" t="str">
        <f>D91</f>
        <v>75.00%-80.00%</v>
      </c>
      <c r="BC91" s="45" t="str">
        <f>E91</f>
        <v>80.01%-85.00%</v>
      </c>
      <c r="BD91" s="45" t="str">
        <f>F91</f>
        <v>85.01%-87.50%</v>
      </c>
      <c r="BE91" s="45" t="str">
        <f>G91</f>
        <v>87.51%-89.99%</v>
      </c>
      <c r="BF91" s="45" t="str">
        <f>H91</f>
        <v>90.00%-92.50%</v>
      </c>
    </row>
    <row r="92" spans="2:58" ht="15" customHeight="1" x14ac:dyDescent="0.45">
      <c r="B92" s="46" t="s">
        <v>149</v>
      </c>
      <c r="C92" s="49" t="s">
        <v>150</v>
      </c>
      <c r="D92" s="49" t="s">
        <v>150</v>
      </c>
      <c r="E92" s="49" t="s">
        <v>150</v>
      </c>
      <c r="F92" s="49" t="s">
        <v>150</v>
      </c>
      <c r="G92" s="49" t="s">
        <v>150</v>
      </c>
      <c r="H92" s="49" t="s">
        <v>150</v>
      </c>
      <c r="L92" s="46" t="s">
        <v>149</v>
      </c>
      <c r="M92" s="49" t="str">
        <f t="shared" ref="M92:M103" si="128">C92</f>
        <v>NA</v>
      </c>
      <c r="N92" s="49" t="str">
        <f t="shared" ref="N92:N103" si="129">D92</f>
        <v>NA</v>
      </c>
      <c r="O92" s="49" t="str">
        <f t="shared" ref="O92:O103" si="130">E92</f>
        <v>NA</v>
      </c>
      <c r="P92" s="49" t="str">
        <f t="shared" ref="P92:P103" si="131">F92</f>
        <v>NA</v>
      </c>
      <c r="Q92" s="49" t="str">
        <f t="shared" ref="Q92:Q103" si="132">G92</f>
        <v>NA</v>
      </c>
      <c r="R92" s="49" t="str">
        <f t="shared" ref="R92:R103" si="133">H92</f>
        <v>NA</v>
      </c>
      <c r="S92" s="50"/>
      <c r="T92" s="51"/>
      <c r="V92" s="46" t="str">
        <f t="shared" si="119"/>
        <v>70.01%-75.00%</v>
      </c>
      <c r="W92" s="49" t="s">
        <v>150</v>
      </c>
      <c r="X92" s="49" t="s">
        <v>150</v>
      </c>
      <c r="Y92" s="49" t="s">
        <v>150</v>
      </c>
      <c r="Z92" s="49" t="s">
        <v>150</v>
      </c>
      <c r="AA92" s="49" t="s">
        <v>150</v>
      </c>
      <c r="AB92" s="49" t="s">
        <v>150</v>
      </c>
      <c r="AF92" s="46" t="str">
        <f t="shared" si="120"/>
        <v>70.01%-75.00%</v>
      </c>
      <c r="AG92" s="49" t="str">
        <f t="shared" si="118"/>
        <v>NA</v>
      </c>
      <c r="AH92" s="49" t="str">
        <f t="shared" si="121"/>
        <v>NA</v>
      </c>
      <c r="AI92" s="49" t="str">
        <f t="shared" si="122"/>
        <v>NA</v>
      </c>
      <c r="AJ92" s="49" t="str">
        <f t="shared" si="123"/>
        <v>NA</v>
      </c>
      <c r="AK92" s="49" t="str">
        <f t="shared" si="124"/>
        <v>NA</v>
      </c>
      <c r="AL92" s="49" t="str">
        <f t="shared" si="125"/>
        <v>NA</v>
      </c>
      <c r="AM92" s="50"/>
      <c r="AN92" s="51"/>
      <c r="AP92" s="46" t="str">
        <f t="shared" si="126"/>
        <v>70.01%-75.00%</v>
      </c>
      <c r="AQ92" s="49" t="s">
        <v>150</v>
      </c>
      <c r="AR92" s="49" t="s">
        <v>150</v>
      </c>
      <c r="AS92" s="49" t="s">
        <v>150</v>
      </c>
      <c r="AT92" s="49" t="s">
        <v>150</v>
      </c>
      <c r="AU92" s="49" t="s">
        <v>150</v>
      </c>
      <c r="AV92" s="49" t="s">
        <v>150</v>
      </c>
      <c r="AZ92" s="46" t="str">
        <f t="shared" si="127"/>
        <v>70.01%-75.00%</v>
      </c>
      <c r="BA92" s="49" t="str">
        <f t="shared" ref="BA92:BA103" si="134">AQ92</f>
        <v>NA</v>
      </c>
      <c r="BB92" s="49" t="str">
        <f t="shared" ref="BB92:BB103" si="135">AR92</f>
        <v>NA</v>
      </c>
      <c r="BC92" s="49" t="str">
        <f t="shared" ref="BC92:BC103" si="136">AS92</f>
        <v>NA</v>
      </c>
      <c r="BD92" s="49" t="str">
        <f t="shared" ref="BD92:BD103" si="137">AT92</f>
        <v>NA</v>
      </c>
      <c r="BE92" s="49" t="str">
        <f t="shared" ref="BE92:BE103" si="138">AU92</f>
        <v>NA</v>
      </c>
      <c r="BF92" s="49" t="str">
        <f t="shared" ref="BF92:BF103" si="139">AV92</f>
        <v>NA</v>
      </c>
    </row>
    <row r="93" spans="2:58" ht="15" customHeight="1" x14ac:dyDescent="0.45">
      <c r="B93" s="52" t="s">
        <v>151</v>
      </c>
      <c r="C93" s="54" t="s">
        <v>150</v>
      </c>
      <c r="D93" s="54" t="s">
        <v>150</v>
      </c>
      <c r="E93" s="54" t="s">
        <v>150</v>
      </c>
      <c r="F93" s="54" t="s">
        <v>150</v>
      </c>
      <c r="G93" s="54" t="s">
        <v>150</v>
      </c>
      <c r="H93" s="54" t="s">
        <v>150</v>
      </c>
      <c r="L93" s="52" t="s">
        <v>151</v>
      </c>
      <c r="M93" s="54" t="str">
        <f t="shared" si="128"/>
        <v>NA</v>
      </c>
      <c r="N93" s="54" t="str">
        <f t="shared" si="129"/>
        <v>NA</v>
      </c>
      <c r="O93" s="54" t="str">
        <f t="shared" si="130"/>
        <v>NA</v>
      </c>
      <c r="P93" s="54" t="str">
        <f t="shared" si="131"/>
        <v>NA</v>
      </c>
      <c r="Q93" s="54" t="str">
        <f t="shared" si="132"/>
        <v>NA</v>
      </c>
      <c r="R93" s="54" t="str">
        <f t="shared" si="133"/>
        <v>NA</v>
      </c>
      <c r="S93" s="55"/>
      <c r="T93" s="56"/>
      <c r="V93" s="52" t="str">
        <f t="shared" si="119"/>
        <v>FICO 700+</v>
      </c>
      <c r="W93" s="54" t="s">
        <v>150</v>
      </c>
      <c r="X93" s="54" t="s">
        <v>150</v>
      </c>
      <c r="Y93" s="54" t="s">
        <v>150</v>
      </c>
      <c r="Z93" s="54" t="s">
        <v>150</v>
      </c>
      <c r="AA93" s="54" t="s">
        <v>150</v>
      </c>
      <c r="AB93" s="54" t="s">
        <v>150</v>
      </c>
      <c r="AF93" s="52" t="str">
        <f t="shared" si="120"/>
        <v>FICO 700+</v>
      </c>
      <c r="AG93" s="54" t="str">
        <f t="shared" si="118"/>
        <v>NA</v>
      </c>
      <c r="AH93" s="54" t="str">
        <f t="shared" si="121"/>
        <v>NA</v>
      </c>
      <c r="AI93" s="54" t="str">
        <f t="shared" si="122"/>
        <v>NA</v>
      </c>
      <c r="AJ93" s="54" t="str">
        <f t="shared" si="123"/>
        <v>NA</v>
      </c>
      <c r="AK93" s="54" t="str">
        <f t="shared" si="124"/>
        <v>NA</v>
      </c>
      <c r="AL93" s="54" t="str">
        <f t="shared" si="125"/>
        <v>NA</v>
      </c>
      <c r="AM93" s="55"/>
      <c r="AN93" s="56"/>
      <c r="AP93" s="52" t="str">
        <f t="shared" si="126"/>
        <v>FICO 700+</v>
      </c>
      <c r="AQ93" s="54" t="s">
        <v>150</v>
      </c>
      <c r="AR93" s="54" t="s">
        <v>150</v>
      </c>
      <c r="AS93" s="54" t="s">
        <v>150</v>
      </c>
      <c r="AT93" s="54" t="s">
        <v>150</v>
      </c>
      <c r="AU93" s="54" t="s">
        <v>150</v>
      </c>
      <c r="AV93" s="54" t="s">
        <v>150</v>
      </c>
      <c r="AZ93" s="52" t="str">
        <f t="shared" si="127"/>
        <v>FICO 700+</v>
      </c>
      <c r="BA93" s="54" t="str">
        <f t="shared" si="134"/>
        <v>NA</v>
      </c>
      <c r="BB93" s="54" t="str">
        <f t="shared" si="135"/>
        <v>NA</v>
      </c>
      <c r="BC93" s="54" t="str">
        <f t="shared" si="136"/>
        <v>NA</v>
      </c>
      <c r="BD93" s="54" t="str">
        <f t="shared" si="137"/>
        <v>NA</v>
      </c>
      <c r="BE93" s="54" t="str">
        <f t="shared" si="138"/>
        <v>NA</v>
      </c>
      <c r="BF93" s="54" t="str">
        <f t="shared" si="139"/>
        <v>NA</v>
      </c>
    </row>
    <row r="94" spans="2:58" ht="15" customHeight="1" x14ac:dyDescent="0.45">
      <c r="B94" s="52" t="s">
        <v>158</v>
      </c>
      <c r="C94" s="54" t="s">
        <v>150</v>
      </c>
      <c r="D94" s="54" t="s">
        <v>150</v>
      </c>
      <c r="E94" s="54" t="s">
        <v>150</v>
      </c>
      <c r="F94" s="54" t="s">
        <v>150</v>
      </c>
      <c r="G94" s="54" t="s">
        <v>150</v>
      </c>
      <c r="H94" s="54" t="s">
        <v>150</v>
      </c>
      <c r="L94" s="52" t="s">
        <v>158</v>
      </c>
      <c r="M94" s="54" t="str">
        <f t="shared" si="128"/>
        <v>NA</v>
      </c>
      <c r="N94" s="54" t="str">
        <f t="shared" si="129"/>
        <v>NA</v>
      </c>
      <c r="O94" s="54" t="str">
        <f t="shared" si="130"/>
        <v>NA</v>
      </c>
      <c r="P94" s="54" t="str">
        <f t="shared" si="131"/>
        <v>NA</v>
      </c>
      <c r="Q94" s="54" t="str">
        <f t="shared" si="132"/>
        <v>NA</v>
      </c>
      <c r="R94" s="54" t="str">
        <f t="shared" si="133"/>
        <v>NA</v>
      </c>
      <c r="S94" s="55"/>
      <c r="T94" s="56"/>
      <c r="V94" s="52" t="str">
        <f t="shared" si="119"/>
        <v>FICO 680-699</v>
      </c>
      <c r="W94" s="54" t="s">
        <v>150</v>
      </c>
      <c r="X94" s="54" t="s">
        <v>150</v>
      </c>
      <c r="Y94" s="54" t="s">
        <v>150</v>
      </c>
      <c r="Z94" s="54" t="s">
        <v>150</v>
      </c>
      <c r="AA94" s="54" t="s">
        <v>150</v>
      </c>
      <c r="AB94" s="54" t="s">
        <v>150</v>
      </c>
      <c r="AF94" s="52" t="str">
        <f t="shared" si="120"/>
        <v>FICO 680-699</v>
      </c>
      <c r="AG94" s="54" t="str">
        <f t="shared" si="118"/>
        <v>NA</v>
      </c>
      <c r="AH94" s="54" t="str">
        <f t="shared" si="121"/>
        <v>NA</v>
      </c>
      <c r="AI94" s="54" t="str">
        <f t="shared" si="122"/>
        <v>NA</v>
      </c>
      <c r="AJ94" s="54" t="str">
        <f t="shared" si="123"/>
        <v>NA</v>
      </c>
      <c r="AK94" s="54" t="str">
        <f t="shared" si="124"/>
        <v>NA</v>
      </c>
      <c r="AL94" s="54" t="str">
        <f t="shared" si="125"/>
        <v>NA</v>
      </c>
      <c r="AM94" s="55"/>
      <c r="AN94" s="56"/>
      <c r="AP94" s="52" t="str">
        <f t="shared" si="126"/>
        <v>FICO 680-699</v>
      </c>
      <c r="AQ94" s="54" t="s">
        <v>150</v>
      </c>
      <c r="AR94" s="54" t="s">
        <v>150</v>
      </c>
      <c r="AS94" s="54" t="s">
        <v>150</v>
      </c>
      <c r="AT94" s="54" t="s">
        <v>150</v>
      </c>
      <c r="AU94" s="54" t="s">
        <v>150</v>
      </c>
      <c r="AV94" s="54" t="s">
        <v>150</v>
      </c>
      <c r="AZ94" s="52" t="str">
        <f t="shared" si="127"/>
        <v>FICO 680-699</v>
      </c>
      <c r="BA94" s="54" t="str">
        <f t="shared" si="134"/>
        <v>NA</v>
      </c>
      <c r="BB94" s="54" t="str">
        <f t="shared" si="135"/>
        <v>NA</v>
      </c>
      <c r="BC94" s="54" t="str">
        <f t="shared" si="136"/>
        <v>NA</v>
      </c>
      <c r="BD94" s="54" t="str">
        <f t="shared" si="137"/>
        <v>NA</v>
      </c>
      <c r="BE94" s="54" t="str">
        <f t="shared" si="138"/>
        <v>NA</v>
      </c>
      <c r="BF94" s="54" t="str">
        <f t="shared" si="139"/>
        <v>NA</v>
      </c>
    </row>
    <row r="95" spans="2:58" ht="15" customHeight="1" x14ac:dyDescent="0.45">
      <c r="B95" s="57" t="s">
        <v>159</v>
      </c>
      <c r="C95" s="59" t="s">
        <v>150</v>
      </c>
      <c r="D95" s="59" t="s">
        <v>150</v>
      </c>
      <c r="E95" s="59" t="s">
        <v>150</v>
      </c>
      <c r="F95" s="59" t="s">
        <v>150</v>
      </c>
      <c r="G95" s="59" t="s">
        <v>150</v>
      </c>
      <c r="H95" s="59" t="s">
        <v>150</v>
      </c>
      <c r="L95" s="57" t="s">
        <v>159</v>
      </c>
      <c r="M95" s="59" t="str">
        <f t="shared" si="128"/>
        <v>NA</v>
      </c>
      <c r="N95" s="59" t="str">
        <f t="shared" si="129"/>
        <v>NA</v>
      </c>
      <c r="O95" s="59" t="str">
        <f t="shared" si="130"/>
        <v>NA</v>
      </c>
      <c r="P95" s="59" t="str">
        <f t="shared" si="131"/>
        <v>NA</v>
      </c>
      <c r="Q95" s="59" t="str">
        <f t="shared" si="132"/>
        <v>NA</v>
      </c>
      <c r="R95" s="59" t="str">
        <f t="shared" si="133"/>
        <v>NA</v>
      </c>
      <c r="S95" s="55"/>
      <c r="T95" s="56"/>
      <c r="V95" s="57" t="str">
        <f t="shared" si="119"/>
        <v>FICO 640-679</v>
      </c>
      <c r="W95" s="59" t="s">
        <v>150</v>
      </c>
      <c r="X95" s="59" t="s">
        <v>150</v>
      </c>
      <c r="Y95" s="59" t="s">
        <v>150</v>
      </c>
      <c r="Z95" s="59" t="s">
        <v>150</v>
      </c>
      <c r="AA95" s="59" t="s">
        <v>150</v>
      </c>
      <c r="AB95" s="59" t="s">
        <v>150</v>
      </c>
      <c r="AF95" s="57" t="str">
        <f t="shared" si="120"/>
        <v>FICO 640-679</v>
      </c>
      <c r="AG95" s="59" t="str">
        <f t="shared" si="118"/>
        <v>NA</v>
      </c>
      <c r="AH95" s="59" t="str">
        <f t="shared" si="121"/>
        <v>NA</v>
      </c>
      <c r="AI95" s="59" t="str">
        <f t="shared" si="122"/>
        <v>NA</v>
      </c>
      <c r="AJ95" s="59" t="str">
        <f t="shared" si="123"/>
        <v>NA</v>
      </c>
      <c r="AK95" s="59" t="str">
        <f t="shared" si="124"/>
        <v>NA</v>
      </c>
      <c r="AL95" s="59" t="str">
        <f t="shared" si="125"/>
        <v>NA</v>
      </c>
      <c r="AM95" s="55"/>
      <c r="AN95" s="56"/>
      <c r="AP95" s="57" t="str">
        <f t="shared" si="126"/>
        <v>FICO 640-679</v>
      </c>
      <c r="AQ95" s="59" t="s">
        <v>150</v>
      </c>
      <c r="AR95" s="59" t="s">
        <v>150</v>
      </c>
      <c r="AS95" s="59" t="s">
        <v>150</v>
      </c>
      <c r="AT95" s="59" t="s">
        <v>150</v>
      </c>
      <c r="AU95" s="59" t="s">
        <v>150</v>
      </c>
      <c r="AV95" s="59" t="s">
        <v>150</v>
      </c>
      <c r="AZ95" s="57" t="str">
        <f t="shared" si="127"/>
        <v>FICO 640-679</v>
      </c>
      <c r="BA95" s="59" t="str">
        <f t="shared" si="134"/>
        <v>NA</v>
      </c>
      <c r="BB95" s="59" t="str">
        <f t="shared" si="135"/>
        <v>NA</v>
      </c>
      <c r="BC95" s="59" t="str">
        <f t="shared" si="136"/>
        <v>NA</v>
      </c>
      <c r="BD95" s="59" t="str">
        <f t="shared" si="137"/>
        <v>NA</v>
      </c>
      <c r="BE95" s="59" t="str">
        <f t="shared" si="138"/>
        <v>NA</v>
      </c>
      <c r="BF95" s="59" t="str">
        <f t="shared" si="139"/>
        <v>NA</v>
      </c>
    </row>
    <row r="96" spans="2:58" ht="15" customHeight="1" x14ac:dyDescent="0.45">
      <c r="B96" s="60" t="s">
        <v>154</v>
      </c>
      <c r="C96" s="64" t="s">
        <v>150</v>
      </c>
      <c r="D96" s="64" t="s">
        <v>150</v>
      </c>
      <c r="E96" s="64" t="s">
        <v>150</v>
      </c>
      <c r="F96" s="64" t="s">
        <v>150</v>
      </c>
      <c r="G96" s="64" t="s">
        <v>150</v>
      </c>
      <c r="H96" s="64" t="s">
        <v>150</v>
      </c>
      <c r="L96" s="60" t="s">
        <v>154</v>
      </c>
      <c r="M96" s="64" t="str">
        <f t="shared" si="128"/>
        <v>NA</v>
      </c>
      <c r="N96" s="64" t="str">
        <f t="shared" si="129"/>
        <v>NA</v>
      </c>
      <c r="O96" s="64" t="str">
        <f t="shared" si="130"/>
        <v>NA</v>
      </c>
      <c r="P96" s="64" t="str">
        <f t="shared" si="131"/>
        <v>NA</v>
      </c>
      <c r="Q96" s="64" t="str">
        <f t="shared" si="132"/>
        <v>NA</v>
      </c>
      <c r="R96" s="64" t="str">
        <f t="shared" si="133"/>
        <v>NA</v>
      </c>
      <c r="S96" s="50"/>
      <c r="T96" s="51"/>
      <c r="V96" s="60" t="str">
        <f t="shared" si="119"/>
        <v>65.00%-70.00%</v>
      </c>
      <c r="W96" s="64" t="s">
        <v>150</v>
      </c>
      <c r="X96" s="64" t="s">
        <v>150</v>
      </c>
      <c r="Y96" s="64" t="s">
        <v>150</v>
      </c>
      <c r="Z96" s="64" t="s">
        <v>150</v>
      </c>
      <c r="AA96" s="64" t="s">
        <v>150</v>
      </c>
      <c r="AB96" s="64" t="s">
        <v>150</v>
      </c>
      <c r="AF96" s="60" t="str">
        <f t="shared" si="120"/>
        <v>65.00%-70.00%</v>
      </c>
      <c r="AG96" s="64" t="str">
        <f t="shared" si="118"/>
        <v>NA</v>
      </c>
      <c r="AH96" s="64" t="str">
        <f t="shared" si="121"/>
        <v>NA</v>
      </c>
      <c r="AI96" s="64" t="str">
        <f t="shared" si="122"/>
        <v>NA</v>
      </c>
      <c r="AJ96" s="64" t="str">
        <f t="shared" si="123"/>
        <v>NA</v>
      </c>
      <c r="AK96" s="64" t="str">
        <f t="shared" si="124"/>
        <v>NA</v>
      </c>
      <c r="AL96" s="64" t="str">
        <f t="shared" si="125"/>
        <v>NA</v>
      </c>
      <c r="AM96" s="50"/>
      <c r="AN96" s="51"/>
      <c r="AP96" s="60" t="str">
        <f t="shared" si="126"/>
        <v>65.00%-70.00%</v>
      </c>
      <c r="AQ96" s="64" t="s">
        <v>150</v>
      </c>
      <c r="AR96" s="64" t="s">
        <v>150</v>
      </c>
      <c r="AS96" s="64" t="s">
        <v>150</v>
      </c>
      <c r="AT96" s="64" t="s">
        <v>150</v>
      </c>
      <c r="AU96" s="64" t="s">
        <v>150</v>
      </c>
      <c r="AV96" s="64" t="s">
        <v>150</v>
      </c>
      <c r="AZ96" s="60" t="str">
        <f t="shared" si="127"/>
        <v>65.00%-70.00%</v>
      </c>
      <c r="BA96" s="64" t="str">
        <f t="shared" si="134"/>
        <v>NA</v>
      </c>
      <c r="BB96" s="64" t="str">
        <f t="shared" si="135"/>
        <v>NA</v>
      </c>
      <c r="BC96" s="64" t="str">
        <f t="shared" si="136"/>
        <v>NA</v>
      </c>
      <c r="BD96" s="64" t="str">
        <f t="shared" si="137"/>
        <v>NA</v>
      </c>
      <c r="BE96" s="64" t="str">
        <f t="shared" si="138"/>
        <v>NA</v>
      </c>
      <c r="BF96" s="64" t="str">
        <f t="shared" si="139"/>
        <v>NA</v>
      </c>
    </row>
    <row r="97" spans="2:58" ht="15" customHeight="1" x14ac:dyDescent="0.45">
      <c r="B97" s="52" t="s">
        <v>151</v>
      </c>
      <c r="C97" s="54" t="s">
        <v>150</v>
      </c>
      <c r="D97" s="54" t="s">
        <v>150</v>
      </c>
      <c r="E97" s="54" t="s">
        <v>150</v>
      </c>
      <c r="F97" s="54" t="s">
        <v>150</v>
      </c>
      <c r="G97" s="54" t="s">
        <v>150</v>
      </c>
      <c r="H97" s="54" t="s">
        <v>150</v>
      </c>
      <c r="L97" s="52" t="s">
        <v>151</v>
      </c>
      <c r="M97" s="54" t="str">
        <f t="shared" si="128"/>
        <v>NA</v>
      </c>
      <c r="N97" s="54" t="str">
        <f t="shared" si="129"/>
        <v>NA</v>
      </c>
      <c r="O97" s="54" t="str">
        <f t="shared" si="130"/>
        <v>NA</v>
      </c>
      <c r="P97" s="54" t="str">
        <f t="shared" si="131"/>
        <v>NA</v>
      </c>
      <c r="Q97" s="54" t="str">
        <f t="shared" si="132"/>
        <v>NA</v>
      </c>
      <c r="R97" s="54" t="str">
        <f t="shared" si="133"/>
        <v>NA</v>
      </c>
      <c r="S97" s="55"/>
      <c r="T97" s="56"/>
      <c r="V97" s="52" t="str">
        <f t="shared" si="119"/>
        <v>FICO 700+</v>
      </c>
      <c r="W97" s="54" t="s">
        <v>150</v>
      </c>
      <c r="X97" s="54" t="s">
        <v>150</v>
      </c>
      <c r="Y97" s="54" t="s">
        <v>150</v>
      </c>
      <c r="Z97" s="54" t="s">
        <v>150</v>
      </c>
      <c r="AA97" s="54" t="s">
        <v>150</v>
      </c>
      <c r="AB97" s="54" t="s">
        <v>150</v>
      </c>
      <c r="AF97" s="52" t="str">
        <f t="shared" si="120"/>
        <v>FICO 700+</v>
      </c>
      <c r="AG97" s="54" t="str">
        <f t="shared" si="118"/>
        <v>NA</v>
      </c>
      <c r="AH97" s="54" t="str">
        <f t="shared" si="121"/>
        <v>NA</v>
      </c>
      <c r="AI97" s="54" t="str">
        <f t="shared" si="122"/>
        <v>NA</v>
      </c>
      <c r="AJ97" s="54" t="str">
        <f t="shared" si="123"/>
        <v>NA</v>
      </c>
      <c r="AK97" s="54" t="str">
        <f t="shared" si="124"/>
        <v>NA</v>
      </c>
      <c r="AL97" s="54" t="str">
        <f t="shared" si="125"/>
        <v>NA</v>
      </c>
      <c r="AM97" s="55"/>
      <c r="AN97" s="56"/>
      <c r="AP97" s="52" t="str">
        <f t="shared" si="126"/>
        <v>FICO 700+</v>
      </c>
      <c r="AQ97" s="54" t="s">
        <v>150</v>
      </c>
      <c r="AR97" s="54" t="s">
        <v>150</v>
      </c>
      <c r="AS97" s="54" t="s">
        <v>150</v>
      </c>
      <c r="AT97" s="54" t="s">
        <v>150</v>
      </c>
      <c r="AU97" s="54" t="s">
        <v>150</v>
      </c>
      <c r="AV97" s="54" t="s">
        <v>150</v>
      </c>
      <c r="AZ97" s="52" t="str">
        <f t="shared" si="127"/>
        <v>FICO 700+</v>
      </c>
      <c r="BA97" s="54" t="str">
        <f t="shared" si="134"/>
        <v>NA</v>
      </c>
      <c r="BB97" s="54" t="str">
        <f t="shared" si="135"/>
        <v>NA</v>
      </c>
      <c r="BC97" s="54" t="str">
        <f t="shared" si="136"/>
        <v>NA</v>
      </c>
      <c r="BD97" s="54" t="str">
        <f t="shared" si="137"/>
        <v>NA</v>
      </c>
      <c r="BE97" s="54" t="str">
        <f t="shared" si="138"/>
        <v>NA</v>
      </c>
      <c r="BF97" s="54" t="str">
        <f t="shared" si="139"/>
        <v>NA</v>
      </c>
    </row>
    <row r="98" spans="2:58" ht="15" customHeight="1" x14ac:dyDescent="0.45">
      <c r="B98" s="52" t="s">
        <v>158</v>
      </c>
      <c r="C98" s="54" t="s">
        <v>150</v>
      </c>
      <c r="D98" s="54" t="s">
        <v>150</v>
      </c>
      <c r="E98" s="54" t="s">
        <v>150</v>
      </c>
      <c r="F98" s="54" t="s">
        <v>150</v>
      </c>
      <c r="G98" s="54" t="s">
        <v>150</v>
      </c>
      <c r="H98" s="54" t="s">
        <v>150</v>
      </c>
      <c r="L98" s="52" t="s">
        <v>158</v>
      </c>
      <c r="M98" s="54" t="str">
        <f t="shared" si="128"/>
        <v>NA</v>
      </c>
      <c r="N98" s="54" t="str">
        <f t="shared" si="129"/>
        <v>NA</v>
      </c>
      <c r="O98" s="54" t="str">
        <f t="shared" si="130"/>
        <v>NA</v>
      </c>
      <c r="P98" s="54" t="str">
        <f t="shared" si="131"/>
        <v>NA</v>
      </c>
      <c r="Q98" s="54" t="str">
        <f t="shared" si="132"/>
        <v>NA</v>
      </c>
      <c r="R98" s="54" t="str">
        <f t="shared" si="133"/>
        <v>NA</v>
      </c>
      <c r="S98" s="55"/>
      <c r="T98" s="56"/>
      <c r="V98" s="52" t="str">
        <f t="shared" si="119"/>
        <v>FICO 680-699</v>
      </c>
      <c r="W98" s="54" t="s">
        <v>150</v>
      </c>
      <c r="X98" s="54" t="s">
        <v>150</v>
      </c>
      <c r="Y98" s="54" t="s">
        <v>150</v>
      </c>
      <c r="Z98" s="54" t="s">
        <v>150</v>
      </c>
      <c r="AA98" s="54" t="s">
        <v>150</v>
      </c>
      <c r="AB98" s="54" t="s">
        <v>150</v>
      </c>
      <c r="AF98" s="52" t="str">
        <f t="shared" si="120"/>
        <v>FICO 680-699</v>
      </c>
      <c r="AG98" s="54" t="str">
        <f t="shared" si="118"/>
        <v>NA</v>
      </c>
      <c r="AH98" s="54" t="str">
        <f t="shared" si="121"/>
        <v>NA</v>
      </c>
      <c r="AI98" s="54" t="str">
        <f t="shared" si="122"/>
        <v>NA</v>
      </c>
      <c r="AJ98" s="54" t="str">
        <f t="shared" si="123"/>
        <v>NA</v>
      </c>
      <c r="AK98" s="54" t="str">
        <f t="shared" si="124"/>
        <v>NA</v>
      </c>
      <c r="AL98" s="54" t="str">
        <f t="shared" si="125"/>
        <v>NA</v>
      </c>
      <c r="AM98" s="55"/>
      <c r="AN98" s="56"/>
      <c r="AP98" s="52" t="str">
        <f t="shared" si="126"/>
        <v>FICO 680-699</v>
      </c>
      <c r="AQ98" s="54" t="s">
        <v>150</v>
      </c>
      <c r="AR98" s="54" t="s">
        <v>150</v>
      </c>
      <c r="AS98" s="54" t="s">
        <v>150</v>
      </c>
      <c r="AT98" s="54" t="s">
        <v>150</v>
      </c>
      <c r="AU98" s="54" t="s">
        <v>150</v>
      </c>
      <c r="AV98" s="54" t="s">
        <v>150</v>
      </c>
      <c r="AZ98" s="52" t="str">
        <f t="shared" si="127"/>
        <v>FICO 680-699</v>
      </c>
      <c r="BA98" s="54" t="str">
        <f t="shared" si="134"/>
        <v>NA</v>
      </c>
      <c r="BB98" s="54" t="str">
        <f t="shared" si="135"/>
        <v>NA</v>
      </c>
      <c r="BC98" s="54" t="str">
        <f t="shared" si="136"/>
        <v>NA</v>
      </c>
      <c r="BD98" s="54" t="str">
        <f t="shared" si="137"/>
        <v>NA</v>
      </c>
      <c r="BE98" s="54" t="str">
        <f t="shared" si="138"/>
        <v>NA</v>
      </c>
      <c r="BF98" s="54" t="str">
        <f t="shared" si="139"/>
        <v>NA</v>
      </c>
    </row>
    <row r="99" spans="2:58" ht="15" customHeight="1" x14ac:dyDescent="0.45">
      <c r="B99" s="57" t="s">
        <v>159</v>
      </c>
      <c r="C99" s="59" t="s">
        <v>150</v>
      </c>
      <c r="D99" s="59" t="s">
        <v>150</v>
      </c>
      <c r="E99" s="59" t="s">
        <v>150</v>
      </c>
      <c r="F99" s="59" t="s">
        <v>150</v>
      </c>
      <c r="G99" s="59" t="s">
        <v>150</v>
      </c>
      <c r="H99" s="59" t="s">
        <v>150</v>
      </c>
      <c r="L99" s="57" t="s">
        <v>159</v>
      </c>
      <c r="M99" s="59" t="str">
        <f t="shared" si="128"/>
        <v>NA</v>
      </c>
      <c r="N99" s="59" t="str">
        <f t="shared" si="129"/>
        <v>NA</v>
      </c>
      <c r="O99" s="59" t="str">
        <f t="shared" si="130"/>
        <v>NA</v>
      </c>
      <c r="P99" s="59" t="str">
        <f t="shared" si="131"/>
        <v>NA</v>
      </c>
      <c r="Q99" s="59" t="str">
        <f t="shared" si="132"/>
        <v>NA</v>
      </c>
      <c r="R99" s="59" t="str">
        <f t="shared" si="133"/>
        <v>NA</v>
      </c>
      <c r="S99" s="55"/>
      <c r="T99" s="56"/>
      <c r="V99" s="57" t="str">
        <f t="shared" si="119"/>
        <v>FICO 640-679</v>
      </c>
      <c r="W99" s="59" t="s">
        <v>150</v>
      </c>
      <c r="X99" s="59" t="s">
        <v>150</v>
      </c>
      <c r="Y99" s="59" t="s">
        <v>150</v>
      </c>
      <c r="Z99" s="59" t="s">
        <v>150</v>
      </c>
      <c r="AA99" s="59" t="s">
        <v>150</v>
      </c>
      <c r="AB99" s="59" t="s">
        <v>150</v>
      </c>
      <c r="AF99" s="57" t="str">
        <f t="shared" si="120"/>
        <v>FICO 640-679</v>
      </c>
      <c r="AG99" s="59" t="str">
        <f t="shared" si="118"/>
        <v>NA</v>
      </c>
      <c r="AH99" s="59" t="str">
        <f t="shared" si="121"/>
        <v>NA</v>
      </c>
      <c r="AI99" s="59" t="str">
        <f t="shared" si="122"/>
        <v>NA</v>
      </c>
      <c r="AJ99" s="59" t="str">
        <f t="shared" si="123"/>
        <v>NA</v>
      </c>
      <c r="AK99" s="59" t="str">
        <f t="shared" si="124"/>
        <v>NA</v>
      </c>
      <c r="AL99" s="59" t="str">
        <f t="shared" si="125"/>
        <v>NA</v>
      </c>
      <c r="AM99" s="55"/>
      <c r="AN99" s="56"/>
      <c r="AP99" s="57" t="str">
        <f t="shared" si="126"/>
        <v>FICO 640-679</v>
      </c>
      <c r="AQ99" s="59" t="s">
        <v>150</v>
      </c>
      <c r="AR99" s="59" t="s">
        <v>150</v>
      </c>
      <c r="AS99" s="59" t="s">
        <v>150</v>
      </c>
      <c r="AT99" s="59" t="s">
        <v>150</v>
      </c>
      <c r="AU99" s="59" t="s">
        <v>150</v>
      </c>
      <c r="AV99" s="59" t="s">
        <v>150</v>
      </c>
      <c r="AZ99" s="57" t="str">
        <f t="shared" si="127"/>
        <v>FICO 640-679</v>
      </c>
      <c r="BA99" s="59" t="str">
        <f t="shared" si="134"/>
        <v>NA</v>
      </c>
      <c r="BB99" s="59" t="str">
        <f t="shared" si="135"/>
        <v>NA</v>
      </c>
      <c r="BC99" s="59" t="str">
        <f t="shared" si="136"/>
        <v>NA</v>
      </c>
      <c r="BD99" s="59" t="str">
        <f t="shared" si="137"/>
        <v>NA</v>
      </c>
      <c r="BE99" s="59" t="str">
        <f t="shared" si="138"/>
        <v>NA</v>
      </c>
      <c r="BF99" s="59" t="str">
        <f t="shared" si="139"/>
        <v>NA</v>
      </c>
    </row>
    <row r="100" spans="2:58" ht="15" customHeight="1" x14ac:dyDescent="0.45">
      <c r="B100" s="60" t="s">
        <v>155</v>
      </c>
      <c r="C100" s="61">
        <v>0.10249999999999999</v>
      </c>
      <c r="D100" s="48">
        <f>C100+0.25%</f>
        <v>0.105</v>
      </c>
      <c r="E100" s="64" t="s">
        <v>150</v>
      </c>
      <c r="F100" s="64" t="s">
        <v>150</v>
      </c>
      <c r="G100" s="64" t="s">
        <v>150</v>
      </c>
      <c r="H100" s="64" t="s">
        <v>150</v>
      </c>
      <c r="L100" s="60" t="s">
        <v>155</v>
      </c>
      <c r="M100" s="62">
        <f t="shared" si="128"/>
        <v>0.10249999999999999</v>
      </c>
      <c r="N100" s="48">
        <f t="shared" si="129"/>
        <v>0.105</v>
      </c>
      <c r="O100" s="64" t="str">
        <f t="shared" si="130"/>
        <v>NA</v>
      </c>
      <c r="P100" s="64" t="str">
        <f t="shared" si="131"/>
        <v>NA</v>
      </c>
      <c r="Q100" s="64" t="str">
        <f t="shared" si="132"/>
        <v>NA</v>
      </c>
      <c r="R100" s="64" t="str">
        <f t="shared" si="133"/>
        <v>NA</v>
      </c>
      <c r="S100" s="50"/>
      <c r="T100" s="51"/>
      <c r="V100" s="60" t="str">
        <f t="shared" si="119"/>
        <v>&lt;64.99%</v>
      </c>
      <c r="W100" s="62">
        <f>C100+0.125%</f>
        <v>0.10375</v>
      </c>
      <c r="X100" s="48">
        <f>W100+0.25%</f>
        <v>0.10625</v>
      </c>
      <c r="Y100" s="64" t="s">
        <v>150</v>
      </c>
      <c r="Z100" s="64" t="s">
        <v>150</v>
      </c>
      <c r="AA100" s="64" t="s">
        <v>150</v>
      </c>
      <c r="AB100" s="64" t="s">
        <v>150</v>
      </c>
      <c r="AF100" s="60" t="str">
        <f t="shared" si="120"/>
        <v>&lt;64.99%</v>
      </c>
      <c r="AG100" s="62">
        <f t="shared" si="118"/>
        <v>0.10375</v>
      </c>
      <c r="AH100" s="48">
        <f t="shared" si="121"/>
        <v>0.10625</v>
      </c>
      <c r="AI100" s="64" t="str">
        <f t="shared" si="122"/>
        <v>NA</v>
      </c>
      <c r="AJ100" s="64" t="str">
        <f t="shared" si="123"/>
        <v>NA</v>
      </c>
      <c r="AK100" s="64" t="str">
        <f t="shared" si="124"/>
        <v>NA</v>
      </c>
      <c r="AL100" s="64" t="str">
        <f t="shared" si="125"/>
        <v>NA</v>
      </c>
      <c r="AM100" s="50"/>
      <c r="AN100" s="51"/>
      <c r="AP100" s="60" t="str">
        <f t="shared" si="126"/>
        <v>&lt;64.99%</v>
      </c>
      <c r="AQ100" s="62">
        <f>W100+0.125%</f>
        <v>0.105</v>
      </c>
      <c r="AR100" s="48">
        <f>AQ100+0.25%</f>
        <v>0.1075</v>
      </c>
      <c r="AS100" s="64" t="s">
        <v>150</v>
      </c>
      <c r="AT100" s="64" t="s">
        <v>150</v>
      </c>
      <c r="AU100" s="64" t="s">
        <v>150</v>
      </c>
      <c r="AV100" s="64" t="s">
        <v>150</v>
      </c>
      <c r="AZ100" s="60" t="str">
        <f t="shared" si="127"/>
        <v>&lt;64.99%</v>
      </c>
      <c r="BA100" s="62">
        <f t="shared" si="134"/>
        <v>0.105</v>
      </c>
      <c r="BB100" s="48">
        <f t="shared" si="135"/>
        <v>0.1075</v>
      </c>
      <c r="BC100" s="64" t="str">
        <f t="shared" si="136"/>
        <v>NA</v>
      </c>
      <c r="BD100" s="64" t="str">
        <f t="shared" si="137"/>
        <v>NA</v>
      </c>
      <c r="BE100" s="64" t="str">
        <f t="shared" si="138"/>
        <v>NA</v>
      </c>
      <c r="BF100" s="64" t="str">
        <f t="shared" si="139"/>
        <v>NA</v>
      </c>
    </row>
    <row r="101" spans="2:58" ht="15" customHeight="1" x14ac:dyDescent="0.45">
      <c r="B101" s="52" t="s">
        <v>151</v>
      </c>
      <c r="C101" s="53">
        <f>C100+0</f>
        <v>0.10249999999999999</v>
      </c>
      <c r="D101" s="53">
        <f>D100+0</f>
        <v>0.105</v>
      </c>
      <c r="E101" s="54" t="s">
        <v>150</v>
      </c>
      <c r="F101" s="54" t="s">
        <v>150</v>
      </c>
      <c r="G101" s="54" t="s">
        <v>150</v>
      </c>
      <c r="H101" s="54" t="s">
        <v>150</v>
      </c>
      <c r="L101" s="52" t="s">
        <v>151</v>
      </c>
      <c r="M101" s="53">
        <f t="shared" si="128"/>
        <v>0.10249999999999999</v>
      </c>
      <c r="N101" s="53">
        <f t="shared" si="129"/>
        <v>0.105</v>
      </c>
      <c r="O101" s="54" t="str">
        <f t="shared" si="130"/>
        <v>NA</v>
      </c>
      <c r="P101" s="54" t="str">
        <f t="shared" si="131"/>
        <v>NA</v>
      </c>
      <c r="Q101" s="54" t="str">
        <f t="shared" si="132"/>
        <v>NA</v>
      </c>
      <c r="R101" s="54" t="str">
        <f t="shared" si="133"/>
        <v>NA</v>
      </c>
      <c r="S101" s="55"/>
      <c r="T101" s="56"/>
      <c r="V101" s="52" t="str">
        <f t="shared" si="119"/>
        <v>FICO 700+</v>
      </c>
      <c r="W101" s="53">
        <f>W100+0</f>
        <v>0.10375</v>
      </c>
      <c r="X101" s="53">
        <f>X100+0</f>
        <v>0.10625</v>
      </c>
      <c r="Y101" s="54" t="s">
        <v>150</v>
      </c>
      <c r="Z101" s="54" t="s">
        <v>150</v>
      </c>
      <c r="AA101" s="54" t="s">
        <v>150</v>
      </c>
      <c r="AB101" s="54" t="s">
        <v>150</v>
      </c>
      <c r="AF101" s="52" t="str">
        <f t="shared" si="120"/>
        <v>FICO 700+</v>
      </c>
      <c r="AG101" s="53">
        <f t="shared" si="118"/>
        <v>0.10375</v>
      </c>
      <c r="AH101" s="53">
        <f t="shared" si="121"/>
        <v>0.10625</v>
      </c>
      <c r="AI101" s="54" t="str">
        <f t="shared" si="122"/>
        <v>NA</v>
      </c>
      <c r="AJ101" s="54" t="str">
        <f t="shared" si="123"/>
        <v>NA</v>
      </c>
      <c r="AK101" s="54" t="str">
        <f t="shared" si="124"/>
        <v>NA</v>
      </c>
      <c r="AL101" s="54" t="str">
        <f t="shared" si="125"/>
        <v>NA</v>
      </c>
      <c r="AM101" s="55"/>
      <c r="AN101" s="56"/>
      <c r="AP101" s="52" t="str">
        <f t="shared" si="126"/>
        <v>FICO 700+</v>
      </c>
      <c r="AQ101" s="53">
        <f>AQ100+0</f>
        <v>0.105</v>
      </c>
      <c r="AR101" s="53">
        <f>AR100+0</f>
        <v>0.1075</v>
      </c>
      <c r="AS101" s="54" t="s">
        <v>150</v>
      </c>
      <c r="AT101" s="54" t="s">
        <v>150</v>
      </c>
      <c r="AU101" s="54" t="s">
        <v>150</v>
      </c>
      <c r="AV101" s="54" t="s">
        <v>150</v>
      </c>
      <c r="AZ101" s="52" t="str">
        <f t="shared" si="127"/>
        <v>FICO 700+</v>
      </c>
      <c r="BA101" s="53">
        <f t="shared" si="134"/>
        <v>0.105</v>
      </c>
      <c r="BB101" s="53">
        <f t="shared" si="135"/>
        <v>0.1075</v>
      </c>
      <c r="BC101" s="54" t="str">
        <f t="shared" si="136"/>
        <v>NA</v>
      </c>
      <c r="BD101" s="54" t="str">
        <f t="shared" si="137"/>
        <v>NA</v>
      </c>
      <c r="BE101" s="54" t="str">
        <f t="shared" si="138"/>
        <v>NA</v>
      </c>
      <c r="BF101" s="54" t="str">
        <f t="shared" si="139"/>
        <v>NA</v>
      </c>
    </row>
    <row r="102" spans="2:58" ht="15" customHeight="1" x14ac:dyDescent="0.45">
      <c r="B102" s="52" t="s">
        <v>158</v>
      </c>
      <c r="C102" s="53">
        <f>C100+0.5%</f>
        <v>0.1075</v>
      </c>
      <c r="D102" s="53">
        <f>D100+0.5%</f>
        <v>0.11</v>
      </c>
      <c r="E102" s="54" t="s">
        <v>150</v>
      </c>
      <c r="F102" s="54" t="s">
        <v>150</v>
      </c>
      <c r="G102" s="54" t="s">
        <v>150</v>
      </c>
      <c r="H102" s="54" t="s">
        <v>150</v>
      </c>
      <c r="L102" s="52" t="s">
        <v>158</v>
      </c>
      <c r="M102" s="53">
        <f t="shared" si="128"/>
        <v>0.1075</v>
      </c>
      <c r="N102" s="53">
        <f t="shared" si="129"/>
        <v>0.11</v>
      </c>
      <c r="O102" s="54" t="str">
        <f t="shared" si="130"/>
        <v>NA</v>
      </c>
      <c r="P102" s="54" t="str">
        <f t="shared" si="131"/>
        <v>NA</v>
      </c>
      <c r="Q102" s="54" t="str">
        <f t="shared" si="132"/>
        <v>NA</v>
      </c>
      <c r="R102" s="54" t="str">
        <f t="shared" si="133"/>
        <v>NA</v>
      </c>
      <c r="S102" s="55"/>
      <c r="T102" s="56"/>
      <c r="V102" s="52" t="str">
        <f t="shared" si="119"/>
        <v>FICO 680-699</v>
      </c>
      <c r="W102" s="53">
        <f>W100+0.5%</f>
        <v>0.10875</v>
      </c>
      <c r="X102" s="53">
        <f>X100+0.5%</f>
        <v>0.11125</v>
      </c>
      <c r="Y102" s="54" t="s">
        <v>150</v>
      </c>
      <c r="Z102" s="54" t="s">
        <v>150</v>
      </c>
      <c r="AA102" s="54" t="s">
        <v>150</v>
      </c>
      <c r="AB102" s="54" t="s">
        <v>150</v>
      </c>
      <c r="AF102" s="52" t="str">
        <f t="shared" si="120"/>
        <v>FICO 680-699</v>
      </c>
      <c r="AG102" s="53">
        <f t="shared" si="118"/>
        <v>0.10875</v>
      </c>
      <c r="AH102" s="53">
        <f t="shared" si="121"/>
        <v>0.11125</v>
      </c>
      <c r="AI102" s="54" t="str">
        <f t="shared" si="122"/>
        <v>NA</v>
      </c>
      <c r="AJ102" s="54" t="str">
        <f t="shared" si="123"/>
        <v>NA</v>
      </c>
      <c r="AK102" s="54" t="str">
        <f t="shared" si="124"/>
        <v>NA</v>
      </c>
      <c r="AL102" s="54" t="str">
        <f t="shared" si="125"/>
        <v>NA</v>
      </c>
      <c r="AM102" s="55"/>
      <c r="AN102" s="56"/>
      <c r="AP102" s="52" t="str">
        <f t="shared" si="126"/>
        <v>FICO 680-699</v>
      </c>
      <c r="AQ102" s="53">
        <f>AQ100+0.5%</f>
        <v>0.11</v>
      </c>
      <c r="AR102" s="53">
        <f>AR100+0.5%</f>
        <v>0.1125</v>
      </c>
      <c r="AS102" s="54" t="s">
        <v>150</v>
      </c>
      <c r="AT102" s="54" t="s">
        <v>150</v>
      </c>
      <c r="AU102" s="54" t="s">
        <v>150</v>
      </c>
      <c r="AV102" s="54" t="s">
        <v>150</v>
      </c>
      <c r="AZ102" s="52" t="str">
        <f t="shared" si="127"/>
        <v>FICO 680-699</v>
      </c>
      <c r="BA102" s="53">
        <f t="shared" si="134"/>
        <v>0.11</v>
      </c>
      <c r="BB102" s="53">
        <f t="shared" si="135"/>
        <v>0.1125</v>
      </c>
      <c r="BC102" s="54" t="str">
        <f t="shared" si="136"/>
        <v>NA</v>
      </c>
      <c r="BD102" s="54" t="str">
        <f t="shared" si="137"/>
        <v>NA</v>
      </c>
      <c r="BE102" s="54" t="str">
        <f t="shared" si="138"/>
        <v>NA</v>
      </c>
      <c r="BF102" s="54" t="str">
        <f t="shared" si="139"/>
        <v>NA</v>
      </c>
    </row>
    <row r="103" spans="2:58" ht="15" customHeight="1" x14ac:dyDescent="0.45">
      <c r="B103" s="52" t="s">
        <v>159</v>
      </c>
      <c r="C103" s="54" t="s">
        <v>150</v>
      </c>
      <c r="D103" s="54" t="s">
        <v>150</v>
      </c>
      <c r="E103" s="54" t="s">
        <v>150</v>
      </c>
      <c r="F103" s="54" t="s">
        <v>150</v>
      </c>
      <c r="G103" s="54" t="s">
        <v>150</v>
      </c>
      <c r="H103" s="54" t="s">
        <v>150</v>
      </c>
      <c r="L103" s="52" t="s">
        <v>159</v>
      </c>
      <c r="M103" s="54" t="str">
        <f t="shared" si="128"/>
        <v>NA</v>
      </c>
      <c r="N103" s="54" t="str">
        <f t="shared" si="129"/>
        <v>NA</v>
      </c>
      <c r="O103" s="54" t="str">
        <f t="shared" si="130"/>
        <v>NA</v>
      </c>
      <c r="P103" s="54" t="str">
        <f t="shared" si="131"/>
        <v>NA</v>
      </c>
      <c r="Q103" s="54" t="str">
        <f t="shared" si="132"/>
        <v>NA</v>
      </c>
      <c r="R103" s="54" t="str">
        <f t="shared" si="133"/>
        <v>NA</v>
      </c>
      <c r="S103" s="55"/>
      <c r="T103" s="56"/>
      <c r="V103" s="52" t="str">
        <f t="shared" si="119"/>
        <v>FICO 640-679</v>
      </c>
      <c r="W103" s="54" t="s">
        <v>150</v>
      </c>
      <c r="X103" s="54" t="s">
        <v>150</v>
      </c>
      <c r="Y103" s="54" t="s">
        <v>150</v>
      </c>
      <c r="Z103" s="54" t="s">
        <v>150</v>
      </c>
      <c r="AA103" s="54" t="s">
        <v>150</v>
      </c>
      <c r="AB103" s="54" t="s">
        <v>150</v>
      </c>
      <c r="AF103" s="52" t="str">
        <f t="shared" si="120"/>
        <v>FICO 640-679</v>
      </c>
      <c r="AG103" s="54" t="str">
        <f t="shared" si="118"/>
        <v>NA</v>
      </c>
      <c r="AH103" s="54" t="str">
        <f t="shared" si="121"/>
        <v>NA</v>
      </c>
      <c r="AI103" s="54" t="str">
        <f t="shared" si="122"/>
        <v>NA</v>
      </c>
      <c r="AJ103" s="54" t="str">
        <f t="shared" si="123"/>
        <v>NA</v>
      </c>
      <c r="AK103" s="54" t="str">
        <f t="shared" si="124"/>
        <v>NA</v>
      </c>
      <c r="AL103" s="54" t="str">
        <f t="shared" si="125"/>
        <v>NA</v>
      </c>
      <c r="AM103" s="55"/>
      <c r="AN103" s="56"/>
      <c r="AP103" s="52" t="str">
        <f t="shared" si="126"/>
        <v>FICO 640-679</v>
      </c>
      <c r="AQ103" s="54" t="s">
        <v>150</v>
      </c>
      <c r="AR103" s="54" t="s">
        <v>150</v>
      </c>
      <c r="AS103" s="54" t="s">
        <v>150</v>
      </c>
      <c r="AT103" s="54" t="s">
        <v>150</v>
      </c>
      <c r="AU103" s="54" t="s">
        <v>150</v>
      </c>
      <c r="AV103" s="54" t="s">
        <v>150</v>
      </c>
      <c r="AZ103" s="52" t="str">
        <f t="shared" si="127"/>
        <v>FICO 640-679</v>
      </c>
      <c r="BA103" s="54" t="str">
        <f t="shared" si="134"/>
        <v>NA</v>
      </c>
      <c r="BB103" s="54" t="str">
        <f t="shared" si="135"/>
        <v>NA</v>
      </c>
      <c r="BC103" s="54" t="str">
        <f t="shared" si="136"/>
        <v>NA</v>
      </c>
      <c r="BD103" s="54" t="str">
        <f t="shared" si="137"/>
        <v>NA</v>
      </c>
      <c r="BE103" s="54" t="str">
        <f t="shared" si="138"/>
        <v>NA</v>
      </c>
      <c r="BF103" s="54" t="str">
        <f t="shared" si="139"/>
        <v>NA</v>
      </c>
    </row>
    <row r="104" spans="2:58" ht="15" customHeight="1" x14ac:dyDescent="0.45">
      <c r="B104" s="37"/>
      <c r="C104" s="63"/>
      <c r="D104" s="63"/>
      <c r="E104" s="63"/>
      <c r="F104" s="63"/>
      <c r="G104" s="63"/>
      <c r="H104" s="63"/>
      <c r="V104" s="37"/>
      <c r="W104" s="63"/>
      <c r="X104" s="63"/>
      <c r="Y104" s="63"/>
      <c r="Z104" s="63"/>
      <c r="AA104" s="63"/>
      <c r="AB104" s="63"/>
      <c r="AP104" s="37"/>
      <c r="AQ104" s="63"/>
      <c r="AR104" s="63"/>
      <c r="AS104" s="63"/>
      <c r="AT104" s="63"/>
      <c r="AU104" s="63"/>
      <c r="AV104" s="63"/>
    </row>
    <row r="105" spans="2:58" s="38" customFormat="1" ht="6.75" customHeight="1" x14ac:dyDescent="0.45">
      <c r="C105" s="65"/>
      <c r="D105" s="65"/>
      <c r="E105" s="65"/>
      <c r="F105" s="65"/>
      <c r="G105" s="65"/>
      <c r="H105" s="65"/>
      <c r="S105" s="41"/>
      <c r="T105" s="43"/>
      <c r="U105" s="41"/>
      <c r="W105" s="65"/>
      <c r="X105" s="65"/>
      <c r="Y105" s="65"/>
      <c r="Z105" s="65"/>
      <c r="AA105" s="65"/>
      <c r="AB105" s="65"/>
      <c r="AM105" s="41"/>
      <c r="AN105" s="43"/>
      <c r="AO105" s="41"/>
      <c r="AQ105" s="65"/>
      <c r="AR105" s="65"/>
      <c r="AS105" s="65"/>
      <c r="AT105" s="65"/>
      <c r="AU105" s="65"/>
      <c r="AV105" s="65"/>
    </row>
    <row r="107" spans="2:58" ht="15" customHeight="1" x14ac:dyDescent="0.45">
      <c r="B107" s="96" t="s">
        <v>162</v>
      </c>
      <c r="C107" s="96"/>
      <c r="D107" s="96"/>
      <c r="E107" s="96"/>
      <c r="F107" s="96"/>
      <c r="G107" s="96"/>
      <c r="H107" s="96"/>
      <c r="L107" s="96" t="s">
        <v>163</v>
      </c>
      <c r="M107" s="96"/>
      <c r="N107" s="96"/>
      <c r="O107" s="96"/>
      <c r="P107" s="96"/>
      <c r="Q107" s="96"/>
      <c r="R107" s="96"/>
      <c r="S107" s="35"/>
      <c r="T107" s="36"/>
      <c r="V107" s="96" t="s">
        <v>162</v>
      </c>
      <c r="W107" s="96"/>
      <c r="X107" s="96"/>
      <c r="Y107" s="96"/>
      <c r="Z107" s="96"/>
      <c r="AA107" s="96"/>
      <c r="AB107" s="96"/>
      <c r="AF107" s="96" t="s">
        <v>163</v>
      </c>
      <c r="AG107" s="96"/>
      <c r="AH107" s="96"/>
      <c r="AI107" s="96"/>
      <c r="AJ107" s="96"/>
      <c r="AK107" s="96"/>
      <c r="AL107" s="96"/>
      <c r="AM107" s="35"/>
      <c r="AN107" s="36"/>
      <c r="AP107" s="96" t="s">
        <v>162</v>
      </c>
      <c r="AQ107" s="96"/>
      <c r="AR107" s="96"/>
      <c r="AS107" s="96"/>
      <c r="AT107" s="96"/>
      <c r="AU107" s="96"/>
      <c r="AV107" s="96"/>
      <c r="AZ107" s="96" t="s">
        <v>163</v>
      </c>
      <c r="BA107" s="96"/>
      <c r="BB107" s="96"/>
      <c r="BC107" s="96"/>
      <c r="BD107" s="96"/>
      <c r="BE107" s="96"/>
      <c r="BF107" s="96"/>
    </row>
    <row r="108" spans="2:58" ht="15.75" customHeight="1" x14ac:dyDescent="0.45">
      <c r="B108" s="94" t="s">
        <v>142</v>
      </c>
      <c r="C108" s="94"/>
      <c r="D108" s="94"/>
      <c r="E108" s="94"/>
      <c r="F108" s="94"/>
      <c r="G108" s="94"/>
      <c r="H108" s="94"/>
      <c r="L108" s="94" t="s">
        <v>142</v>
      </c>
      <c r="M108" s="94"/>
      <c r="N108" s="94"/>
      <c r="O108" s="94"/>
      <c r="P108" s="94"/>
      <c r="Q108" s="94"/>
      <c r="R108" s="94"/>
      <c r="S108" s="39"/>
      <c r="T108" s="40"/>
      <c r="V108" s="94" t="s">
        <v>142</v>
      </c>
      <c r="W108" s="94"/>
      <c r="X108" s="94"/>
      <c r="Y108" s="94"/>
      <c r="Z108" s="94"/>
      <c r="AA108" s="94"/>
      <c r="AB108" s="94"/>
      <c r="AF108" s="94" t="s">
        <v>142</v>
      </c>
      <c r="AG108" s="94"/>
      <c r="AH108" s="94"/>
      <c r="AI108" s="94"/>
      <c r="AJ108" s="94"/>
      <c r="AK108" s="94"/>
      <c r="AL108" s="94"/>
      <c r="AM108" s="39"/>
      <c r="AN108" s="40"/>
      <c r="AP108" s="94" t="s">
        <v>142</v>
      </c>
      <c r="AQ108" s="94"/>
      <c r="AR108" s="94"/>
      <c r="AS108" s="94"/>
      <c r="AT108" s="94"/>
      <c r="AU108" s="94"/>
      <c r="AV108" s="94"/>
      <c r="AZ108" s="94" t="s">
        <v>142</v>
      </c>
      <c r="BA108" s="94"/>
      <c r="BB108" s="94"/>
      <c r="BC108" s="94"/>
      <c r="BD108" s="94"/>
      <c r="BE108" s="94"/>
      <c r="BF108" s="94"/>
    </row>
    <row r="109" spans="2:58" ht="15" customHeight="1" x14ac:dyDescent="0.45">
      <c r="B109" s="45"/>
      <c r="C109" s="95" t="s">
        <v>50</v>
      </c>
      <c r="D109" s="95"/>
      <c r="E109" s="95"/>
      <c r="F109" s="95"/>
      <c r="G109" s="95"/>
      <c r="H109" s="95"/>
      <c r="L109" s="45"/>
      <c r="M109" s="95" t="s">
        <v>50</v>
      </c>
      <c r="N109" s="95"/>
      <c r="O109" s="95"/>
      <c r="P109" s="95"/>
      <c r="Q109" s="95"/>
      <c r="R109" s="95"/>
      <c r="S109" s="41"/>
      <c r="T109" s="43"/>
      <c r="V109" s="45"/>
      <c r="W109" s="95" t="str">
        <f>C109</f>
        <v>LTC</v>
      </c>
      <c r="X109" s="95"/>
      <c r="Y109" s="95"/>
      <c r="Z109" s="95"/>
      <c r="AA109" s="95"/>
      <c r="AB109" s="95"/>
      <c r="AF109" s="45"/>
      <c r="AG109" s="95" t="str">
        <f>W109</f>
        <v>LTC</v>
      </c>
      <c r="AH109" s="95"/>
      <c r="AI109" s="95"/>
      <c r="AJ109" s="95"/>
      <c r="AK109" s="95"/>
      <c r="AL109" s="95"/>
      <c r="AM109" s="41"/>
      <c r="AN109" s="43"/>
      <c r="AP109" s="45"/>
      <c r="AQ109" s="95" t="str">
        <f>C109</f>
        <v>LTC</v>
      </c>
      <c r="AR109" s="95"/>
      <c r="AS109" s="95"/>
      <c r="AT109" s="95"/>
      <c r="AU109" s="95"/>
      <c r="AV109" s="95"/>
      <c r="AZ109" s="45"/>
      <c r="BA109" s="95" t="str">
        <f>C109</f>
        <v>LTC</v>
      </c>
      <c r="BB109" s="95"/>
      <c r="BC109" s="95"/>
      <c r="BD109" s="95"/>
      <c r="BE109" s="95"/>
      <c r="BF109" s="95"/>
    </row>
    <row r="110" spans="2:58" ht="15" customHeight="1" x14ac:dyDescent="0.45">
      <c r="B110" s="71" t="s">
        <v>52</v>
      </c>
      <c r="C110" s="45" t="s">
        <v>143</v>
      </c>
      <c r="D110" s="45" t="s">
        <v>144</v>
      </c>
      <c r="E110" s="45" t="s">
        <v>145</v>
      </c>
      <c r="F110" s="45" t="s">
        <v>146</v>
      </c>
      <c r="G110" s="45" t="s">
        <v>147</v>
      </c>
      <c r="H110" s="45" t="s">
        <v>148</v>
      </c>
      <c r="L110" s="71" t="s">
        <v>52</v>
      </c>
      <c r="M110" s="45" t="s">
        <v>143</v>
      </c>
      <c r="N110" s="45" t="s">
        <v>144</v>
      </c>
      <c r="O110" s="45" t="s">
        <v>145</v>
      </c>
      <c r="P110" s="45" t="s">
        <v>146</v>
      </c>
      <c r="Q110" s="45" t="s">
        <v>147</v>
      </c>
      <c r="R110" s="45" t="s">
        <v>148</v>
      </c>
      <c r="S110" s="41"/>
      <c r="T110" s="43"/>
      <c r="V110" s="71" t="str">
        <f t="shared" ref="V110:V122" si="140">B110</f>
        <v>AR-LTV</v>
      </c>
      <c r="W110" s="45" t="str">
        <f>C110</f>
        <v>&lt;74.99%</v>
      </c>
      <c r="X110" s="45" t="str">
        <f>D110</f>
        <v>75.00%-80.00%</v>
      </c>
      <c r="Y110" s="45" t="str">
        <f>E110</f>
        <v>80.01%-85.00%</v>
      </c>
      <c r="Z110" s="45" t="str">
        <f>F110</f>
        <v>85.01%-87.50%</v>
      </c>
      <c r="AA110" s="45" t="str">
        <f>G110</f>
        <v>87.51%-89.99%</v>
      </c>
      <c r="AB110" s="45" t="str">
        <f>H110</f>
        <v>90.00%-92.50%</v>
      </c>
      <c r="AF110" s="44" t="str">
        <f t="shared" ref="AF110:AF126" si="141">V110</f>
        <v>AR-LTV</v>
      </c>
      <c r="AG110" s="45" t="str">
        <f>W110</f>
        <v>&lt;74.99%</v>
      </c>
      <c r="AH110" s="45" t="str">
        <f>X110</f>
        <v>75.00%-80.00%</v>
      </c>
      <c r="AI110" s="45" t="str">
        <f>Y110</f>
        <v>80.01%-85.00%</v>
      </c>
      <c r="AJ110" s="45" t="str">
        <f>Z110</f>
        <v>85.01%-87.50%</v>
      </c>
      <c r="AK110" s="45" t="str">
        <f>AA110</f>
        <v>87.51%-89.99%</v>
      </c>
      <c r="AL110" s="45" t="str">
        <f>AB110</f>
        <v>90.00%-92.50%</v>
      </c>
      <c r="AM110" s="41"/>
      <c r="AN110" s="43"/>
      <c r="AP110" s="71" t="str">
        <f t="shared" ref="AP110:AP126" si="142">B110</f>
        <v>AR-LTV</v>
      </c>
      <c r="AQ110" s="45" t="str">
        <f>C110</f>
        <v>&lt;74.99%</v>
      </c>
      <c r="AR110" s="45" t="str">
        <f>D110</f>
        <v>75.00%-80.00%</v>
      </c>
      <c r="AS110" s="45" t="str">
        <f>E110</f>
        <v>80.01%-85.00%</v>
      </c>
      <c r="AT110" s="45" t="str">
        <f>F110</f>
        <v>85.01%-87.50%</v>
      </c>
      <c r="AU110" s="45" t="str">
        <f>G110</f>
        <v>87.51%-89.99%</v>
      </c>
      <c r="AV110" s="45" t="str">
        <f>H110</f>
        <v>90.00%-92.50%</v>
      </c>
      <c r="AZ110" s="71" t="str">
        <f t="shared" ref="AZ110:AZ126" si="143">B110</f>
        <v>AR-LTV</v>
      </c>
      <c r="BA110" s="45" t="str">
        <f>C110</f>
        <v>&lt;74.99%</v>
      </c>
      <c r="BB110" s="45" t="str">
        <f>D110</f>
        <v>75.00%-80.00%</v>
      </c>
      <c r="BC110" s="45" t="str">
        <f>E110</f>
        <v>80.01%-85.00%</v>
      </c>
      <c r="BD110" s="45" t="str">
        <f>F110</f>
        <v>85.01%-87.50%</v>
      </c>
      <c r="BE110" s="45" t="str">
        <f>G110</f>
        <v>87.51%-89.99%</v>
      </c>
      <c r="BF110" s="45" t="str">
        <f>H110</f>
        <v>90.00%-92.50%</v>
      </c>
    </row>
    <row r="111" spans="2:58" ht="15" hidden="1" customHeight="1" x14ac:dyDescent="0.45">
      <c r="B111" s="46" t="s">
        <v>164</v>
      </c>
      <c r="C111" s="47">
        <f>C123+0.75%</f>
        <v>9.5000000000000001E-2</v>
      </c>
      <c r="D111" s="47">
        <f>C111</f>
        <v>9.5000000000000001E-2</v>
      </c>
      <c r="E111" s="49" t="s">
        <v>150</v>
      </c>
      <c r="F111" s="49" t="s">
        <v>150</v>
      </c>
      <c r="G111" s="49" t="s">
        <v>150</v>
      </c>
      <c r="H111" s="49" t="s">
        <v>150</v>
      </c>
      <c r="L111" s="46" t="s">
        <v>164</v>
      </c>
      <c r="M111" s="49" t="s">
        <v>150</v>
      </c>
      <c r="N111" s="49" t="s">
        <v>150</v>
      </c>
      <c r="O111" s="49" t="s">
        <v>150</v>
      </c>
      <c r="P111" s="49" t="s">
        <v>150</v>
      </c>
      <c r="Q111" s="49" t="s">
        <v>150</v>
      </c>
      <c r="R111" s="49" t="s">
        <v>150</v>
      </c>
      <c r="S111" s="50"/>
      <c r="T111" s="51"/>
      <c r="V111" s="46" t="str">
        <f t="shared" si="140"/>
        <v>75.01%-80.00%</v>
      </c>
      <c r="W111" s="47">
        <f>W123+0.75%</f>
        <v>9.5000000000000001E-2</v>
      </c>
      <c r="X111" s="47">
        <f>W111</f>
        <v>9.5000000000000001E-2</v>
      </c>
      <c r="Y111" s="49" t="s">
        <v>150</v>
      </c>
      <c r="Z111" s="49" t="s">
        <v>150</v>
      </c>
      <c r="AA111" s="49" t="s">
        <v>150</v>
      </c>
      <c r="AB111" s="49" t="s">
        <v>150</v>
      </c>
      <c r="AF111" s="46" t="str">
        <f t="shared" si="141"/>
        <v>75.01%-80.00%</v>
      </c>
      <c r="AG111" s="49" t="s">
        <v>150</v>
      </c>
      <c r="AH111" s="49" t="s">
        <v>150</v>
      </c>
      <c r="AI111" s="49" t="s">
        <v>150</v>
      </c>
      <c r="AJ111" s="49" t="s">
        <v>150</v>
      </c>
      <c r="AK111" s="49" t="s">
        <v>150</v>
      </c>
      <c r="AL111" s="49" t="s">
        <v>150</v>
      </c>
      <c r="AM111" s="50"/>
      <c r="AN111" s="51"/>
      <c r="AP111" s="46" t="str">
        <f t="shared" si="142"/>
        <v>75.01%-80.00%</v>
      </c>
      <c r="AQ111" s="47">
        <f>AQ123+0.75%</f>
        <v>9.5000000000000001E-2</v>
      </c>
      <c r="AR111" s="47">
        <f>AQ111</f>
        <v>9.5000000000000001E-2</v>
      </c>
      <c r="AS111" s="49" t="s">
        <v>150</v>
      </c>
      <c r="AT111" s="49" t="s">
        <v>150</v>
      </c>
      <c r="AU111" s="49" t="s">
        <v>150</v>
      </c>
      <c r="AV111" s="49" t="s">
        <v>150</v>
      </c>
      <c r="AZ111" s="46" t="str">
        <f t="shared" si="143"/>
        <v>75.01%-80.00%</v>
      </c>
      <c r="BA111" s="49" t="s">
        <v>150</v>
      </c>
      <c r="BB111" s="49" t="s">
        <v>150</v>
      </c>
      <c r="BC111" s="49" t="s">
        <v>150</v>
      </c>
      <c r="BD111" s="49" t="s">
        <v>150</v>
      </c>
      <c r="BE111" s="49" t="s">
        <v>150</v>
      </c>
      <c r="BF111" s="49" t="s">
        <v>150</v>
      </c>
    </row>
    <row r="112" spans="2:58" ht="15" hidden="1" customHeight="1" x14ac:dyDescent="0.45">
      <c r="B112" s="52" t="s">
        <v>151</v>
      </c>
      <c r="C112" s="53">
        <f>C111+0</f>
        <v>9.5000000000000001E-2</v>
      </c>
      <c r="D112" s="53">
        <f>D111+0</f>
        <v>9.5000000000000001E-2</v>
      </c>
      <c r="E112" s="54" t="s">
        <v>150</v>
      </c>
      <c r="F112" s="54" t="s">
        <v>150</v>
      </c>
      <c r="G112" s="54" t="s">
        <v>150</v>
      </c>
      <c r="H112" s="54" t="s">
        <v>150</v>
      </c>
      <c r="L112" s="52" t="s">
        <v>151</v>
      </c>
      <c r="M112" s="54" t="s">
        <v>150</v>
      </c>
      <c r="N112" s="54" t="s">
        <v>150</v>
      </c>
      <c r="O112" s="54" t="s">
        <v>150</v>
      </c>
      <c r="P112" s="54" t="s">
        <v>150</v>
      </c>
      <c r="Q112" s="54" t="s">
        <v>150</v>
      </c>
      <c r="R112" s="54" t="s">
        <v>150</v>
      </c>
      <c r="S112" s="55"/>
      <c r="T112" s="56"/>
      <c r="V112" s="52" t="str">
        <f t="shared" si="140"/>
        <v>FICO 700+</v>
      </c>
      <c r="W112" s="53">
        <f>W111+0</f>
        <v>9.5000000000000001E-2</v>
      </c>
      <c r="X112" s="53">
        <f>X111+0</f>
        <v>9.5000000000000001E-2</v>
      </c>
      <c r="Y112" s="54" t="s">
        <v>150</v>
      </c>
      <c r="Z112" s="54" t="s">
        <v>150</v>
      </c>
      <c r="AA112" s="54" t="s">
        <v>150</v>
      </c>
      <c r="AB112" s="54" t="s">
        <v>150</v>
      </c>
      <c r="AF112" s="52" t="str">
        <f t="shared" si="141"/>
        <v>FICO 700+</v>
      </c>
      <c r="AG112" s="54" t="s">
        <v>150</v>
      </c>
      <c r="AH112" s="54" t="s">
        <v>150</v>
      </c>
      <c r="AI112" s="54" t="s">
        <v>150</v>
      </c>
      <c r="AJ112" s="54" t="s">
        <v>150</v>
      </c>
      <c r="AK112" s="54" t="s">
        <v>150</v>
      </c>
      <c r="AL112" s="54" t="s">
        <v>150</v>
      </c>
      <c r="AM112" s="55"/>
      <c r="AN112" s="56"/>
      <c r="AP112" s="52" t="str">
        <f t="shared" si="142"/>
        <v>FICO 700+</v>
      </c>
      <c r="AQ112" s="53">
        <f>AQ111+0</f>
        <v>9.5000000000000001E-2</v>
      </c>
      <c r="AR112" s="53">
        <f>AR111+0</f>
        <v>9.5000000000000001E-2</v>
      </c>
      <c r="AS112" s="54" t="s">
        <v>150</v>
      </c>
      <c r="AT112" s="54" t="s">
        <v>150</v>
      </c>
      <c r="AU112" s="54" t="s">
        <v>150</v>
      </c>
      <c r="AV112" s="54" t="s">
        <v>150</v>
      </c>
      <c r="AZ112" s="52" t="str">
        <f t="shared" si="143"/>
        <v>FICO 700+</v>
      </c>
      <c r="BA112" s="54" t="s">
        <v>150</v>
      </c>
      <c r="BB112" s="54" t="s">
        <v>150</v>
      </c>
      <c r="BC112" s="54" t="s">
        <v>150</v>
      </c>
      <c r="BD112" s="54" t="s">
        <v>150</v>
      </c>
      <c r="BE112" s="54" t="s">
        <v>150</v>
      </c>
      <c r="BF112" s="54" t="s">
        <v>150</v>
      </c>
    </row>
    <row r="113" spans="2:58" ht="15" hidden="1" customHeight="1" x14ac:dyDescent="0.45">
      <c r="B113" s="52" t="s">
        <v>152</v>
      </c>
      <c r="C113" s="53">
        <f>C111+0.25%</f>
        <v>9.7500000000000003E-2</v>
      </c>
      <c r="D113" s="53">
        <f>D111+0.25%</f>
        <v>9.7500000000000003E-2</v>
      </c>
      <c r="E113" s="54" t="s">
        <v>150</v>
      </c>
      <c r="F113" s="54" t="s">
        <v>150</v>
      </c>
      <c r="G113" s="54" t="s">
        <v>150</v>
      </c>
      <c r="H113" s="54" t="s">
        <v>150</v>
      </c>
      <c r="L113" s="52" t="s">
        <v>152</v>
      </c>
      <c r="M113" s="54" t="s">
        <v>150</v>
      </c>
      <c r="N113" s="54" t="s">
        <v>150</v>
      </c>
      <c r="O113" s="54" t="s">
        <v>150</v>
      </c>
      <c r="P113" s="54" t="s">
        <v>150</v>
      </c>
      <c r="Q113" s="54" t="s">
        <v>150</v>
      </c>
      <c r="R113" s="54" t="s">
        <v>150</v>
      </c>
      <c r="S113" s="55"/>
      <c r="T113" s="56"/>
      <c r="V113" s="52" t="str">
        <f t="shared" si="140"/>
        <v>FICO 660-699</v>
      </c>
      <c r="W113" s="53">
        <f>W111+0.25%</f>
        <v>9.7500000000000003E-2</v>
      </c>
      <c r="X113" s="53">
        <f>X111+0.25%</f>
        <v>9.7500000000000003E-2</v>
      </c>
      <c r="Y113" s="54" t="s">
        <v>150</v>
      </c>
      <c r="Z113" s="54" t="s">
        <v>150</v>
      </c>
      <c r="AA113" s="54" t="s">
        <v>150</v>
      </c>
      <c r="AB113" s="54" t="s">
        <v>150</v>
      </c>
      <c r="AF113" s="52" t="str">
        <f t="shared" si="141"/>
        <v>FICO 660-699</v>
      </c>
      <c r="AG113" s="54" t="s">
        <v>150</v>
      </c>
      <c r="AH113" s="54" t="s">
        <v>150</v>
      </c>
      <c r="AI113" s="54" t="s">
        <v>150</v>
      </c>
      <c r="AJ113" s="54" t="s">
        <v>150</v>
      </c>
      <c r="AK113" s="54" t="s">
        <v>150</v>
      </c>
      <c r="AL113" s="54" t="s">
        <v>150</v>
      </c>
      <c r="AM113" s="55"/>
      <c r="AN113" s="56"/>
      <c r="AP113" s="52" t="str">
        <f t="shared" si="142"/>
        <v>FICO 660-699</v>
      </c>
      <c r="AQ113" s="53">
        <f>AQ111+0.25%</f>
        <v>9.7500000000000003E-2</v>
      </c>
      <c r="AR113" s="53">
        <f>AR111+0.25%</f>
        <v>9.7500000000000003E-2</v>
      </c>
      <c r="AS113" s="54" t="s">
        <v>150</v>
      </c>
      <c r="AT113" s="54" t="s">
        <v>150</v>
      </c>
      <c r="AU113" s="54" t="s">
        <v>150</v>
      </c>
      <c r="AV113" s="54" t="s">
        <v>150</v>
      </c>
      <c r="AZ113" s="52" t="str">
        <f t="shared" si="143"/>
        <v>FICO 660-699</v>
      </c>
      <c r="BA113" s="54" t="s">
        <v>150</v>
      </c>
      <c r="BB113" s="54" t="s">
        <v>150</v>
      </c>
      <c r="BC113" s="54" t="s">
        <v>150</v>
      </c>
      <c r="BD113" s="54" t="s">
        <v>150</v>
      </c>
      <c r="BE113" s="54" t="s">
        <v>150</v>
      </c>
      <c r="BF113" s="54" t="s">
        <v>150</v>
      </c>
    </row>
    <row r="114" spans="2:58" ht="15" hidden="1" customHeight="1" x14ac:dyDescent="0.45">
      <c r="B114" s="57" t="s">
        <v>153</v>
      </c>
      <c r="C114" s="58">
        <f>C111+0.5%</f>
        <v>0.1</v>
      </c>
      <c r="D114" s="58">
        <f>D111+0.5%</f>
        <v>0.1</v>
      </c>
      <c r="E114" s="59" t="s">
        <v>150</v>
      </c>
      <c r="F114" s="59" t="s">
        <v>150</v>
      </c>
      <c r="G114" s="59" t="s">
        <v>150</v>
      </c>
      <c r="H114" s="59" t="s">
        <v>150</v>
      </c>
      <c r="L114" s="57" t="s">
        <v>153</v>
      </c>
      <c r="M114" s="59" t="s">
        <v>150</v>
      </c>
      <c r="N114" s="59" t="s">
        <v>150</v>
      </c>
      <c r="O114" s="59" t="s">
        <v>150</v>
      </c>
      <c r="P114" s="59" t="s">
        <v>150</v>
      </c>
      <c r="Q114" s="59" t="s">
        <v>150</v>
      </c>
      <c r="R114" s="59" t="s">
        <v>150</v>
      </c>
      <c r="S114" s="55"/>
      <c r="T114" s="56"/>
      <c r="V114" s="57" t="str">
        <f t="shared" si="140"/>
        <v>FICO 640-659</v>
      </c>
      <c r="W114" s="58">
        <f>W111+0.5%</f>
        <v>0.1</v>
      </c>
      <c r="X114" s="58">
        <f>X111+0.5%</f>
        <v>0.1</v>
      </c>
      <c r="Y114" s="59" t="s">
        <v>150</v>
      </c>
      <c r="Z114" s="59" t="s">
        <v>150</v>
      </c>
      <c r="AA114" s="59" t="s">
        <v>150</v>
      </c>
      <c r="AB114" s="59" t="s">
        <v>150</v>
      </c>
      <c r="AF114" s="57" t="str">
        <f t="shared" si="141"/>
        <v>FICO 640-659</v>
      </c>
      <c r="AG114" s="59" t="s">
        <v>150</v>
      </c>
      <c r="AH114" s="59" t="s">
        <v>150</v>
      </c>
      <c r="AI114" s="59" t="s">
        <v>150</v>
      </c>
      <c r="AJ114" s="59" t="s">
        <v>150</v>
      </c>
      <c r="AK114" s="59" t="s">
        <v>150</v>
      </c>
      <c r="AL114" s="59" t="s">
        <v>150</v>
      </c>
      <c r="AM114" s="55"/>
      <c r="AN114" s="56"/>
      <c r="AP114" s="57" t="str">
        <f t="shared" si="142"/>
        <v>FICO 640-659</v>
      </c>
      <c r="AQ114" s="58">
        <f>AQ111+0.5%</f>
        <v>0.1</v>
      </c>
      <c r="AR114" s="58">
        <f>AR111+0.5%</f>
        <v>0.1</v>
      </c>
      <c r="AS114" s="59" t="s">
        <v>150</v>
      </c>
      <c r="AT114" s="59" t="s">
        <v>150</v>
      </c>
      <c r="AU114" s="59" t="s">
        <v>150</v>
      </c>
      <c r="AV114" s="59" t="s">
        <v>150</v>
      </c>
      <c r="AZ114" s="57" t="str">
        <f t="shared" si="143"/>
        <v>FICO 640-659</v>
      </c>
      <c r="BA114" s="59" t="s">
        <v>150</v>
      </c>
      <c r="BB114" s="59" t="s">
        <v>150</v>
      </c>
      <c r="BC114" s="59" t="s">
        <v>150</v>
      </c>
      <c r="BD114" s="59" t="s">
        <v>150</v>
      </c>
      <c r="BE114" s="59" t="s">
        <v>150</v>
      </c>
      <c r="BF114" s="59" t="s">
        <v>150</v>
      </c>
    </row>
    <row r="115" spans="2:58" ht="15" customHeight="1" x14ac:dyDescent="0.45">
      <c r="B115" s="46" t="s">
        <v>149</v>
      </c>
      <c r="C115" s="47">
        <f>C123+0.5%</f>
        <v>9.2499999999999999E-2</v>
      </c>
      <c r="D115" s="47">
        <f>C115</f>
        <v>9.2499999999999999E-2</v>
      </c>
      <c r="E115" s="49" t="s">
        <v>150</v>
      </c>
      <c r="F115" s="49" t="s">
        <v>150</v>
      </c>
      <c r="G115" s="49" t="s">
        <v>150</v>
      </c>
      <c r="H115" s="49" t="s">
        <v>150</v>
      </c>
      <c r="L115" s="46" t="s">
        <v>149</v>
      </c>
      <c r="M115" s="47">
        <f>M123+0.5%</f>
        <v>9.7500000000000003E-2</v>
      </c>
      <c r="N115" s="49" t="s">
        <v>150</v>
      </c>
      <c r="O115" s="49" t="s">
        <v>150</v>
      </c>
      <c r="P115" s="49" t="s">
        <v>150</v>
      </c>
      <c r="Q115" s="49" t="s">
        <v>150</v>
      </c>
      <c r="R115" s="49" t="s">
        <v>150</v>
      </c>
      <c r="S115" s="50"/>
      <c r="T115" s="51"/>
      <c r="V115" s="46" t="str">
        <f t="shared" si="140"/>
        <v>70.01%-75.00%</v>
      </c>
      <c r="W115" s="47">
        <f>W123+0.5%</f>
        <v>9.2499999999999999E-2</v>
      </c>
      <c r="X115" s="47">
        <f>W115</f>
        <v>9.2499999999999999E-2</v>
      </c>
      <c r="Y115" s="49" t="s">
        <v>150</v>
      </c>
      <c r="Z115" s="49" t="s">
        <v>150</v>
      </c>
      <c r="AA115" s="49" t="s">
        <v>150</v>
      </c>
      <c r="AB115" s="49" t="s">
        <v>150</v>
      </c>
      <c r="AF115" s="60" t="str">
        <f t="shared" si="141"/>
        <v>70.01%-75.00%</v>
      </c>
      <c r="AG115" s="47">
        <f>AG123+0.5%</f>
        <v>9.7500000000000003E-2</v>
      </c>
      <c r="AH115" s="49" t="s">
        <v>150</v>
      </c>
      <c r="AI115" s="49" t="s">
        <v>150</v>
      </c>
      <c r="AJ115" s="49" t="s">
        <v>150</v>
      </c>
      <c r="AK115" s="49" t="s">
        <v>150</v>
      </c>
      <c r="AL115" s="49" t="s">
        <v>150</v>
      </c>
      <c r="AM115" s="50"/>
      <c r="AN115" s="51"/>
      <c r="AP115" s="46" t="str">
        <f t="shared" si="142"/>
        <v>70.01%-75.00%</v>
      </c>
      <c r="AQ115" s="47">
        <f>AQ123+0.5%</f>
        <v>9.2499999999999999E-2</v>
      </c>
      <c r="AR115" s="47">
        <f>AQ115</f>
        <v>9.2499999999999999E-2</v>
      </c>
      <c r="AS115" s="49" t="s">
        <v>150</v>
      </c>
      <c r="AT115" s="49" t="s">
        <v>150</v>
      </c>
      <c r="AU115" s="49" t="s">
        <v>150</v>
      </c>
      <c r="AV115" s="49" t="s">
        <v>150</v>
      </c>
      <c r="AZ115" s="46" t="str">
        <f t="shared" si="143"/>
        <v>70.01%-75.00%</v>
      </c>
      <c r="BA115" s="47">
        <f>BA123+0.5%</f>
        <v>9.7500000000000003E-2</v>
      </c>
      <c r="BB115" s="49" t="s">
        <v>150</v>
      </c>
      <c r="BC115" s="49" t="s">
        <v>150</v>
      </c>
      <c r="BD115" s="49" t="s">
        <v>150</v>
      </c>
      <c r="BE115" s="49" t="s">
        <v>150</v>
      </c>
      <c r="BF115" s="49" t="s">
        <v>150</v>
      </c>
    </row>
    <row r="116" spans="2:58" ht="15" customHeight="1" x14ac:dyDescent="0.45">
      <c r="B116" s="52" t="s">
        <v>151</v>
      </c>
      <c r="C116" s="53">
        <f>C115+0</f>
        <v>9.2499999999999999E-2</v>
      </c>
      <c r="D116" s="53">
        <f>D115+0</f>
        <v>9.2499999999999999E-2</v>
      </c>
      <c r="E116" s="54" t="s">
        <v>150</v>
      </c>
      <c r="F116" s="54" t="s">
        <v>150</v>
      </c>
      <c r="G116" s="54" t="s">
        <v>150</v>
      </c>
      <c r="H116" s="54" t="s">
        <v>150</v>
      </c>
      <c r="L116" s="52" t="s">
        <v>151</v>
      </c>
      <c r="M116" s="53">
        <f>M115+0</f>
        <v>9.7500000000000003E-2</v>
      </c>
      <c r="N116" s="54" t="s">
        <v>150</v>
      </c>
      <c r="O116" s="54" t="s">
        <v>150</v>
      </c>
      <c r="P116" s="54" t="s">
        <v>150</v>
      </c>
      <c r="Q116" s="54" t="s">
        <v>150</v>
      </c>
      <c r="R116" s="54" t="s">
        <v>150</v>
      </c>
      <c r="S116" s="55"/>
      <c r="T116" s="56"/>
      <c r="V116" s="52" t="str">
        <f t="shared" si="140"/>
        <v>FICO 700+</v>
      </c>
      <c r="W116" s="53">
        <f>W115+0</f>
        <v>9.2499999999999999E-2</v>
      </c>
      <c r="X116" s="53">
        <f>X115+0</f>
        <v>9.2499999999999999E-2</v>
      </c>
      <c r="Y116" s="54" t="s">
        <v>150</v>
      </c>
      <c r="Z116" s="54" t="s">
        <v>150</v>
      </c>
      <c r="AA116" s="54" t="s">
        <v>150</v>
      </c>
      <c r="AB116" s="54" t="s">
        <v>150</v>
      </c>
      <c r="AF116" s="52" t="str">
        <f t="shared" si="141"/>
        <v>FICO 700+</v>
      </c>
      <c r="AG116" s="53">
        <f>AG115+0</f>
        <v>9.7500000000000003E-2</v>
      </c>
      <c r="AH116" s="54" t="s">
        <v>150</v>
      </c>
      <c r="AI116" s="54" t="s">
        <v>150</v>
      </c>
      <c r="AJ116" s="54" t="s">
        <v>150</v>
      </c>
      <c r="AK116" s="54" t="s">
        <v>150</v>
      </c>
      <c r="AL116" s="54" t="s">
        <v>150</v>
      </c>
      <c r="AM116" s="55"/>
      <c r="AN116" s="56"/>
      <c r="AP116" s="52" t="str">
        <f t="shared" si="142"/>
        <v>FICO 700+</v>
      </c>
      <c r="AQ116" s="53">
        <f>AQ115+0</f>
        <v>9.2499999999999999E-2</v>
      </c>
      <c r="AR116" s="53">
        <f>AR115+0</f>
        <v>9.2499999999999999E-2</v>
      </c>
      <c r="AS116" s="54" t="s">
        <v>150</v>
      </c>
      <c r="AT116" s="54" t="s">
        <v>150</v>
      </c>
      <c r="AU116" s="54" t="s">
        <v>150</v>
      </c>
      <c r="AV116" s="54" t="s">
        <v>150</v>
      </c>
      <c r="AZ116" s="52" t="str">
        <f t="shared" si="143"/>
        <v>FICO 700+</v>
      </c>
      <c r="BA116" s="53">
        <f>BA115+0</f>
        <v>9.7500000000000003E-2</v>
      </c>
      <c r="BB116" s="54" t="s">
        <v>150</v>
      </c>
      <c r="BC116" s="54" t="s">
        <v>150</v>
      </c>
      <c r="BD116" s="54" t="s">
        <v>150</v>
      </c>
      <c r="BE116" s="54" t="s">
        <v>150</v>
      </c>
      <c r="BF116" s="54" t="s">
        <v>150</v>
      </c>
    </row>
    <row r="117" spans="2:58" ht="15" customHeight="1" x14ac:dyDescent="0.45">
      <c r="B117" s="52" t="s">
        <v>152</v>
      </c>
      <c r="C117" s="53">
        <f>C115+0.25%</f>
        <v>9.5000000000000001E-2</v>
      </c>
      <c r="D117" s="53">
        <f>D115+0.25%</f>
        <v>9.5000000000000001E-2</v>
      </c>
      <c r="E117" s="54" t="s">
        <v>150</v>
      </c>
      <c r="F117" s="54" t="s">
        <v>150</v>
      </c>
      <c r="G117" s="54" t="s">
        <v>150</v>
      </c>
      <c r="H117" s="54" t="s">
        <v>150</v>
      </c>
      <c r="L117" s="52" t="s">
        <v>152</v>
      </c>
      <c r="M117" s="53">
        <f>M115+0.25%</f>
        <v>0.1</v>
      </c>
      <c r="N117" s="54" t="s">
        <v>150</v>
      </c>
      <c r="O117" s="54" t="s">
        <v>150</v>
      </c>
      <c r="P117" s="54" t="s">
        <v>150</v>
      </c>
      <c r="Q117" s="54" t="s">
        <v>150</v>
      </c>
      <c r="R117" s="54" t="s">
        <v>150</v>
      </c>
      <c r="S117" s="55"/>
      <c r="T117" s="56"/>
      <c r="V117" s="52" t="str">
        <f t="shared" si="140"/>
        <v>FICO 660-699</v>
      </c>
      <c r="W117" s="53">
        <f>W115+0.25%</f>
        <v>9.5000000000000001E-2</v>
      </c>
      <c r="X117" s="53">
        <f>X115+0.25%</f>
        <v>9.5000000000000001E-2</v>
      </c>
      <c r="Y117" s="54" t="s">
        <v>150</v>
      </c>
      <c r="Z117" s="54" t="s">
        <v>150</v>
      </c>
      <c r="AA117" s="54" t="s">
        <v>150</v>
      </c>
      <c r="AB117" s="54" t="s">
        <v>150</v>
      </c>
      <c r="AF117" s="52" t="str">
        <f t="shared" si="141"/>
        <v>FICO 660-699</v>
      </c>
      <c r="AG117" s="53">
        <f>AG115+0.25%</f>
        <v>0.1</v>
      </c>
      <c r="AH117" s="54" t="s">
        <v>150</v>
      </c>
      <c r="AI117" s="54" t="s">
        <v>150</v>
      </c>
      <c r="AJ117" s="54" t="s">
        <v>150</v>
      </c>
      <c r="AK117" s="54" t="s">
        <v>150</v>
      </c>
      <c r="AL117" s="54" t="s">
        <v>150</v>
      </c>
      <c r="AM117" s="55"/>
      <c r="AN117" s="56"/>
      <c r="AP117" s="52" t="str">
        <f t="shared" si="142"/>
        <v>FICO 660-699</v>
      </c>
      <c r="AQ117" s="53">
        <f>AQ115+0.25%</f>
        <v>9.5000000000000001E-2</v>
      </c>
      <c r="AR117" s="53">
        <f>AR115+0.25%</f>
        <v>9.5000000000000001E-2</v>
      </c>
      <c r="AS117" s="54" t="s">
        <v>150</v>
      </c>
      <c r="AT117" s="54" t="s">
        <v>150</v>
      </c>
      <c r="AU117" s="54" t="s">
        <v>150</v>
      </c>
      <c r="AV117" s="54" t="s">
        <v>150</v>
      </c>
      <c r="AZ117" s="52" t="str">
        <f t="shared" si="143"/>
        <v>FICO 660-699</v>
      </c>
      <c r="BA117" s="53">
        <f>BA115+0.25%</f>
        <v>0.1</v>
      </c>
      <c r="BB117" s="54" t="s">
        <v>150</v>
      </c>
      <c r="BC117" s="54" t="s">
        <v>150</v>
      </c>
      <c r="BD117" s="54" t="s">
        <v>150</v>
      </c>
      <c r="BE117" s="54" t="s">
        <v>150</v>
      </c>
      <c r="BF117" s="54" t="s">
        <v>150</v>
      </c>
    </row>
    <row r="118" spans="2:58" ht="15" customHeight="1" x14ac:dyDescent="0.45">
      <c r="B118" s="57" t="s">
        <v>153</v>
      </c>
      <c r="C118" s="58">
        <f>C115+0.5%</f>
        <v>9.7500000000000003E-2</v>
      </c>
      <c r="D118" s="58">
        <f>D115+0.5%</f>
        <v>9.7500000000000003E-2</v>
      </c>
      <c r="E118" s="59" t="s">
        <v>150</v>
      </c>
      <c r="F118" s="59" t="s">
        <v>150</v>
      </c>
      <c r="G118" s="59" t="s">
        <v>150</v>
      </c>
      <c r="H118" s="59" t="s">
        <v>150</v>
      </c>
      <c r="L118" s="57" t="s">
        <v>153</v>
      </c>
      <c r="M118" s="58">
        <f>M115+0.5%</f>
        <v>0.10250000000000001</v>
      </c>
      <c r="N118" s="59" t="s">
        <v>150</v>
      </c>
      <c r="O118" s="59" t="s">
        <v>150</v>
      </c>
      <c r="P118" s="59" t="s">
        <v>150</v>
      </c>
      <c r="Q118" s="59" t="s">
        <v>150</v>
      </c>
      <c r="R118" s="59" t="s">
        <v>150</v>
      </c>
      <c r="S118" s="55"/>
      <c r="T118" s="56"/>
      <c r="V118" s="57" t="str">
        <f t="shared" si="140"/>
        <v>FICO 640-659</v>
      </c>
      <c r="W118" s="58">
        <f>W115+0.5%</f>
        <v>9.7500000000000003E-2</v>
      </c>
      <c r="X118" s="58">
        <f>X115+0.5%</f>
        <v>9.7500000000000003E-2</v>
      </c>
      <c r="Y118" s="59" t="s">
        <v>150</v>
      </c>
      <c r="Z118" s="59" t="s">
        <v>150</v>
      </c>
      <c r="AA118" s="59" t="s">
        <v>150</v>
      </c>
      <c r="AB118" s="59" t="s">
        <v>150</v>
      </c>
      <c r="AF118" s="57" t="str">
        <f t="shared" si="141"/>
        <v>FICO 640-659</v>
      </c>
      <c r="AG118" s="58">
        <f>AG115+0.5%</f>
        <v>0.10250000000000001</v>
      </c>
      <c r="AH118" s="59" t="s">
        <v>150</v>
      </c>
      <c r="AI118" s="59" t="s">
        <v>150</v>
      </c>
      <c r="AJ118" s="59" t="s">
        <v>150</v>
      </c>
      <c r="AK118" s="59" t="s">
        <v>150</v>
      </c>
      <c r="AL118" s="59" t="s">
        <v>150</v>
      </c>
      <c r="AM118" s="55"/>
      <c r="AN118" s="56"/>
      <c r="AP118" s="57" t="str">
        <f t="shared" si="142"/>
        <v>FICO 640-659</v>
      </c>
      <c r="AQ118" s="58">
        <f>AQ115+0.5%</f>
        <v>9.7500000000000003E-2</v>
      </c>
      <c r="AR118" s="58">
        <f>AR115+0.5%</f>
        <v>9.7500000000000003E-2</v>
      </c>
      <c r="AS118" s="59" t="s">
        <v>150</v>
      </c>
      <c r="AT118" s="59" t="s">
        <v>150</v>
      </c>
      <c r="AU118" s="59" t="s">
        <v>150</v>
      </c>
      <c r="AV118" s="59" t="s">
        <v>150</v>
      </c>
      <c r="AZ118" s="57" t="str">
        <f t="shared" si="143"/>
        <v>FICO 640-659</v>
      </c>
      <c r="BA118" s="58">
        <f>BA115+0.5%</f>
        <v>0.10250000000000001</v>
      </c>
      <c r="BB118" s="59" t="s">
        <v>150</v>
      </c>
      <c r="BC118" s="59" t="s">
        <v>150</v>
      </c>
      <c r="BD118" s="59" t="s">
        <v>150</v>
      </c>
      <c r="BE118" s="59" t="s">
        <v>150</v>
      </c>
      <c r="BF118" s="59" t="s">
        <v>150</v>
      </c>
    </row>
    <row r="119" spans="2:58" ht="15" customHeight="1" x14ac:dyDescent="0.45">
      <c r="B119" s="46" t="s">
        <v>154</v>
      </c>
      <c r="C119" s="47">
        <f>C123+0.25%</f>
        <v>0.09</v>
      </c>
      <c r="D119" s="47">
        <f>C119</f>
        <v>0.09</v>
      </c>
      <c r="E119" s="49" t="s">
        <v>150</v>
      </c>
      <c r="F119" s="49" t="s">
        <v>150</v>
      </c>
      <c r="G119" s="49" t="s">
        <v>150</v>
      </c>
      <c r="H119" s="49" t="s">
        <v>150</v>
      </c>
      <c r="L119" s="46" t="s">
        <v>154</v>
      </c>
      <c r="M119" s="47">
        <f>M123+0.25%</f>
        <v>9.5000000000000001E-2</v>
      </c>
      <c r="N119" s="49" t="s">
        <v>150</v>
      </c>
      <c r="O119" s="49" t="s">
        <v>150</v>
      </c>
      <c r="P119" s="49" t="s">
        <v>150</v>
      </c>
      <c r="Q119" s="49" t="s">
        <v>150</v>
      </c>
      <c r="R119" s="49" t="s">
        <v>150</v>
      </c>
      <c r="S119" s="50"/>
      <c r="T119" s="51"/>
      <c r="V119" s="46" t="str">
        <f t="shared" si="140"/>
        <v>65.00%-70.00%</v>
      </c>
      <c r="W119" s="47">
        <f>W123+0.25%</f>
        <v>0.09</v>
      </c>
      <c r="X119" s="47">
        <f>W119</f>
        <v>0.09</v>
      </c>
      <c r="Y119" s="49" t="s">
        <v>150</v>
      </c>
      <c r="Z119" s="49" t="s">
        <v>150</v>
      </c>
      <c r="AA119" s="49" t="s">
        <v>150</v>
      </c>
      <c r="AB119" s="49" t="s">
        <v>150</v>
      </c>
      <c r="AF119" s="60" t="str">
        <f t="shared" si="141"/>
        <v>65.00%-70.00%</v>
      </c>
      <c r="AG119" s="47">
        <f>AG123+0.25%</f>
        <v>9.5000000000000001E-2</v>
      </c>
      <c r="AH119" s="49" t="s">
        <v>150</v>
      </c>
      <c r="AI119" s="49" t="s">
        <v>150</v>
      </c>
      <c r="AJ119" s="49" t="s">
        <v>150</v>
      </c>
      <c r="AK119" s="49" t="s">
        <v>150</v>
      </c>
      <c r="AL119" s="49" t="s">
        <v>150</v>
      </c>
      <c r="AM119" s="50"/>
      <c r="AN119" s="51"/>
      <c r="AP119" s="46" t="str">
        <f t="shared" si="142"/>
        <v>65.00%-70.00%</v>
      </c>
      <c r="AQ119" s="47">
        <f>AQ123+0.25%</f>
        <v>0.09</v>
      </c>
      <c r="AR119" s="47">
        <f>AQ119</f>
        <v>0.09</v>
      </c>
      <c r="AS119" s="49" t="s">
        <v>150</v>
      </c>
      <c r="AT119" s="49" t="s">
        <v>150</v>
      </c>
      <c r="AU119" s="49" t="s">
        <v>150</v>
      </c>
      <c r="AV119" s="49" t="s">
        <v>150</v>
      </c>
      <c r="AZ119" s="46" t="str">
        <f t="shared" si="143"/>
        <v>65.00%-70.00%</v>
      </c>
      <c r="BA119" s="47">
        <f>BA123+0.25%</f>
        <v>9.5000000000000001E-2</v>
      </c>
      <c r="BB119" s="49" t="s">
        <v>150</v>
      </c>
      <c r="BC119" s="49" t="s">
        <v>150</v>
      </c>
      <c r="BD119" s="49" t="s">
        <v>150</v>
      </c>
      <c r="BE119" s="49" t="s">
        <v>150</v>
      </c>
      <c r="BF119" s="49" t="s">
        <v>150</v>
      </c>
    </row>
    <row r="120" spans="2:58" ht="15" customHeight="1" x14ac:dyDescent="0.45">
      <c r="B120" s="52" t="s">
        <v>151</v>
      </c>
      <c r="C120" s="53">
        <f>C119+0</f>
        <v>0.09</v>
      </c>
      <c r="D120" s="53">
        <f>D119+0</f>
        <v>0.09</v>
      </c>
      <c r="E120" s="54" t="s">
        <v>150</v>
      </c>
      <c r="F120" s="54" t="s">
        <v>150</v>
      </c>
      <c r="G120" s="54" t="s">
        <v>150</v>
      </c>
      <c r="H120" s="54" t="s">
        <v>150</v>
      </c>
      <c r="L120" s="52" t="s">
        <v>151</v>
      </c>
      <c r="M120" s="53">
        <f>M119+0</f>
        <v>9.5000000000000001E-2</v>
      </c>
      <c r="N120" s="54" t="s">
        <v>150</v>
      </c>
      <c r="O120" s="54" t="s">
        <v>150</v>
      </c>
      <c r="P120" s="54" t="s">
        <v>150</v>
      </c>
      <c r="Q120" s="54" t="s">
        <v>150</v>
      </c>
      <c r="R120" s="54" t="s">
        <v>150</v>
      </c>
      <c r="S120" s="55"/>
      <c r="T120" s="56"/>
      <c r="V120" s="52" t="str">
        <f t="shared" si="140"/>
        <v>FICO 700+</v>
      </c>
      <c r="W120" s="53">
        <f>W119+0</f>
        <v>0.09</v>
      </c>
      <c r="X120" s="53">
        <f>X119+0</f>
        <v>0.09</v>
      </c>
      <c r="Y120" s="54" t="s">
        <v>150</v>
      </c>
      <c r="Z120" s="54" t="s">
        <v>150</v>
      </c>
      <c r="AA120" s="54" t="s">
        <v>150</v>
      </c>
      <c r="AB120" s="54" t="s">
        <v>150</v>
      </c>
      <c r="AF120" s="52" t="str">
        <f t="shared" si="141"/>
        <v>FICO 700+</v>
      </c>
      <c r="AG120" s="53">
        <f>AG119+0</f>
        <v>9.5000000000000001E-2</v>
      </c>
      <c r="AH120" s="54" t="s">
        <v>150</v>
      </c>
      <c r="AI120" s="54" t="s">
        <v>150</v>
      </c>
      <c r="AJ120" s="54" t="s">
        <v>150</v>
      </c>
      <c r="AK120" s="54" t="s">
        <v>150</v>
      </c>
      <c r="AL120" s="54" t="s">
        <v>150</v>
      </c>
      <c r="AM120" s="55"/>
      <c r="AN120" s="56"/>
      <c r="AP120" s="52" t="str">
        <f t="shared" si="142"/>
        <v>FICO 700+</v>
      </c>
      <c r="AQ120" s="53">
        <f>AQ119+0</f>
        <v>0.09</v>
      </c>
      <c r="AR120" s="53">
        <f>AR119+0</f>
        <v>0.09</v>
      </c>
      <c r="AS120" s="54" t="s">
        <v>150</v>
      </c>
      <c r="AT120" s="54" t="s">
        <v>150</v>
      </c>
      <c r="AU120" s="54" t="s">
        <v>150</v>
      </c>
      <c r="AV120" s="54" t="s">
        <v>150</v>
      </c>
      <c r="AZ120" s="52" t="str">
        <f t="shared" si="143"/>
        <v>FICO 700+</v>
      </c>
      <c r="BA120" s="53">
        <f>BA119+0</f>
        <v>9.5000000000000001E-2</v>
      </c>
      <c r="BB120" s="54" t="s">
        <v>150</v>
      </c>
      <c r="BC120" s="54" t="s">
        <v>150</v>
      </c>
      <c r="BD120" s="54" t="s">
        <v>150</v>
      </c>
      <c r="BE120" s="54" t="s">
        <v>150</v>
      </c>
      <c r="BF120" s="54" t="s">
        <v>150</v>
      </c>
    </row>
    <row r="121" spans="2:58" ht="15" customHeight="1" x14ac:dyDescent="0.45">
      <c r="B121" s="52" t="s">
        <v>152</v>
      </c>
      <c r="C121" s="53">
        <f>C119+0.25%</f>
        <v>9.2499999999999999E-2</v>
      </c>
      <c r="D121" s="53">
        <f>D119+0.25%</f>
        <v>9.2499999999999999E-2</v>
      </c>
      <c r="E121" s="54" t="s">
        <v>150</v>
      </c>
      <c r="F121" s="54" t="s">
        <v>150</v>
      </c>
      <c r="G121" s="54" t="s">
        <v>150</v>
      </c>
      <c r="H121" s="54" t="s">
        <v>150</v>
      </c>
      <c r="L121" s="52" t="s">
        <v>152</v>
      </c>
      <c r="M121" s="53">
        <f>M119+0.25%</f>
        <v>9.7500000000000003E-2</v>
      </c>
      <c r="N121" s="54" t="s">
        <v>150</v>
      </c>
      <c r="O121" s="54" t="s">
        <v>150</v>
      </c>
      <c r="P121" s="54" t="s">
        <v>150</v>
      </c>
      <c r="Q121" s="54" t="s">
        <v>150</v>
      </c>
      <c r="R121" s="54" t="s">
        <v>150</v>
      </c>
      <c r="S121" s="55"/>
      <c r="T121" s="56"/>
      <c r="V121" s="52" t="str">
        <f t="shared" si="140"/>
        <v>FICO 660-699</v>
      </c>
      <c r="W121" s="53">
        <f>W119+0.25%</f>
        <v>9.2499999999999999E-2</v>
      </c>
      <c r="X121" s="53">
        <f>X119+0.25%</f>
        <v>9.2499999999999999E-2</v>
      </c>
      <c r="Y121" s="54" t="s">
        <v>150</v>
      </c>
      <c r="Z121" s="54" t="s">
        <v>150</v>
      </c>
      <c r="AA121" s="54" t="s">
        <v>150</v>
      </c>
      <c r="AB121" s="54" t="s">
        <v>150</v>
      </c>
      <c r="AF121" s="52" t="str">
        <f t="shared" si="141"/>
        <v>FICO 660-699</v>
      </c>
      <c r="AG121" s="53">
        <f>AG119+0.25%</f>
        <v>9.7500000000000003E-2</v>
      </c>
      <c r="AH121" s="54" t="s">
        <v>150</v>
      </c>
      <c r="AI121" s="54" t="s">
        <v>150</v>
      </c>
      <c r="AJ121" s="54" t="s">
        <v>150</v>
      </c>
      <c r="AK121" s="54" t="s">
        <v>150</v>
      </c>
      <c r="AL121" s="54" t="s">
        <v>150</v>
      </c>
      <c r="AM121" s="55"/>
      <c r="AN121" s="56"/>
      <c r="AP121" s="52" t="str">
        <f t="shared" si="142"/>
        <v>FICO 660-699</v>
      </c>
      <c r="AQ121" s="53">
        <f>AQ119+0.25%</f>
        <v>9.2499999999999999E-2</v>
      </c>
      <c r="AR121" s="53">
        <f>AR119+0.25%</f>
        <v>9.2499999999999999E-2</v>
      </c>
      <c r="AS121" s="54" t="s">
        <v>150</v>
      </c>
      <c r="AT121" s="54" t="s">
        <v>150</v>
      </c>
      <c r="AU121" s="54" t="s">
        <v>150</v>
      </c>
      <c r="AV121" s="54" t="s">
        <v>150</v>
      </c>
      <c r="AZ121" s="52" t="str">
        <f t="shared" si="143"/>
        <v>FICO 660-699</v>
      </c>
      <c r="BA121" s="53">
        <f>BA119+0.25%</f>
        <v>9.7500000000000003E-2</v>
      </c>
      <c r="BB121" s="54" t="s">
        <v>150</v>
      </c>
      <c r="BC121" s="54" t="s">
        <v>150</v>
      </c>
      <c r="BD121" s="54" t="s">
        <v>150</v>
      </c>
      <c r="BE121" s="54" t="s">
        <v>150</v>
      </c>
      <c r="BF121" s="54" t="s">
        <v>150</v>
      </c>
    </row>
    <row r="122" spans="2:58" ht="15" customHeight="1" x14ac:dyDescent="0.45">
      <c r="B122" s="57" t="s">
        <v>153</v>
      </c>
      <c r="C122" s="58">
        <f>C119+0.5%</f>
        <v>9.5000000000000001E-2</v>
      </c>
      <c r="D122" s="58">
        <f>D119+0.5%</f>
        <v>9.5000000000000001E-2</v>
      </c>
      <c r="E122" s="59" t="s">
        <v>150</v>
      </c>
      <c r="F122" s="59" t="s">
        <v>150</v>
      </c>
      <c r="G122" s="59" t="s">
        <v>150</v>
      </c>
      <c r="H122" s="59" t="s">
        <v>150</v>
      </c>
      <c r="L122" s="57" t="s">
        <v>153</v>
      </c>
      <c r="M122" s="58">
        <f>M119+0.5%</f>
        <v>0.1</v>
      </c>
      <c r="N122" s="59" t="s">
        <v>150</v>
      </c>
      <c r="O122" s="59" t="s">
        <v>150</v>
      </c>
      <c r="P122" s="59" t="s">
        <v>150</v>
      </c>
      <c r="Q122" s="59" t="s">
        <v>150</v>
      </c>
      <c r="R122" s="59" t="s">
        <v>150</v>
      </c>
      <c r="S122" s="55"/>
      <c r="T122" s="56"/>
      <c r="V122" s="57" t="str">
        <f t="shared" si="140"/>
        <v>FICO 640-659</v>
      </c>
      <c r="W122" s="58">
        <f>W119+0.5%</f>
        <v>9.5000000000000001E-2</v>
      </c>
      <c r="X122" s="58">
        <f>X119+0.5%</f>
        <v>9.5000000000000001E-2</v>
      </c>
      <c r="Y122" s="59" t="s">
        <v>150</v>
      </c>
      <c r="Z122" s="59" t="s">
        <v>150</v>
      </c>
      <c r="AA122" s="59" t="s">
        <v>150</v>
      </c>
      <c r="AB122" s="59" t="s">
        <v>150</v>
      </c>
      <c r="AF122" s="57" t="str">
        <f t="shared" si="141"/>
        <v>FICO 640-659</v>
      </c>
      <c r="AG122" s="58">
        <f>AG119+0.5%</f>
        <v>0.1</v>
      </c>
      <c r="AH122" s="59" t="s">
        <v>150</v>
      </c>
      <c r="AI122" s="59" t="s">
        <v>150</v>
      </c>
      <c r="AJ122" s="59" t="s">
        <v>150</v>
      </c>
      <c r="AK122" s="59" t="s">
        <v>150</v>
      </c>
      <c r="AL122" s="59" t="s">
        <v>150</v>
      </c>
      <c r="AM122" s="55"/>
      <c r="AN122" s="56"/>
      <c r="AP122" s="57" t="str">
        <f t="shared" si="142"/>
        <v>FICO 640-659</v>
      </c>
      <c r="AQ122" s="58">
        <f>AQ119+0.5%</f>
        <v>9.5000000000000001E-2</v>
      </c>
      <c r="AR122" s="58">
        <f>AR119+0.5%</f>
        <v>9.5000000000000001E-2</v>
      </c>
      <c r="AS122" s="59" t="s">
        <v>150</v>
      </c>
      <c r="AT122" s="59" t="s">
        <v>150</v>
      </c>
      <c r="AU122" s="59" t="s">
        <v>150</v>
      </c>
      <c r="AV122" s="59" t="s">
        <v>150</v>
      </c>
      <c r="AZ122" s="57" t="str">
        <f t="shared" si="143"/>
        <v>FICO 640-659</v>
      </c>
      <c r="BA122" s="58">
        <f>BA119+0.5%</f>
        <v>0.1</v>
      </c>
      <c r="BB122" s="59" t="s">
        <v>150</v>
      </c>
      <c r="BC122" s="59" t="s">
        <v>150</v>
      </c>
      <c r="BD122" s="59" t="s">
        <v>150</v>
      </c>
      <c r="BE122" s="59" t="s">
        <v>150</v>
      </c>
      <c r="BF122" s="59" t="s">
        <v>150</v>
      </c>
    </row>
    <row r="123" spans="2:58" ht="15" customHeight="1" x14ac:dyDescent="0.45">
      <c r="B123" s="60" t="s">
        <v>155</v>
      </c>
      <c r="C123" s="72">
        <v>8.7499999999999994E-2</v>
      </c>
      <c r="D123" s="47">
        <f>C123+0.25%</f>
        <v>0.09</v>
      </c>
      <c r="E123" s="49" t="s">
        <v>150</v>
      </c>
      <c r="F123" s="49" t="s">
        <v>150</v>
      </c>
      <c r="G123" s="49" t="s">
        <v>150</v>
      </c>
      <c r="H123" s="49" t="s">
        <v>150</v>
      </c>
      <c r="L123" s="60" t="s">
        <v>155</v>
      </c>
      <c r="M123" s="72">
        <v>9.2499999999999999E-2</v>
      </c>
      <c r="N123" s="49" t="s">
        <v>150</v>
      </c>
      <c r="O123" s="49" t="s">
        <v>150</v>
      </c>
      <c r="P123" s="49" t="s">
        <v>150</v>
      </c>
      <c r="Q123" s="49" t="s">
        <v>150</v>
      </c>
      <c r="R123" s="49" t="s">
        <v>150</v>
      </c>
      <c r="S123" s="50"/>
      <c r="T123" s="51"/>
      <c r="V123" s="60" t="s">
        <v>155</v>
      </c>
      <c r="W123" s="73">
        <v>8.7499999999999994E-2</v>
      </c>
      <c r="X123" s="47">
        <f>W123+0.25%</f>
        <v>0.09</v>
      </c>
      <c r="Y123" s="49" t="s">
        <v>150</v>
      </c>
      <c r="Z123" s="49" t="s">
        <v>150</v>
      </c>
      <c r="AA123" s="49" t="s">
        <v>150</v>
      </c>
      <c r="AB123" s="49" t="s">
        <v>150</v>
      </c>
      <c r="AF123" s="60" t="str">
        <f t="shared" si="141"/>
        <v>&lt;64.99%</v>
      </c>
      <c r="AG123" s="73">
        <v>9.2499999999999999E-2</v>
      </c>
      <c r="AH123" s="49" t="s">
        <v>150</v>
      </c>
      <c r="AI123" s="49" t="s">
        <v>150</v>
      </c>
      <c r="AJ123" s="49" t="s">
        <v>150</v>
      </c>
      <c r="AK123" s="49" t="s">
        <v>150</v>
      </c>
      <c r="AL123" s="49" t="s">
        <v>150</v>
      </c>
      <c r="AM123" s="50"/>
      <c r="AN123" s="51"/>
      <c r="AP123" s="60" t="str">
        <f t="shared" si="142"/>
        <v>&lt;64.99%</v>
      </c>
      <c r="AQ123" s="73">
        <v>8.7499999999999994E-2</v>
      </c>
      <c r="AR123" s="47">
        <f>AQ123+0.25%</f>
        <v>0.09</v>
      </c>
      <c r="AS123" s="49" t="s">
        <v>150</v>
      </c>
      <c r="AT123" s="49" t="s">
        <v>150</v>
      </c>
      <c r="AU123" s="49" t="s">
        <v>150</v>
      </c>
      <c r="AV123" s="49" t="s">
        <v>150</v>
      </c>
      <c r="AZ123" s="60" t="str">
        <f t="shared" si="143"/>
        <v>&lt;64.99%</v>
      </c>
      <c r="BA123" s="73">
        <v>9.2499999999999999E-2</v>
      </c>
      <c r="BB123" s="49" t="s">
        <v>150</v>
      </c>
      <c r="BC123" s="49" t="s">
        <v>150</v>
      </c>
      <c r="BD123" s="49" t="s">
        <v>150</v>
      </c>
      <c r="BE123" s="49" t="s">
        <v>150</v>
      </c>
      <c r="BF123" s="49" t="s">
        <v>150</v>
      </c>
    </row>
    <row r="124" spans="2:58" ht="15" customHeight="1" x14ac:dyDescent="0.45">
      <c r="B124" s="52" t="s">
        <v>151</v>
      </c>
      <c r="C124" s="53">
        <f>C123+0</f>
        <v>8.7499999999999994E-2</v>
      </c>
      <c r="D124" s="53">
        <f>D123+0</f>
        <v>0.09</v>
      </c>
      <c r="E124" s="54" t="s">
        <v>150</v>
      </c>
      <c r="F124" s="54" t="s">
        <v>150</v>
      </c>
      <c r="G124" s="54" t="s">
        <v>150</v>
      </c>
      <c r="H124" s="54" t="s">
        <v>150</v>
      </c>
      <c r="L124" s="52" t="s">
        <v>151</v>
      </c>
      <c r="M124" s="53">
        <f>M123+0</f>
        <v>9.2499999999999999E-2</v>
      </c>
      <c r="N124" s="54" t="s">
        <v>150</v>
      </c>
      <c r="O124" s="54" t="s">
        <v>150</v>
      </c>
      <c r="P124" s="54" t="s">
        <v>150</v>
      </c>
      <c r="Q124" s="54" t="s">
        <v>150</v>
      </c>
      <c r="R124" s="54" t="s">
        <v>150</v>
      </c>
      <c r="S124" s="55"/>
      <c r="T124" s="56"/>
      <c r="V124" s="52" t="s">
        <v>151</v>
      </c>
      <c r="W124" s="53">
        <f>W123+0</f>
        <v>8.7499999999999994E-2</v>
      </c>
      <c r="X124" s="53">
        <f>X123+0</f>
        <v>0.09</v>
      </c>
      <c r="Y124" s="54" t="s">
        <v>150</v>
      </c>
      <c r="Z124" s="54" t="s">
        <v>150</v>
      </c>
      <c r="AA124" s="54" t="s">
        <v>150</v>
      </c>
      <c r="AB124" s="54" t="s">
        <v>150</v>
      </c>
      <c r="AF124" s="52" t="str">
        <f t="shared" si="141"/>
        <v>FICO 700+</v>
      </c>
      <c r="AG124" s="53">
        <f>AG123+0</f>
        <v>9.2499999999999999E-2</v>
      </c>
      <c r="AH124" s="54" t="s">
        <v>150</v>
      </c>
      <c r="AI124" s="54" t="s">
        <v>150</v>
      </c>
      <c r="AJ124" s="54" t="s">
        <v>150</v>
      </c>
      <c r="AK124" s="54" t="s">
        <v>150</v>
      </c>
      <c r="AL124" s="54" t="s">
        <v>150</v>
      </c>
      <c r="AM124" s="55"/>
      <c r="AN124" s="56"/>
      <c r="AP124" s="52" t="str">
        <f t="shared" si="142"/>
        <v>FICO 700+</v>
      </c>
      <c r="AQ124" s="53">
        <f>AQ123+0</f>
        <v>8.7499999999999994E-2</v>
      </c>
      <c r="AR124" s="53">
        <f>AR123+0</f>
        <v>0.09</v>
      </c>
      <c r="AS124" s="54" t="s">
        <v>150</v>
      </c>
      <c r="AT124" s="54" t="s">
        <v>150</v>
      </c>
      <c r="AU124" s="54" t="s">
        <v>150</v>
      </c>
      <c r="AV124" s="54" t="s">
        <v>150</v>
      </c>
      <c r="AZ124" s="52" t="str">
        <f t="shared" si="143"/>
        <v>FICO 700+</v>
      </c>
      <c r="BA124" s="53">
        <f>BA123+0</f>
        <v>9.2499999999999999E-2</v>
      </c>
      <c r="BB124" s="54" t="s">
        <v>150</v>
      </c>
      <c r="BC124" s="54" t="s">
        <v>150</v>
      </c>
      <c r="BD124" s="54" t="s">
        <v>150</v>
      </c>
      <c r="BE124" s="54" t="s">
        <v>150</v>
      </c>
      <c r="BF124" s="54" t="s">
        <v>150</v>
      </c>
    </row>
    <row r="125" spans="2:58" ht="15" customHeight="1" x14ac:dyDescent="0.45">
      <c r="B125" s="52" t="s">
        <v>152</v>
      </c>
      <c r="C125" s="53">
        <f>C123+0.25%</f>
        <v>0.09</v>
      </c>
      <c r="D125" s="53">
        <f>D123+0.25%</f>
        <v>9.2499999999999999E-2</v>
      </c>
      <c r="E125" s="54" t="s">
        <v>150</v>
      </c>
      <c r="F125" s="54" t="s">
        <v>150</v>
      </c>
      <c r="G125" s="54" t="s">
        <v>150</v>
      </c>
      <c r="H125" s="54" t="s">
        <v>150</v>
      </c>
      <c r="L125" s="52" t="s">
        <v>152</v>
      </c>
      <c r="M125" s="53">
        <f>M123+0.25%</f>
        <v>9.5000000000000001E-2</v>
      </c>
      <c r="N125" s="54" t="s">
        <v>150</v>
      </c>
      <c r="O125" s="54" t="s">
        <v>150</v>
      </c>
      <c r="P125" s="54" t="s">
        <v>150</v>
      </c>
      <c r="Q125" s="54" t="s">
        <v>150</v>
      </c>
      <c r="R125" s="54" t="s">
        <v>150</v>
      </c>
      <c r="S125" s="55"/>
      <c r="T125" s="56"/>
      <c r="V125" s="52" t="s">
        <v>152</v>
      </c>
      <c r="W125" s="53">
        <f>W123+0.25%</f>
        <v>0.09</v>
      </c>
      <c r="X125" s="53">
        <f>X123+0.25%</f>
        <v>9.2499999999999999E-2</v>
      </c>
      <c r="Y125" s="54" t="s">
        <v>150</v>
      </c>
      <c r="Z125" s="54" t="s">
        <v>150</v>
      </c>
      <c r="AA125" s="54" t="s">
        <v>150</v>
      </c>
      <c r="AB125" s="54" t="s">
        <v>150</v>
      </c>
      <c r="AF125" s="52" t="str">
        <f t="shared" si="141"/>
        <v>FICO 660-699</v>
      </c>
      <c r="AG125" s="53">
        <f>AG123+0.25%</f>
        <v>9.5000000000000001E-2</v>
      </c>
      <c r="AH125" s="54" t="s">
        <v>150</v>
      </c>
      <c r="AI125" s="54" t="s">
        <v>150</v>
      </c>
      <c r="AJ125" s="54" t="s">
        <v>150</v>
      </c>
      <c r="AK125" s="54" t="s">
        <v>150</v>
      </c>
      <c r="AL125" s="54" t="s">
        <v>150</v>
      </c>
      <c r="AM125" s="55"/>
      <c r="AN125" s="56"/>
      <c r="AP125" s="52" t="str">
        <f t="shared" si="142"/>
        <v>FICO 660-699</v>
      </c>
      <c r="AQ125" s="53">
        <f>AQ123+0.25%</f>
        <v>0.09</v>
      </c>
      <c r="AR125" s="53">
        <f>AR123+0.25%</f>
        <v>9.2499999999999999E-2</v>
      </c>
      <c r="AS125" s="54" t="s">
        <v>150</v>
      </c>
      <c r="AT125" s="54" t="s">
        <v>150</v>
      </c>
      <c r="AU125" s="54" t="s">
        <v>150</v>
      </c>
      <c r="AV125" s="54" t="s">
        <v>150</v>
      </c>
      <c r="AZ125" s="52" t="str">
        <f t="shared" si="143"/>
        <v>FICO 660-699</v>
      </c>
      <c r="BA125" s="53">
        <f>BA123+0.25%</f>
        <v>9.5000000000000001E-2</v>
      </c>
      <c r="BB125" s="54" t="s">
        <v>150</v>
      </c>
      <c r="BC125" s="54" t="s">
        <v>150</v>
      </c>
      <c r="BD125" s="54" t="s">
        <v>150</v>
      </c>
      <c r="BE125" s="54" t="s">
        <v>150</v>
      </c>
      <c r="BF125" s="54" t="s">
        <v>150</v>
      </c>
    </row>
    <row r="126" spans="2:58" ht="15" customHeight="1" x14ac:dyDescent="0.45">
      <c r="B126" s="52" t="s">
        <v>153</v>
      </c>
      <c r="C126" s="53">
        <f>C123+0.5%</f>
        <v>9.2499999999999999E-2</v>
      </c>
      <c r="D126" s="53">
        <f>D123+0.5%</f>
        <v>9.5000000000000001E-2</v>
      </c>
      <c r="E126" s="54" t="s">
        <v>150</v>
      </c>
      <c r="F126" s="54" t="s">
        <v>150</v>
      </c>
      <c r="G126" s="54" t="s">
        <v>150</v>
      </c>
      <c r="H126" s="54" t="s">
        <v>150</v>
      </c>
      <c r="L126" s="52" t="s">
        <v>153</v>
      </c>
      <c r="M126" s="53">
        <f>M123+0.5%</f>
        <v>9.7500000000000003E-2</v>
      </c>
      <c r="N126" s="54" t="s">
        <v>150</v>
      </c>
      <c r="O126" s="54" t="s">
        <v>150</v>
      </c>
      <c r="P126" s="54" t="s">
        <v>150</v>
      </c>
      <c r="Q126" s="54" t="s">
        <v>150</v>
      </c>
      <c r="R126" s="54" t="s">
        <v>150</v>
      </c>
      <c r="S126" s="55"/>
      <c r="T126" s="56"/>
      <c r="V126" s="52" t="s">
        <v>153</v>
      </c>
      <c r="W126" s="53">
        <f>W123+0.5%</f>
        <v>9.2499999999999999E-2</v>
      </c>
      <c r="X126" s="53">
        <f>X123+0.5%</f>
        <v>9.5000000000000001E-2</v>
      </c>
      <c r="Y126" s="54" t="s">
        <v>150</v>
      </c>
      <c r="Z126" s="54" t="s">
        <v>150</v>
      </c>
      <c r="AA126" s="54" t="s">
        <v>150</v>
      </c>
      <c r="AB126" s="54" t="s">
        <v>150</v>
      </c>
      <c r="AF126" s="52" t="str">
        <f t="shared" si="141"/>
        <v>FICO 640-659</v>
      </c>
      <c r="AG126" s="53">
        <f>AG123+0.5%</f>
        <v>9.7500000000000003E-2</v>
      </c>
      <c r="AH126" s="54" t="s">
        <v>150</v>
      </c>
      <c r="AI126" s="54" t="s">
        <v>150</v>
      </c>
      <c r="AJ126" s="54" t="s">
        <v>150</v>
      </c>
      <c r="AK126" s="54" t="s">
        <v>150</v>
      </c>
      <c r="AL126" s="54" t="s">
        <v>150</v>
      </c>
      <c r="AM126" s="55"/>
      <c r="AN126" s="56"/>
      <c r="AP126" s="52" t="str">
        <f t="shared" si="142"/>
        <v>FICO 640-659</v>
      </c>
      <c r="AQ126" s="53">
        <f>AQ123+0.5%</f>
        <v>9.2499999999999999E-2</v>
      </c>
      <c r="AR126" s="53">
        <f>AR123+0.5%</f>
        <v>9.5000000000000001E-2</v>
      </c>
      <c r="AS126" s="54" t="s">
        <v>150</v>
      </c>
      <c r="AT126" s="54" t="s">
        <v>150</v>
      </c>
      <c r="AU126" s="54" t="s">
        <v>150</v>
      </c>
      <c r="AV126" s="54" t="s">
        <v>150</v>
      </c>
      <c r="AZ126" s="52" t="str">
        <f t="shared" si="143"/>
        <v>FICO 640-659</v>
      </c>
      <c r="BA126" s="53">
        <f>BA123+0.5%</f>
        <v>9.7500000000000003E-2</v>
      </c>
      <c r="BB126" s="54" t="s">
        <v>150</v>
      </c>
      <c r="BC126" s="54" t="s">
        <v>150</v>
      </c>
      <c r="BD126" s="54" t="s">
        <v>150</v>
      </c>
      <c r="BE126" s="54" t="s">
        <v>150</v>
      </c>
      <c r="BF126" s="54" t="s">
        <v>150</v>
      </c>
    </row>
    <row r="128" spans="2:58" ht="15.75" customHeight="1" x14ac:dyDescent="0.45">
      <c r="B128" s="94" t="s">
        <v>156</v>
      </c>
      <c r="C128" s="94"/>
      <c r="D128" s="94"/>
      <c r="E128" s="94"/>
      <c r="F128" s="94"/>
      <c r="G128" s="94"/>
      <c r="H128" s="94"/>
      <c r="L128" s="94" t="s">
        <v>156</v>
      </c>
      <c r="M128" s="94"/>
      <c r="N128" s="94"/>
      <c r="O128" s="94"/>
      <c r="P128" s="94"/>
      <c r="Q128" s="94"/>
      <c r="R128" s="94"/>
      <c r="S128" s="39"/>
      <c r="T128" s="40"/>
      <c r="V128" s="94" t="s">
        <v>156</v>
      </c>
      <c r="W128" s="94"/>
      <c r="X128" s="94"/>
      <c r="Y128" s="94"/>
      <c r="Z128" s="94"/>
      <c r="AA128" s="94"/>
      <c r="AB128" s="94"/>
      <c r="AF128" s="94" t="s">
        <v>156</v>
      </c>
      <c r="AG128" s="94"/>
      <c r="AH128" s="94"/>
      <c r="AI128" s="94"/>
      <c r="AJ128" s="94"/>
      <c r="AK128" s="94"/>
      <c r="AL128" s="94"/>
      <c r="AM128" s="39"/>
      <c r="AN128" s="40"/>
      <c r="AP128" s="94" t="s">
        <v>156</v>
      </c>
      <c r="AQ128" s="94"/>
      <c r="AR128" s="94"/>
      <c r="AS128" s="94"/>
      <c r="AT128" s="94"/>
      <c r="AU128" s="94"/>
      <c r="AV128" s="94"/>
      <c r="AZ128" s="94" t="s">
        <v>156</v>
      </c>
      <c r="BA128" s="94"/>
      <c r="BB128" s="94"/>
      <c r="BC128" s="94"/>
      <c r="BD128" s="94"/>
      <c r="BE128" s="94"/>
      <c r="BF128" s="94"/>
    </row>
    <row r="129" spans="2:58" ht="15" customHeight="1" x14ac:dyDescent="0.45">
      <c r="B129" s="45"/>
      <c r="C129" s="95" t="s">
        <v>50</v>
      </c>
      <c r="D129" s="95"/>
      <c r="E129" s="95"/>
      <c r="F129" s="95"/>
      <c r="G129" s="95"/>
      <c r="H129" s="95"/>
      <c r="L129" s="45"/>
      <c r="M129" s="95" t="s">
        <v>50</v>
      </c>
      <c r="N129" s="95"/>
      <c r="O129" s="95"/>
      <c r="P129" s="95"/>
      <c r="Q129" s="95"/>
      <c r="R129" s="95"/>
      <c r="S129" s="41"/>
      <c r="T129" s="43"/>
      <c r="V129" s="45"/>
      <c r="W129" s="95" t="str">
        <f>C129</f>
        <v>LTC</v>
      </c>
      <c r="X129" s="95"/>
      <c r="Y129" s="95"/>
      <c r="Z129" s="95"/>
      <c r="AA129" s="95"/>
      <c r="AB129" s="95"/>
      <c r="AF129" s="45"/>
      <c r="AG129" s="95" t="str">
        <f>W129</f>
        <v>LTC</v>
      </c>
      <c r="AH129" s="95"/>
      <c r="AI129" s="95"/>
      <c r="AJ129" s="95"/>
      <c r="AK129" s="95"/>
      <c r="AL129" s="95"/>
      <c r="AM129" s="41"/>
      <c r="AN129" s="43"/>
      <c r="AP129" s="45"/>
      <c r="AQ129" s="95" t="str">
        <f>C129</f>
        <v>LTC</v>
      </c>
      <c r="AR129" s="95"/>
      <c r="AS129" s="95"/>
      <c r="AT129" s="95"/>
      <c r="AU129" s="95"/>
      <c r="AV129" s="95"/>
      <c r="AZ129" s="45"/>
      <c r="BA129" s="95" t="str">
        <f>C129</f>
        <v>LTC</v>
      </c>
      <c r="BB129" s="95"/>
      <c r="BC129" s="95"/>
      <c r="BD129" s="95"/>
      <c r="BE129" s="95"/>
      <c r="BF129" s="95"/>
    </row>
    <row r="130" spans="2:58" ht="15" customHeight="1" x14ac:dyDescent="0.45">
      <c r="B130" s="44" t="s">
        <v>52</v>
      </c>
      <c r="C130" s="70" t="s">
        <v>143</v>
      </c>
      <c r="D130" s="70" t="s">
        <v>144</v>
      </c>
      <c r="E130" s="70" t="s">
        <v>145</v>
      </c>
      <c r="F130" s="70" t="s">
        <v>146</v>
      </c>
      <c r="G130" s="70" t="s">
        <v>147</v>
      </c>
      <c r="H130" s="70" t="s">
        <v>148</v>
      </c>
      <c r="L130" s="71" t="s">
        <v>52</v>
      </c>
      <c r="M130" s="45" t="s">
        <v>143</v>
      </c>
      <c r="N130" s="45" t="s">
        <v>144</v>
      </c>
      <c r="O130" s="45" t="s">
        <v>145</v>
      </c>
      <c r="P130" s="45" t="s">
        <v>146</v>
      </c>
      <c r="Q130" s="45" t="s">
        <v>147</v>
      </c>
      <c r="R130" s="45" t="s">
        <v>148</v>
      </c>
      <c r="S130" s="41"/>
      <c r="T130" s="43"/>
      <c r="V130" s="44" t="str">
        <f t="shared" ref="V130:V142" si="144">B130</f>
        <v>AR-LTV</v>
      </c>
      <c r="W130" s="70" t="str">
        <f>C130</f>
        <v>&lt;74.99%</v>
      </c>
      <c r="X130" s="70" t="str">
        <f>D130</f>
        <v>75.00%-80.00%</v>
      </c>
      <c r="Y130" s="70" t="str">
        <f>E130</f>
        <v>80.01%-85.00%</v>
      </c>
      <c r="Z130" s="70" t="str">
        <f>F130</f>
        <v>85.01%-87.50%</v>
      </c>
      <c r="AA130" s="70" t="str">
        <f>G130</f>
        <v>87.51%-89.99%</v>
      </c>
      <c r="AB130" s="70" t="str">
        <f>H130</f>
        <v>90.00%-92.50%</v>
      </c>
      <c r="AF130" s="44" t="str">
        <f t="shared" ref="AF130:AF146" si="145">V130</f>
        <v>AR-LTV</v>
      </c>
      <c r="AG130" s="45" t="str">
        <f>W130</f>
        <v>&lt;74.99%</v>
      </c>
      <c r="AH130" s="45" t="str">
        <f>X130</f>
        <v>75.00%-80.00%</v>
      </c>
      <c r="AI130" s="45" t="str">
        <f>Y130</f>
        <v>80.01%-85.00%</v>
      </c>
      <c r="AJ130" s="45" t="str">
        <f>Z130</f>
        <v>85.01%-87.50%</v>
      </c>
      <c r="AK130" s="45" t="str">
        <f>AA130</f>
        <v>87.51%-89.99%</v>
      </c>
      <c r="AL130" s="45" t="str">
        <f>AB130</f>
        <v>90.00%-92.50%</v>
      </c>
      <c r="AM130" s="41"/>
      <c r="AN130" s="43"/>
      <c r="AP130" s="44" t="str">
        <f t="shared" ref="AP130:AP146" si="146">B130</f>
        <v>AR-LTV</v>
      </c>
      <c r="AQ130" s="70" t="str">
        <f>C130</f>
        <v>&lt;74.99%</v>
      </c>
      <c r="AR130" s="70" t="str">
        <f>D130</f>
        <v>75.00%-80.00%</v>
      </c>
      <c r="AS130" s="70" t="str">
        <f>E130</f>
        <v>80.01%-85.00%</v>
      </c>
      <c r="AT130" s="70" t="str">
        <f>F130</f>
        <v>85.01%-87.50%</v>
      </c>
      <c r="AU130" s="70" t="str">
        <f>G130</f>
        <v>87.51%-89.99%</v>
      </c>
      <c r="AV130" s="70" t="str">
        <f>H130</f>
        <v>90.00%-92.50%</v>
      </c>
      <c r="AZ130" s="71" t="str">
        <f t="shared" ref="AZ130:AZ146" si="147">B130</f>
        <v>AR-LTV</v>
      </c>
      <c r="BA130" s="45" t="str">
        <f>C130</f>
        <v>&lt;74.99%</v>
      </c>
      <c r="BB130" s="45" t="str">
        <f>D130</f>
        <v>75.00%-80.00%</v>
      </c>
      <c r="BC130" s="45" t="str">
        <f>E130</f>
        <v>80.01%-85.00%</v>
      </c>
      <c r="BD130" s="45" t="str">
        <f>F130</f>
        <v>85.01%-87.50%</v>
      </c>
      <c r="BE130" s="45" t="str">
        <f>G130</f>
        <v>87.51%-89.99%</v>
      </c>
      <c r="BF130" s="45" t="str">
        <f>H130</f>
        <v>90.00%-92.50%</v>
      </c>
    </row>
    <row r="131" spans="2:58" ht="15" hidden="1" customHeight="1" x14ac:dyDescent="0.45">
      <c r="B131" s="46" t="s">
        <v>164</v>
      </c>
      <c r="C131" s="47">
        <f>C143+0.75%</f>
        <v>9.7500000000000003E-2</v>
      </c>
      <c r="D131" s="47">
        <f>C131+0.25%</f>
        <v>0.1</v>
      </c>
      <c r="E131" s="49" t="s">
        <v>150</v>
      </c>
      <c r="F131" s="49" t="s">
        <v>150</v>
      </c>
      <c r="G131" s="49" t="s">
        <v>150</v>
      </c>
      <c r="H131" s="49" t="s">
        <v>150</v>
      </c>
      <c r="L131" s="46" t="s">
        <v>164</v>
      </c>
      <c r="M131" s="49" t="s">
        <v>150</v>
      </c>
      <c r="N131" s="49" t="s">
        <v>150</v>
      </c>
      <c r="O131" s="49" t="s">
        <v>150</v>
      </c>
      <c r="P131" s="49" t="s">
        <v>150</v>
      </c>
      <c r="Q131" s="49" t="s">
        <v>150</v>
      </c>
      <c r="R131" s="49" t="s">
        <v>150</v>
      </c>
      <c r="S131" s="50"/>
      <c r="T131" s="51"/>
      <c r="V131" s="46" t="str">
        <f t="shared" si="144"/>
        <v>75.01%-80.00%</v>
      </c>
      <c r="W131" s="47">
        <f>W143+0.75%</f>
        <v>9.7500000000000003E-2</v>
      </c>
      <c r="X131" s="47">
        <f>W131+0.25%</f>
        <v>0.1</v>
      </c>
      <c r="Y131" s="49" t="s">
        <v>150</v>
      </c>
      <c r="Z131" s="49" t="s">
        <v>150</v>
      </c>
      <c r="AA131" s="49" t="s">
        <v>150</v>
      </c>
      <c r="AB131" s="49" t="s">
        <v>150</v>
      </c>
      <c r="AF131" s="46" t="str">
        <f t="shared" si="145"/>
        <v>75.01%-80.00%</v>
      </c>
      <c r="AG131" s="49" t="s">
        <v>150</v>
      </c>
      <c r="AH131" s="49" t="s">
        <v>150</v>
      </c>
      <c r="AI131" s="49" t="s">
        <v>150</v>
      </c>
      <c r="AJ131" s="49" t="s">
        <v>150</v>
      </c>
      <c r="AK131" s="49" t="s">
        <v>150</v>
      </c>
      <c r="AL131" s="49" t="s">
        <v>150</v>
      </c>
      <c r="AM131" s="50"/>
      <c r="AN131" s="51"/>
      <c r="AP131" s="46" t="str">
        <f t="shared" si="146"/>
        <v>75.01%-80.00%</v>
      </c>
      <c r="AQ131" s="47">
        <f>AQ143+0.75%</f>
        <v>9.7500000000000003E-2</v>
      </c>
      <c r="AR131" s="47">
        <f>AQ131+0.25%</f>
        <v>0.1</v>
      </c>
      <c r="AS131" s="49" t="s">
        <v>150</v>
      </c>
      <c r="AT131" s="49" t="s">
        <v>150</v>
      </c>
      <c r="AU131" s="49" t="s">
        <v>150</v>
      </c>
      <c r="AV131" s="49" t="s">
        <v>150</v>
      </c>
      <c r="AZ131" s="46" t="str">
        <f t="shared" si="147"/>
        <v>75.01%-80.00%</v>
      </c>
      <c r="BA131" s="49" t="s">
        <v>150</v>
      </c>
      <c r="BB131" s="49" t="s">
        <v>150</v>
      </c>
      <c r="BC131" s="49" t="s">
        <v>150</v>
      </c>
      <c r="BD131" s="49" t="s">
        <v>150</v>
      </c>
      <c r="BE131" s="49" t="s">
        <v>150</v>
      </c>
      <c r="BF131" s="49" t="s">
        <v>150</v>
      </c>
    </row>
    <row r="132" spans="2:58" ht="15" hidden="1" customHeight="1" x14ac:dyDescent="0.45">
      <c r="B132" s="52" t="s">
        <v>151</v>
      </c>
      <c r="C132" s="53">
        <f>C131+0</f>
        <v>9.7500000000000003E-2</v>
      </c>
      <c r="D132" s="53">
        <f>D131+0</f>
        <v>0.1</v>
      </c>
      <c r="E132" s="54" t="s">
        <v>150</v>
      </c>
      <c r="F132" s="54" t="s">
        <v>150</v>
      </c>
      <c r="G132" s="54" t="s">
        <v>150</v>
      </c>
      <c r="H132" s="54" t="s">
        <v>150</v>
      </c>
      <c r="L132" s="52" t="s">
        <v>151</v>
      </c>
      <c r="M132" s="54" t="s">
        <v>150</v>
      </c>
      <c r="N132" s="54" t="s">
        <v>150</v>
      </c>
      <c r="O132" s="54" t="s">
        <v>150</v>
      </c>
      <c r="P132" s="54" t="s">
        <v>150</v>
      </c>
      <c r="Q132" s="54" t="s">
        <v>150</v>
      </c>
      <c r="R132" s="54" t="s">
        <v>150</v>
      </c>
      <c r="S132" s="55"/>
      <c r="T132" s="56"/>
      <c r="V132" s="52" t="str">
        <f t="shared" si="144"/>
        <v>FICO 700+</v>
      </c>
      <c r="W132" s="53">
        <f>W131+0</f>
        <v>9.7500000000000003E-2</v>
      </c>
      <c r="X132" s="53">
        <f>X131+0</f>
        <v>0.1</v>
      </c>
      <c r="Y132" s="54" t="s">
        <v>150</v>
      </c>
      <c r="Z132" s="54" t="s">
        <v>150</v>
      </c>
      <c r="AA132" s="54" t="s">
        <v>150</v>
      </c>
      <c r="AB132" s="54" t="s">
        <v>150</v>
      </c>
      <c r="AF132" s="52" t="str">
        <f t="shared" si="145"/>
        <v>FICO 700+</v>
      </c>
      <c r="AG132" s="54" t="s">
        <v>150</v>
      </c>
      <c r="AH132" s="54" t="s">
        <v>150</v>
      </c>
      <c r="AI132" s="54" t="s">
        <v>150</v>
      </c>
      <c r="AJ132" s="54" t="s">
        <v>150</v>
      </c>
      <c r="AK132" s="54" t="s">
        <v>150</v>
      </c>
      <c r="AL132" s="54" t="s">
        <v>150</v>
      </c>
      <c r="AM132" s="55"/>
      <c r="AN132" s="56"/>
      <c r="AP132" s="52" t="str">
        <f t="shared" si="146"/>
        <v>FICO 700+</v>
      </c>
      <c r="AQ132" s="53">
        <f>AQ131+0</f>
        <v>9.7500000000000003E-2</v>
      </c>
      <c r="AR132" s="53">
        <f>AR131+0</f>
        <v>0.1</v>
      </c>
      <c r="AS132" s="54" t="s">
        <v>150</v>
      </c>
      <c r="AT132" s="54" t="s">
        <v>150</v>
      </c>
      <c r="AU132" s="54" t="s">
        <v>150</v>
      </c>
      <c r="AV132" s="54" t="s">
        <v>150</v>
      </c>
      <c r="AZ132" s="52" t="str">
        <f t="shared" si="147"/>
        <v>FICO 700+</v>
      </c>
      <c r="BA132" s="54" t="s">
        <v>150</v>
      </c>
      <c r="BB132" s="54" t="s">
        <v>150</v>
      </c>
      <c r="BC132" s="54" t="s">
        <v>150</v>
      </c>
      <c r="BD132" s="54" t="s">
        <v>150</v>
      </c>
      <c r="BE132" s="54" t="s">
        <v>150</v>
      </c>
      <c r="BF132" s="54" t="s">
        <v>150</v>
      </c>
    </row>
    <row r="133" spans="2:58" ht="15" hidden="1" customHeight="1" x14ac:dyDescent="0.45">
      <c r="B133" s="52" t="s">
        <v>152</v>
      </c>
      <c r="C133" s="53">
        <f>C131+0.25%</f>
        <v>0.1</v>
      </c>
      <c r="D133" s="53">
        <f>D131+0.25%</f>
        <v>0.10250000000000001</v>
      </c>
      <c r="E133" s="54" t="s">
        <v>150</v>
      </c>
      <c r="F133" s="54" t="s">
        <v>150</v>
      </c>
      <c r="G133" s="54" t="s">
        <v>150</v>
      </c>
      <c r="H133" s="54" t="s">
        <v>150</v>
      </c>
      <c r="L133" s="52" t="s">
        <v>152</v>
      </c>
      <c r="M133" s="54" t="s">
        <v>150</v>
      </c>
      <c r="N133" s="54" t="s">
        <v>150</v>
      </c>
      <c r="O133" s="54" t="s">
        <v>150</v>
      </c>
      <c r="P133" s="54" t="s">
        <v>150</v>
      </c>
      <c r="Q133" s="54" t="s">
        <v>150</v>
      </c>
      <c r="R133" s="54" t="s">
        <v>150</v>
      </c>
      <c r="S133" s="55"/>
      <c r="T133" s="56"/>
      <c r="V133" s="52" t="str">
        <f t="shared" si="144"/>
        <v>FICO 660-699</v>
      </c>
      <c r="W133" s="53">
        <f>W131+0.25%</f>
        <v>0.1</v>
      </c>
      <c r="X133" s="53">
        <f>X131+0.25%</f>
        <v>0.10250000000000001</v>
      </c>
      <c r="Y133" s="54" t="s">
        <v>150</v>
      </c>
      <c r="Z133" s="54" t="s">
        <v>150</v>
      </c>
      <c r="AA133" s="54" t="s">
        <v>150</v>
      </c>
      <c r="AB133" s="54" t="s">
        <v>150</v>
      </c>
      <c r="AF133" s="52" t="str">
        <f t="shared" si="145"/>
        <v>FICO 660-699</v>
      </c>
      <c r="AG133" s="54" t="s">
        <v>150</v>
      </c>
      <c r="AH133" s="54" t="s">
        <v>150</v>
      </c>
      <c r="AI133" s="54" t="s">
        <v>150</v>
      </c>
      <c r="AJ133" s="54" t="s">
        <v>150</v>
      </c>
      <c r="AK133" s="54" t="s">
        <v>150</v>
      </c>
      <c r="AL133" s="54" t="s">
        <v>150</v>
      </c>
      <c r="AM133" s="55"/>
      <c r="AN133" s="56"/>
      <c r="AP133" s="52" t="str">
        <f t="shared" si="146"/>
        <v>FICO 660-699</v>
      </c>
      <c r="AQ133" s="53">
        <f>AQ131+0.25%</f>
        <v>0.1</v>
      </c>
      <c r="AR133" s="53">
        <f>AR131+0.25%</f>
        <v>0.10250000000000001</v>
      </c>
      <c r="AS133" s="54" t="s">
        <v>150</v>
      </c>
      <c r="AT133" s="54" t="s">
        <v>150</v>
      </c>
      <c r="AU133" s="54" t="s">
        <v>150</v>
      </c>
      <c r="AV133" s="54" t="s">
        <v>150</v>
      </c>
      <c r="AZ133" s="52" t="str">
        <f t="shared" si="147"/>
        <v>FICO 660-699</v>
      </c>
      <c r="BA133" s="54" t="s">
        <v>150</v>
      </c>
      <c r="BB133" s="54" t="s">
        <v>150</v>
      </c>
      <c r="BC133" s="54" t="s">
        <v>150</v>
      </c>
      <c r="BD133" s="54" t="s">
        <v>150</v>
      </c>
      <c r="BE133" s="54" t="s">
        <v>150</v>
      </c>
      <c r="BF133" s="54" t="s">
        <v>150</v>
      </c>
    </row>
    <row r="134" spans="2:58" ht="15" hidden="1" customHeight="1" x14ac:dyDescent="0.45">
      <c r="B134" s="57" t="s">
        <v>153</v>
      </c>
      <c r="C134" s="59" t="s">
        <v>150</v>
      </c>
      <c r="D134" s="59" t="s">
        <v>150</v>
      </c>
      <c r="E134" s="59" t="s">
        <v>150</v>
      </c>
      <c r="F134" s="59" t="s">
        <v>150</v>
      </c>
      <c r="G134" s="59" t="s">
        <v>150</v>
      </c>
      <c r="H134" s="59" t="s">
        <v>150</v>
      </c>
      <c r="L134" s="57" t="s">
        <v>153</v>
      </c>
      <c r="M134" s="59" t="s">
        <v>150</v>
      </c>
      <c r="N134" s="59" t="s">
        <v>150</v>
      </c>
      <c r="O134" s="59" t="s">
        <v>150</v>
      </c>
      <c r="P134" s="59" t="s">
        <v>150</v>
      </c>
      <c r="Q134" s="59" t="s">
        <v>150</v>
      </c>
      <c r="R134" s="59" t="s">
        <v>150</v>
      </c>
      <c r="S134" s="55"/>
      <c r="T134" s="56"/>
      <c r="V134" s="57" t="str">
        <f t="shared" si="144"/>
        <v>FICO 640-659</v>
      </c>
      <c r="W134" s="59" t="s">
        <v>150</v>
      </c>
      <c r="X134" s="59" t="s">
        <v>150</v>
      </c>
      <c r="Y134" s="59" t="s">
        <v>150</v>
      </c>
      <c r="Z134" s="59" t="s">
        <v>150</v>
      </c>
      <c r="AA134" s="59" t="s">
        <v>150</v>
      </c>
      <c r="AB134" s="59" t="s">
        <v>150</v>
      </c>
      <c r="AF134" s="57" t="str">
        <f t="shared" si="145"/>
        <v>FICO 640-659</v>
      </c>
      <c r="AG134" s="59" t="s">
        <v>150</v>
      </c>
      <c r="AH134" s="59" t="s">
        <v>150</v>
      </c>
      <c r="AI134" s="59" t="s">
        <v>150</v>
      </c>
      <c r="AJ134" s="59" t="s">
        <v>150</v>
      </c>
      <c r="AK134" s="59" t="s">
        <v>150</v>
      </c>
      <c r="AL134" s="59" t="s">
        <v>150</v>
      </c>
      <c r="AM134" s="55"/>
      <c r="AN134" s="56"/>
      <c r="AP134" s="57" t="str">
        <f t="shared" si="146"/>
        <v>FICO 640-659</v>
      </c>
      <c r="AQ134" s="59" t="s">
        <v>150</v>
      </c>
      <c r="AR134" s="59" t="s">
        <v>150</v>
      </c>
      <c r="AS134" s="59" t="s">
        <v>150</v>
      </c>
      <c r="AT134" s="59" t="s">
        <v>150</v>
      </c>
      <c r="AU134" s="59" t="s">
        <v>150</v>
      </c>
      <c r="AV134" s="59" t="s">
        <v>150</v>
      </c>
      <c r="AZ134" s="57" t="str">
        <f t="shared" si="147"/>
        <v>FICO 640-659</v>
      </c>
      <c r="BA134" s="59" t="s">
        <v>150</v>
      </c>
      <c r="BB134" s="59" t="s">
        <v>150</v>
      </c>
      <c r="BC134" s="59" t="s">
        <v>150</v>
      </c>
      <c r="BD134" s="59" t="s">
        <v>150</v>
      </c>
      <c r="BE134" s="59" t="s">
        <v>150</v>
      </c>
      <c r="BF134" s="59" t="s">
        <v>150</v>
      </c>
    </row>
    <row r="135" spans="2:58" ht="15" customHeight="1" x14ac:dyDescent="0.45">
      <c r="B135" s="46" t="s">
        <v>149</v>
      </c>
      <c r="C135" s="47">
        <f>C143+0.5%</f>
        <v>9.5000000000000001E-2</v>
      </c>
      <c r="D135" s="47">
        <f>C135+0.25%</f>
        <v>9.7500000000000003E-2</v>
      </c>
      <c r="E135" s="49" t="s">
        <v>150</v>
      </c>
      <c r="F135" s="49" t="s">
        <v>150</v>
      </c>
      <c r="G135" s="49" t="s">
        <v>150</v>
      </c>
      <c r="H135" s="49" t="s">
        <v>150</v>
      </c>
      <c r="L135" s="46" t="s">
        <v>149</v>
      </c>
      <c r="M135" s="49" t="s">
        <v>150</v>
      </c>
      <c r="N135" s="49" t="s">
        <v>150</v>
      </c>
      <c r="O135" s="49" t="s">
        <v>150</v>
      </c>
      <c r="P135" s="49" t="s">
        <v>150</v>
      </c>
      <c r="Q135" s="49" t="s">
        <v>150</v>
      </c>
      <c r="R135" s="49" t="s">
        <v>150</v>
      </c>
      <c r="S135" s="50"/>
      <c r="T135" s="51"/>
      <c r="V135" s="46" t="str">
        <f t="shared" si="144"/>
        <v>70.01%-75.00%</v>
      </c>
      <c r="W135" s="47">
        <f>W143+0.5%</f>
        <v>9.5000000000000001E-2</v>
      </c>
      <c r="X135" s="47">
        <f>W135+0.25%</f>
        <v>9.7500000000000003E-2</v>
      </c>
      <c r="Y135" s="49" t="s">
        <v>150</v>
      </c>
      <c r="Z135" s="49" t="s">
        <v>150</v>
      </c>
      <c r="AA135" s="49" t="s">
        <v>150</v>
      </c>
      <c r="AB135" s="49" t="s">
        <v>150</v>
      </c>
      <c r="AF135" s="60" t="str">
        <f t="shared" si="145"/>
        <v>70.01%-75.00%</v>
      </c>
      <c r="AG135" s="49" t="s">
        <v>150</v>
      </c>
      <c r="AH135" s="49" t="s">
        <v>150</v>
      </c>
      <c r="AI135" s="49" t="s">
        <v>150</v>
      </c>
      <c r="AJ135" s="49" t="s">
        <v>150</v>
      </c>
      <c r="AK135" s="49" t="s">
        <v>150</v>
      </c>
      <c r="AL135" s="49" t="s">
        <v>150</v>
      </c>
      <c r="AM135" s="50"/>
      <c r="AN135" s="51"/>
      <c r="AP135" s="46" t="str">
        <f t="shared" si="146"/>
        <v>70.01%-75.00%</v>
      </c>
      <c r="AQ135" s="47">
        <f>AQ143+0.5%</f>
        <v>9.5000000000000001E-2</v>
      </c>
      <c r="AR135" s="47">
        <f>AQ135+0.25%</f>
        <v>9.7500000000000003E-2</v>
      </c>
      <c r="AS135" s="49" t="s">
        <v>150</v>
      </c>
      <c r="AT135" s="49" t="s">
        <v>150</v>
      </c>
      <c r="AU135" s="49" t="s">
        <v>150</v>
      </c>
      <c r="AV135" s="49" t="s">
        <v>150</v>
      </c>
      <c r="AZ135" s="46" t="str">
        <f t="shared" si="147"/>
        <v>70.01%-75.00%</v>
      </c>
      <c r="BA135" s="49" t="s">
        <v>150</v>
      </c>
      <c r="BB135" s="49" t="s">
        <v>150</v>
      </c>
      <c r="BC135" s="49" t="s">
        <v>150</v>
      </c>
      <c r="BD135" s="49" t="s">
        <v>150</v>
      </c>
      <c r="BE135" s="49" t="s">
        <v>150</v>
      </c>
      <c r="BF135" s="49" t="s">
        <v>150</v>
      </c>
    </row>
    <row r="136" spans="2:58" ht="15" customHeight="1" x14ac:dyDescent="0.45">
      <c r="B136" s="52" t="s">
        <v>151</v>
      </c>
      <c r="C136" s="53">
        <f>C135+0</f>
        <v>9.5000000000000001E-2</v>
      </c>
      <c r="D136" s="53">
        <f>D135+0</f>
        <v>9.7500000000000003E-2</v>
      </c>
      <c r="E136" s="54" t="s">
        <v>150</v>
      </c>
      <c r="F136" s="54" t="s">
        <v>150</v>
      </c>
      <c r="G136" s="54" t="s">
        <v>150</v>
      </c>
      <c r="H136" s="54" t="s">
        <v>150</v>
      </c>
      <c r="L136" s="52" t="s">
        <v>151</v>
      </c>
      <c r="M136" s="54" t="s">
        <v>150</v>
      </c>
      <c r="N136" s="54" t="s">
        <v>150</v>
      </c>
      <c r="O136" s="54" t="s">
        <v>150</v>
      </c>
      <c r="P136" s="54" t="s">
        <v>150</v>
      </c>
      <c r="Q136" s="54" t="s">
        <v>150</v>
      </c>
      <c r="R136" s="54" t="s">
        <v>150</v>
      </c>
      <c r="S136" s="55"/>
      <c r="T136" s="56"/>
      <c r="V136" s="52" t="str">
        <f t="shared" si="144"/>
        <v>FICO 700+</v>
      </c>
      <c r="W136" s="53">
        <f>W135+0</f>
        <v>9.5000000000000001E-2</v>
      </c>
      <c r="X136" s="53">
        <f>X135+0</f>
        <v>9.7500000000000003E-2</v>
      </c>
      <c r="Y136" s="54" t="s">
        <v>150</v>
      </c>
      <c r="Z136" s="54" t="s">
        <v>150</v>
      </c>
      <c r="AA136" s="54" t="s">
        <v>150</v>
      </c>
      <c r="AB136" s="54" t="s">
        <v>150</v>
      </c>
      <c r="AF136" s="52" t="str">
        <f t="shared" si="145"/>
        <v>FICO 700+</v>
      </c>
      <c r="AG136" s="54" t="s">
        <v>150</v>
      </c>
      <c r="AH136" s="54" t="s">
        <v>150</v>
      </c>
      <c r="AI136" s="54" t="s">
        <v>150</v>
      </c>
      <c r="AJ136" s="54" t="s">
        <v>150</v>
      </c>
      <c r="AK136" s="54" t="s">
        <v>150</v>
      </c>
      <c r="AL136" s="54" t="s">
        <v>150</v>
      </c>
      <c r="AM136" s="55"/>
      <c r="AN136" s="56"/>
      <c r="AP136" s="52" t="str">
        <f t="shared" si="146"/>
        <v>FICO 700+</v>
      </c>
      <c r="AQ136" s="53">
        <f>AQ135+0</f>
        <v>9.5000000000000001E-2</v>
      </c>
      <c r="AR136" s="53">
        <f>AR135+0</f>
        <v>9.7500000000000003E-2</v>
      </c>
      <c r="AS136" s="54" t="s">
        <v>150</v>
      </c>
      <c r="AT136" s="54" t="s">
        <v>150</v>
      </c>
      <c r="AU136" s="54" t="s">
        <v>150</v>
      </c>
      <c r="AV136" s="54" t="s">
        <v>150</v>
      </c>
      <c r="AZ136" s="52" t="str">
        <f t="shared" si="147"/>
        <v>FICO 700+</v>
      </c>
      <c r="BA136" s="54" t="s">
        <v>150</v>
      </c>
      <c r="BB136" s="54" t="s">
        <v>150</v>
      </c>
      <c r="BC136" s="54" t="s">
        <v>150</v>
      </c>
      <c r="BD136" s="54" t="s">
        <v>150</v>
      </c>
      <c r="BE136" s="54" t="s">
        <v>150</v>
      </c>
      <c r="BF136" s="54" t="s">
        <v>150</v>
      </c>
    </row>
    <row r="137" spans="2:58" ht="15" customHeight="1" x14ac:dyDescent="0.45">
      <c r="B137" s="52" t="s">
        <v>152</v>
      </c>
      <c r="C137" s="53">
        <f>C135+0.25%</f>
        <v>9.7500000000000003E-2</v>
      </c>
      <c r="D137" s="53">
        <f>D135+0.25%</f>
        <v>0.1</v>
      </c>
      <c r="E137" s="54" t="s">
        <v>150</v>
      </c>
      <c r="F137" s="54" t="s">
        <v>150</v>
      </c>
      <c r="G137" s="54" t="s">
        <v>150</v>
      </c>
      <c r="H137" s="54" t="s">
        <v>150</v>
      </c>
      <c r="L137" s="52" t="s">
        <v>152</v>
      </c>
      <c r="M137" s="54" t="s">
        <v>150</v>
      </c>
      <c r="N137" s="54" t="s">
        <v>150</v>
      </c>
      <c r="O137" s="54" t="s">
        <v>150</v>
      </c>
      <c r="P137" s="54" t="s">
        <v>150</v>
      </c>
      <c r="Q137" s="54" t="s">
        <v>150</v>
      </c>
      <c r="R137" s="54" t="s">
        <v>150</v>
      </c>
      <c r="S137" s="55"/>
      <c r="T137" s="56"/>
      <c r="V137" s="52" t="str">
        <f t="shared" si="144"/>
        <v>FICO 660-699</v>
      </c>
      <c r="W137" s="53">
        <f>W135+0.25%</f>
        <v>9.7500000000000003E-2</v>
      </c>
      <c r="X137" s="53">
        <f>X135+0.25%</f>
        <v>0.1</v>
      </c>
      <c r="Y137" s="54" t="s">
        <v>150</v>
      </c>
      <c r="Z137" s="54" t="s">
        <v>150</v>
      </c>
      <c r="AA137" s="54" t="s">
        <v>150</v>
      </c>
      <c r="AB137" s="54" t="s">
        <v>150</v>
      </c>
      <c r="AF137" s="52" t="str">
        <f t="shared" si="145"/>
        <v>FICO 660-699</v>
      </c>
      <c r="AG137" s="54" t="s">
        <v>150</v>
      </c>
      <c r="AH137" s="54" t="s">
        <v>150</v>
      </c>
      <c r="AI137" s="54" t="s">
        <v>150</v>
      </c>
      <c r="AJ137" s="54" t="s">
        <v>150</v>
      </c>
      <c r="AK137" s="54" t="s">
        <v>150</v>
      </c>
      <c r="AL137" s="54" t="s">
        <v>150</v>
      </c>
      <c r="AM137" s="55"/>
      <c r="AN137" s="56"/>
      <c r="AP137" s="52" t="str">
        <f t="shared" si="146"/>
        <v>FICO 660-699</v>
      </c>
      <c r="AQ137" s="53">
        <f>AQ135+0.25%</f>
        <v>9.7500000000000003E-2</v>
      </c>
      <c r="AR137" s="53">
        <f>AR135+0.25%</f>
        <v>0.1</v>
      </c>
      <c r="AS137" s="54" t="s">
        <v>150</v>
      </c>
      <c r="AT137" s="54" t="s">
        <v>150</v>
      </c>
      <c r="AU137" s="54" t="s">
        <v>150</v>
      </c>
      <c r="AV137" s="54" t="s">
        <v>150</v>
      </c>
      <c r="AZ137" s="52" t="str">
        <f t="shared" si="147"/>
        <v>FICO 660-699</v>
      </c>
      <c r="BA137" s="54" t="s">
        <v>150</v>
      </c>
      <c r="BB137" s="54" t="s">
        <v>150</v>
      </c>
      <c r="BC137" s="54" t="s">
        <v>150</v>
      </c>
      <c r="BD137" s="54" t="s">
        <v>150</v>
      </c>
      <c r="BE137" s="54" t="s">
        <v>150</v>
      </c>
      <c r="BF137" s="54" t="s">
        <v>150</v>
      </c>
    </row>
    <row r="138" spans="2:58" ht="15" customHeight="1" x14ac:dyDescent="0.45">
      <c r="B138" s="57" t="s">
        <v>153</v>
      </c>
      <c r="C138" s="59" t="s">
        <v>150</v>
      </c>
      <c r="D138" s="59" t="s">
        <v>150</v>
      </c>
      <c r="E138" s="59" t="s">
        <v>150</v>
      </c>
      <c r="F138" s="59" t="s">
        <v>150</v>
      </c>
      <c r="G138" s="59" t="s">
        <v>150</v>
      </c>
      <c r="H138" s="59" t="s">
        <v>150</v>
      </c>
      <c r="L138" s="57" t="s">
        <v>153</v>
      </c>
      <c r="M138" s="59" t="s">
        <v>150</v>
      </c>
      <c r="N138" s="59" t="s">
        <v>150</v>
      </c>
      <c r="O138" s="59" t="s">
        <v>150</v>
      </c>
      <c r="P138" s="59" t="s">
        <v>150</v>
      </c>
      <c r="Q138" s="59" t="s">
        <v>150</v>
      </c>
      <c r="R138" s="59" t="s">
        <v>150</v>
      </c>
      <c r="S138" s="55"/>
      <c r="T138" s="56"/>
      <c r="V138" s="57" t="str">
        <f t="shared" si="144"/>
        <v>FICO 640-659</v>
      </c>
      <c r="W138" s="59" t="s">
        <v>150</v>
      </c>
      <c r="X138" s="59" t="s">
        <v>150</v>
      </c>
      <c r="Y138" s="59" t="s">
        <v>150</v>
      </c>
      <c r="Z138" s="59" t="s">
        <v>150</v>
      </c>
      <c r="AA138" s="59" t="s">
        <v>150</v>
      </c>
      <c r="AB138" s="59" t="s">
        <v>150</v>
      </c>
      <c r="AF138" s="57" t="str">
        <f t="shared" si="145"/>
        <v>FICO 640-659</v>
      </c>
      <c r="AG138" s="59" t="s">
        <v>150</v>
      </c>
      <c r="AH138" s="59" t="s">
        <v>150</v>
      </c>
      <c r="AI138" s="59" t="s">
        <v>150</v>
      </c>
      <c r="AJ138" s="59" t="s">
        <v>150</v>
      </c>
      <c r="AK138" s="59" t="s">
        <v>150</v>
      </c>
      <c r="AL138" s="59" t="s">
        <v>150</v>
      </c>
      <c r="AM138" s="55"/>
      <c r="AN138" s="56"/>
      <c r="AP138" s="57" t="str">
        <f t="shared" si="146"/>
        <v>FICO 640-659</v>
      </c>
      <c r="AQ138" s="59" t="s">
        <v>150</v>
      </c>
      <c r="AR138" s="59" t="s">
        <v>150</v>
      </c>
      <c r="AS138" s="59" t="s">
        <v>150</v>
      </c>
      <c r="AT138" s="59" t="s">
        <v>150</v>
      </c>
      <c r="AU138" s="59" t="s">
        <v>150</v>
      </c>
      <c r="AV138" s="59" t="s">
        <v>150</v>
      </c>
      <c r="AZ138" s="57" t="str">
        <f t="shared" si="147"/>
        <v>FICO 640-659</v>
      </c>
      <c r="BA138" s="59" t="s">
        <v>150</v>
      </c>
      <c r="BB138" s="59" t="s">
        <v>150</v>
      </c>
      <c r="BC138" s="59" t="s">
        <v>150</v>
      </c>
      <c r="BD138" s="59" t="s">
        <v>150</v>
      </c>
      <c r="BE138" s="59" t="s">
        <v>150</v>
      </c>
      <c r="BF138" s="59" t="s">
        <v>150</v>
      </c>
    </row>
    <row r="139" spans="2:58" ht="15" customHeight="1" x14ac:dyDescent="0.45">
      <c r="B139" s="46" t="s">
        <v>154</v>
      </c>
      <c r="C139" s="47">
        <f>C143+0.25%</f>
        <v>9.2499999999999999E-2</v>
      </c>
      <c r="D139" s="47">
        <f>C139+0.25%</f>
        <v>9.5000000000000001E-2</v>
      </c>
      <c r="E139" s="49" t="s">
        <v>150</v>
      </c>
      <c r="F139" s="49" t="s">
        <v>150</v>
      </c>
      <c r="G139" s="49" t="s">
        <v>150</v>
      </c>
      <c r="H139" s="49" t="s">
        <v>150</v>
      </c>
      <c r="L139" s="46" t="s">
        <v>154</v>
      </c>
      <c r="M139" s="73">
        <f>M143+0.25%</f>
        <v>0.105</v>
      </c>
      <c r="N139" s="49" t="s">
        <v>150</v>
      </c>
      <c r="O139" s="49" t="s">
        <v>150</v>
      </c>
      <c r="P139" s="49" t="s">
        <v>150</v>
      </c>
      <c r="Q139" s="49" t="s">
        <v>150</v>
      </c>
      <c r="R139" s="49" t="s">
        <v>150</v>
      </c>
      <c r="S139" s="50"/>
      <c r="T139" s="51"/>
      <c r="V139" s="46" t="str">
        <f t="shared" si="144"/>
        <v>65.00%-70.00%</v>
      </c>
      <c r="W139" s="47">
        <f>W143+0.25%</f>
        <v>9.2499999999999999E-2</v>
      </c>
      <c r="X139" s="47">
        <f>W139+0.25%</f>
        <v>9.5000000000000001E-2</v>
      </c>
      <c r="Y139" s="49" t="s">
        <v>150</v>
      </c>
      <c r="Z139" s="49" t="s">
        <v>150</v>
      </c>
      <c r="AA139" s="49" t="s">
        <v>150</v>
      </c>
      <c r="AB139" s="49" t="s">
        <v>150</v>
      </c>
      <c r="AF139" s="60" t="str">
        <f t="shared" si="145"/>
        <v>65.00%-70.00%</v>
      </c>
      <c r="AG139" s="73">
        <f>AG143+0.25%</f>
        <v>0.105</v>
      </c>
      <c r="AH139" s="49" t="s">
        <v>150</v>
      </c>
      <c r="AI139" s="49" t="s">
        <v>150</v>
      </c>
      <c r="AJ139" s="49" t="s">
        <v>150</v>
      </c>
      <c r="AK139" s="49" t="s">
        <v>150</v>
      </c>
      <c r="AL139" s="49" t="s">
        <v>150</v>
      </c>
      <c r="AM139" s="50"/>
      <c r="AN139" s="51"/>
      <c r="AP139" s="46" t="str">
        <f t="shared" si="146"/>
        <v>65.00%-70.00%</v>
      </c>
      <c r="AQ139" s="47">
        <f>AQ143+0.25%</f>
        <v>9.2499999999999999E-2</v>
      </c>
      <c r="AR139" s="47">
        <f>AQ139+0.25%</f>
        <v>9.5000000000000001E-2</v>
      </c>
      <c r="AS139" s="49" t="s">
        <v>150</v>
      </c>
      <c r="AT139" s="49" t="s">
        <v>150</v>
      </c>
      <c r="AU139" s="49" t="s">
        <v>150</v>
      </c>
      <c r="AV139" s="49" t="s">
        <v>150</v>
      </c>
      <c r="AZ139" s="46" t="str">
        <f t="shared" si="147"/>
        <v>65.00%-70.00%</v>
      </c>
      <c r="BA139" s="73">
        <f>BA143+0.25%</f>
        <v>0.105</v>
      </c>
      <c r="BB139" s="49" t="s">
        <v>150</v>
      </c>
      <c r="BC139" s="49" t="s">
        <v>150</v>
      </c>
      <c r="BD139" s="49" t="s">
        <v>150</v>
      </c>
      <c r="BE139" s="49" t="s">
        <v>150</v>
      </c>
      <c r="BF139" s="49" t="s">
        <v>150</v>
      </c>
    </row>
    <row r="140" spans="2:58" ht="15" customHeight="1" x14ac:dyDescent="0.45">
      <c r="B140" s="52" t="s">
        <v>151</v>
      </c>
      <c r="C140" s="53">
        <f>C139+0</f>
        <v>9.2499999999999999E-2</v>
      </c>
      <c r="D140" s="53">
        <f>D139+0</f>
        <v>9.5000000000000001E-2</v>
      </c>
      <c r="E140" s="54" t="s">
        <v>150</v>
      </c>
      <c r="F140" s="54" t="s">
        <v>150</v>
      </c>
      <c r="G140" s="54" t="s">
        <v>150</v>
      </c>
      <c r="H140" s="54" t="s">
        <v>150</v>
      </c>
      <c r="L140" s="52" t="s">
        <v>151</v>
      </c>
      <c r="M140" s="53">
        <f>M139+0</f>
        <v>0.105</v>
      </c>
      <c r="N140" s="54" t="s">
        <v>150</v>
      </c>
      <c r="O140" s="54" t="s">
        <v>150</v>
      </c>
      <c r="P140" s="54" t="s">
        <v>150</v>
      </c>
      <c r="Q140" s="54" t="s">
        <v>150</v>
      </c>
      <c r="R140" s="54" t="s">
        <v>150</v>
      </c>
      <c r="S140" s="55"/>
      <c r="T140" s="56"/>
      <c r="V140" s="52" t="str">
        <f t="shared" si="144"/>
        <v>FICO 700+</v>
      </c>
      <c r="W140" s="53">
        <f>W139+0</f>
        <v>9.2499999999999999E-2</v>
      </c>
      <c r="X140" s="53">
        <f>X139+0</f>
        <v>9.5000000000000001E-2</v>
      </c>
      <c r="Y140" s="54" t="s">
        <v>150</v>
      </c>
      <c r="Z140" s="54" t="s">
        <v>150</v>
      </c>
      <c r="AA140" s="54" t="s">
        <v>150</v>
      </c>
      <c r="AB140" s="54" t="s">
        <v>150</v>
      </c>
      <c r="AF140" s="52" t="str">
        <f t="shared" si="145"/>
        <v>FICO 700+</v>
      </c>
      <c r="AG140" s="53">
        <f>AG139+0</f>
        <v>0.105</v>
      </c>
      <c r="AH140" s="54" t="s">
        <v>150</v>
      </c>
      <c r="AI140" s="54" t="s">
        <v>150</v>
      </c>
      <c r="AJ140" s="54" t="s">
        <v>150</v>
      </c>
      <c r="AK140" s="54" t="s">
        <v>150</v>
      </c>
      <c r="AL140" s="54" t="s">
        <v>150</v>
      </c>
      <c r="AM140" s="55"/>
      <c r="AN140" s="56"/>
      <c r="AP140" s="52" t="str">
        <f t="shared" si="146"/>
        <v>FICO 700+</v>
      </c>
      <c r="AQ140" s="53">
        <f>AQ139+0</f>
        <v>9.2499999999999999E-2</v>
      </c>
      <c r="AR140" s="53">
        <f>AR139+0</f>
        <v>9.5000000000000001E-2</v>
      </c>
      <c r="AS140" s="54" t="s">
        <v>150</v>
      </c>
      <c r="AT140" s="54" t="s">
        <v>150</v>
      </c>
      <c r="AU140" s="54" t="s">
        <v>150</v>
      </c>
      <c r="AV140" s="54" t="s">
        <v>150</v>
      </c>
      <c r="AZ140" s="52" t="str">
        <f t="shared" si="147"/>
        <v>FICO 700+</v>
      </c>
      <c r="BA140" s="53">
        <f>BA139+0</f>
        <v>0.105</v>
      </c>
      <c r="BB140" s="54" t="s">
        <v>150</v>
      </c>
      <c r="BC140" s="54" t="s">
        <v>150</v>
      </c>
      <c r="BD140" s="54" t="s">
        <v>150</v>
      </c>
      <c r="BE140" s="54" t="s">
        <v>150</v>
      </c>
      <c r="BF140" s="54" t="s">
        <v>150</v>
      </c>
    </row>
    <row r="141" spans="2:58" ht="15" customHeight="1" x14ac:dyDescent="0.45">
      <c r="B141" s="52" t="s">
        <v>152</v>
      </c>
      <c r="C141" s="53">
        <f>C139+0.25%</f>
        <v>9.5000000000000001E-2</v>
      </c>
      <c r="D141" s="53">
        <f>D139+0.25%</f>
        <v>9.7500000000000003E-2</v>
      </c>
      <c r="E141" s="54" t="s">
        <v>150</v>
      </c>
      <c r="F141" s="54" t="s">
        <v>150</v>
      </c>
      <c r="G141" s="54" t="s">
        <v>150</v>
      </c>
      <c r="H141" s="54" t="s">
        <v>150</v>
      </c>
      <c r="L141" s="52" t="s">
        <v>152</v>
      </c>
      <c r="M141" s="53">
        <f>M139+0.25%</f>
        <v>0.1075</v>
      </c>
      <c r="N141" s="54" t="s">
        <v>150</v>
      </c>
      <c r="O141" s="54" t="s">
        <v>150</v>
      </c>
      <c r="P141" s="54" t="s">
        <v>150</v>
      </c>
      <c r="Q141" s="54" t="s">
        <v>150</v>
      </c>
      <c r="R141" s="54" t="s">
        <v>150</v>
      </c>
      <c r="S141" s="55"/>
      <c r="T141" s="56"/>
      <c r="V141" s="52" t="str">
        <f t="shared" si="144"/>
        <v>FICO 660-699</v>
      </c>
      <c r="W141" s="53">
        <f>W139+0.25%</f>
        <v>9.5000000000000001E-2</v>
      </c>
      <c r="X141" s="53">
        <f>X139+0.25%</f>
        <v>9.7500000000000003E-2</v>
      </c>
      <c r="Y141" s="54" t="s">
        <v>150</v>
      </c>
      <c r="Z141" s="54" t="s">
        <v>150</v>
      </c>
      <c r="AA141" s="54" t="s">
        <v>150</v>
      </c>
      <c r="AB141" s="54" t="s">
        <v>150</v>
      </c>
      <c r="AF141" s="52" t="str">
        <f t="shared" si="145"/>
        <v>FICO 660-699</v>
      </c>
      <c r="AG141" s="53">
        <f>AG139+0.25%</f>
        <v>0.1075</v>
      </c>
      <c r="AH141" s="54" t="s">
        <v>150</v>
      </c>
      <c r="AI141" s="54" t="s">
        <v>150</v>
      </c>
      <c r="AJ141" s="54" t="s">
        <v>150</v>
      </c>
      <c r="AK141" s="54" t="s">
        <v>150</v>
      </c>
      <c r="AL141" s="54" t="s">
        <v>150</v>
      </c>
      <c r="AM141" s="55"/>
      <c r="AN141" s="56"/>
      <c r="AP141" s="52" t="str">
        <f t="shared" si="146"/>
        <v>FICO 660-699</v>
      </c>
      <c r="AQ141" s="53">
        <f>AQ139+0.25%</f>
        <v>9.5000000000000001E-2</v>
      </c>
      <c r="AR141" s="53">
        <f>AR139+0.25%</f>
        <v>9.7500000000000003E-2</v>
      </c>
      <c r="AS141" s="54" t="s">
        <v>150</v>
      </c>
      <c r="AT141" s="54" t="s">
        <v>150</v>
      </c>
      <c r="AU141" s="54" t="s">
        <v>150</v>
      </c>
      <c r="AV141" s="54" t="s">
        <v>150</v>
      </c>
      <c r="AZ141" s="52" t="str">
        <f t="shared" si="147"/>
        <v>FICO 660-699</v>
      </c>
      <c r="BA141" s="53">
        <f>BA139+0.25%</f>
        <v>0.1075</v>
      </c>
      <c r="BB141" s="54" t="s">
        <v>150</v>
      </c>
      <c r="BC141" s="54" t="s">
        <v>150</v>
      </c>
      <c r="BD141" s="54" t="s">
        <v>150</v>
      </c>
      <c r="BE141" s="54" t="s">
        <v>150</v>
      </c>
      <c r="BF141" s="54" t="s">
        <v>150</v>
      </c>
    </row>
    <row r="142" spans="2:58" ht="15" customHeight="1" x14ac:dyDescent="0.45">
      <c r="B142" s="57" t="s">
        <v>153</v>
      </c>
      <c r="C142" s="59" t="s">
        <v>150</v>
      </c>
      <c r="D142" s="59" t="s">
        <v>150</v>
      </c>
      <c r="E142" s="59" t="s">
        <v>150</v>
      </c>
      <c r="F142" s="59" t="s">
        <v>150</v>
      </c>
      <c r="G142" s="59" t="s">
        <v>150</v>
      </c>
      <c r="H142" s="59" t="s">
        <v>150</v>
      </c>
      <c r="L142" s="57" t="s">
        <v>153</v>
      </c>
      <c r="M142" s="59" t="s">
        <v>150</v>
      </c>
      <c r="N142" s="59" t="s">
        <v>150</v>
      </c>
      <c r="O142" s="59" t="s">
        <v>150</v>
      </c>
      <c r="P142" s="59" t="s">
        <v>150</v>
      </c>
      <c r="Q142" s="59" t="s">
        <v>150</v>
      </c>
      <c r="R142" s="59" t="s">
        <v>150</v>
      </c>
      <c r="S142" s="55"/>
      <c r="T142" s="56"/>
      <c r="V142" s="57" t="str">
        <f t="shared" si="144"/>
        <v>FICO 640-659</v>
      </c>
      <c r="W142" s="59" t="s">
        <v>150</v>
      </c>
      <c r="X142" s="59" t="s">
        <v>150</v>
      </c>
      <c r="Y142" s="59" t="s">
        <v>150</v>
      </c>
      <c r="Z142" s="59" t="s">
        <v>150</v>
      </c>
      <c r="AA142" s="59" t="s">
        <v>150</v>
      </c>
      <c r="AB142" s="59" t="s">
        <v>150</v>
      </c>
      <c r="AF142" s="57" t="str">
        <f t="shared" si="145"/>
        <v>FICO 640-659</v>
      </c>
      <c r="AG142" s="59" t="s">
        <v>150</v>
      </c>
      <c r="AH142" s="59" t="s">
        <v>150</v>
      </c>
      <c r="AI142" s="59" t="s">
        <v>150</v>
      </c>
      <c r="AJ142" s="59" t="s">
        <v>150</v>
      </c>
      <c r="AK142" s="59" t="s">
        <v>150</v>
      </c>
      <c r="AL142" s="59" t="s">
        <v>150</v>
      </c>
      <c r="AM142" s="55"/>
      <c r="AN142" s="56"/>
      <c r="AP142" s="57" t="str">
        <f t="shared" si="146"/>
        <v>FICO 640-659</v>
      </c>
      <c r="AQ142" s="59" t="s">
        <v>150</v>
      </c>
      <c r="AR142" s="59" t="s">
        <v>150</v>
      </c>
      <c r="AS142" s="59" t="s">
        <v>150</v>
      </c>
      <c r="AT142" s="59" t="s">
        <v>150</v>
      </c>
      <c r="AU142" s="59" t="s">
        <v>150</v>
      </c>
      <c r="AV142" s="59" t="s">
        <v>150</v>
      </c>
      <c r="AZ142" s="57" t="str">
        <f t="shared" si="147"/>
        <v>FICO 640-659</v>
      </c>
      <c r="BA142" s="59" t="s">
        <v>150</v>
      </c>
      <c r="BB142" s="59" t="s">
        <v>150</v>
      </c>
      <c r="BC142" s="59" t="s">
        <v>150</v>
      </c>
      <c r="BD142" s="59" t="s">
        <v>150</v>
      </c>
      <c r="BE142" s="59" t="s">
        <v>150</v>
      </c>
      <c r="BF142" s="59" t="s">
        <v>150</v>
      </c>
    </row>
    <row r="143" spans="2:58" ht="15" customHeight="1" x14ac:dyDescent="0.45">
      <c r="B143" s="60" t="s">
        <v>155</v>
      </c>
      <c r="C143" s="72">
        <v>0.09</v>
      </c>
      <c r="D143" s="47">
        <f>C143+0.25%</f>
        <v>9.2499999999999999E-2</v>
      </c>
      <c r="E143" s="49" t="s">
        <v>150</v>
      </c>
      <c r="F143" s="49" t="s">
        <v>150</v>
      </c>
      <c r="G143" s="49" t="s">
        <v>150</v>
      </c>
      <c r="H143" s="49" t="s">
        <v>150</v>
      </c>
      <c r="L143" s="60" t="s">
        <v>155</v>
      </c>
      <c r="M143" s="72">
        <v>0.10249999999999999</v>
      </c>
      <c r="N143" s="49" t="s">
        <v>150</v>
      </c>
      <c r="O143" s="49" t="s">
        <v>150</v>
      </c>
      <c r="P143" s="49" t="s">
        <v>150</v>
      </c>
      <c r="Q143" s="49" t="s">
        <v>150</v>
      </c>
      <c r="R143" s="49" t="s">
        <v>150</v>
      </c>
      <c r="S143" s="50"/>
      <c r="T143" s="51"/>
      <c r="V143" s="60" t="s">
        <v>155</v>
      </c>
      <c r="W143" s="73">
        <v>0.09</v>
      </c>
      <c r="X143" s="47">
        <f>W143+0.25%</f>
        <v>9.2499999999999999E-2</v>
      </c>
      <c r="Y143" s="49" t="s">
        <v>150</v>
      </c>
      <c r="Z143" s="49" t="s">
        <v>150</v>
      </c>
      <c r="AA143" s="49" t="s">
        <v>150</v>
      </c>
      <c r="AB143" s="49" t="s">
        <v>150</v>
      </c>
      <c r="AF143" s="60" t="str">
        <f t="shared" si="145"/>
        <v>&lt;64.99%</v>
      </c>
      <c r="AG143" s="73">
        <v>0.10249999999999999</v>
      </c>
      <c r="AH143" s="49" t="s">
        <v>150</v>
      </c>
      <c r="AI143" s="49" t="s">
        <v>150</v>
      </c>
      <c r="AJ143" s="49" t="s">
        <v>150</v>
      </c>
      <c r="AK143" s="49" t="s">
        <v>150</v>
      </c>
      <c r="AL143" s="49" t="s">
        <v>150</v>
      </c>
      <c r="AM143" s="50"/>
      <c r="AN143" s="51"/>
      <c r="AP143" s="60" t="str">
        <f t="shared" si="146"/>
        <v>&lt;64.99%</v>
      </c>
      <c r="AQ143" s="73">
        <v>0.09</v>
      </c>
      <c r="AR143" s="47">
        <f>AQ143+0.25%</f>
        <v>9.2499999999999999E-2</v>
      </c>
      <c r="AS143" s="49" t="s">
        <v>150</v>
      </c>
      <c r="AT143" s="49" t="s">
        <v>150</v>
      </c>
      <c r="AU143" s="49" t="s">
        <v>150</v>
      </c>
      <c r="AV143" s="49" t="s">
        <v>150</v>
      </c>
      <c r="AZ143" s="60" t="str">
        <f t="shared" si="147"/>
        <v>&lt;64.99%</v>
      </c>
      <c r="BA143" s="73">
        <v>0.10249999999999999</v>
      </c>
      <c r="BB143" s="49" t="s">
        <v>150</v>
      </c>
      <c r="BC143" s="49" t="s">
        <v>150</v>
      </c>
      <c r="BD143" s="49" t="s">
        <v>150</v>
      </c>
      <c r="BE143" s="49" t="s">
        <v>150</v>
      </c>
      <c r="BF143" s="49" t="s">
        <v>150</v>
      </c>
    </row>
    <row r="144" spans="2:58" ht="15" customHeight="1" x14ac:dyDescent="0.45">
      <c r="B144" s="52" t="s">
        <v>151</v>
      </c>
      <c r="C144" s="53">
        <f>C143+0</f>
        <v>0.09</v>
      </c>
      <c r="D144" s="53">
        <f>D143+0</f>
        <v>9.2499999999999999E-2</v>
      </c>
      <c r="E144" s="54" t="s">
        <v>150</v>
      </c>
      <c r="F144" s="54" t="s">
        <v>150</v>
      </c>
      <c r="G144" s="54" t="s">
        <v>150</v>
      </c>
      <c r="H144" s="54" t="s">
        <v>150</v>
      </c>
      <c r="L144" s="52" t="s">
        <v>151</v>
      </c>
      <c r="M144" s="53">
        <f>M143+0</f>
        <v>0.10249999999999999</v>
      </c>
      <c r="N144" s="54" t="s">
        <v>150</v>
      </c>
      <c r="O144" s="54" t="s">
        <v>150</v>
      </c>
      <c r="P144" s="54" t="s">
        <v>150</v>
      </c>
      <c r="Q144" s="54" t="s">
        <v>150</v>
      </c>
      <c r="R144" s="54" t="s">
        <v>150</v>
      </c>
      <c r="S144" s="55"/>
      <c r="T144" s="56"/>
      <c r="V144" s="52" t="s">
        <v>151</v>
      </c>
      <c r="W144" s="53">
        <f>W143+0</f>
        <v>0.09</v>
      </c>
      <c r="X144" s="53">
        <f>X143+0</f>
        <v>9.2499999999999999E-2</v>
      </c>
      <c r="Y144" s="54" t="s">
        <v>150</v>
      </c>
      <c r="Z144" s="54" t="s">
        <v>150</v>
      </c>
      <c r="AA144" s="54" t="s">
        <v>150</v>
      </c>
      <c r="AB144" s="54" t="s">
        <v>150</v>
      </c>
      <c r="AF144" s="52" t="str">
        <f t="shared" si="145"/>
        <v>FICO 700+</v>
      </c>
      <c r="AG144" s="53">
        <f>AG143+0</f>
        <v>0.10249999999999999</v>
      </c>
      <c r="AH144" s="54" t="s">
        <v>150</v>
      </c>
      <c r="AI144" s="54" t="s">
        <v>150</v>
      </c>
      <c r="AJ144" s="54" t="s">
        <v>150</v>
      </c>
      <c r="AK144" s="54" t="s">
        <v>150</v>
      </c>
      <c r="AL144" s="54" t="s">
        <v>150</v>
      </c>
      <c r="AM144" s="55"/>
      <c r="AN144" s="56"/>
      <c r="AP144" s="52" t="str">
        <f t="shared" si="146"/>
        <v>FICO 700+</v>
      </c>
      <c r="AQ144" s="53">
        <f>AQ143+0</f>
        <v>0.09</v>
      </c>
      <c r="AR144" s="53">
        <f>AR143+0</f>
        <v>9.2499999999999999E-2</v>
      </c>
      <c r="AS144" s="54" t="s">
        <v>150</v>
      </c>
      <c r="AT144" s="54" t="s">
        <v>150</v>
      </c>
      <c r="AU144" s="54" t="s">
        <v>150</v>
      </c>
      <c r="AV144" s="54" t="s">
        <v>150</v>
      </c>
      <c r="AZ144" s="52" t="str">
        <f t="shared" si="147"/>
        <v>FICO 700+</v>
      </c>
      <c r="BA144" s="53">
        <f>BA143+0</f>
        <v>0.10249999999999999</v>
      </c>
      <c r="BB144" s="54" t="s">
        <v>150</v>
      </c>
      <c r="BC144" s="54" t="s">
        <v>150</v>
      </c>
      <c r="BD144" s="54" t="s">
        <v>150</v>
      </c>
      <c r="BE144" s="54" t="s">
        <v>150</v>
      </c>
      <c r="BF144" s="54" t="s">
        <v>150</v>
      </c>
    </row>
    <row r="145" spans="2:58" ht="15" customHeight="1" x14ac:dyDescent="0.45">
      <c r="B145" s="52" t="s">
        <v>152</v>
      </c>
      <c r="C145" s="53">
        <f>C143+0.25%</f>
        <v>9.2499999999999999E-2</v>
      </c>
      <c r="D145" s="53">
        <f>D143+0.25%</f>
        <v>9.5000000000000001E-2</v>
      </c>
      <c r="E145" s="54" t="s">
        <v>150</v>
      </c>
      <c r="F145" s="54" t="s">
        <v>150</v>
      </c>
      <c r="G145" s="54" t="s">
        <v>150</v>
      </c>
      <c r="H145" s="54" t="s">
        <v>150</v>
      </c>
      <c r="L145" s="52" t="s">
        <v>152</v>
      </c>
      <c r="M145" s="53">
        <f>M143+0.25%</f>
        <v>0.105</v>
      </c>
      <c r="N145" s="54" t="s">
        <v>150</v>
      </c>
      <c r="O145" s="54" t="s">
        <v>150</v>
      </c>
      <c r="P145" s="54" t="s">
        <v>150</v>
      </c>
      <c r="Q145" s="54" t="s">
        <v>150</v>
      </c>
      <c r="R145" s="54" t="s">
        <v>150</v>
      </c>
      <c r="S145" s="55"/>
      <c r="T145" s="56"/>
      <c r="V145" s="52" t="s">
        <v>152</v>
      </c>
      <c r="W145" s="53">
        <f>W143+0.25%</f>
        <v>9.2499999999999999E-2</v>
      </c>
      <c r="X145" s="53">
        <f>X143+0.25%</f>
        <v>9.5000000000000001E-2</v>
      </c>
      <c r="Y145" s="54" t="s">
        <v>150</v>
      </c>
      <c r="Z145" s="54" t="s">
        <v>150</v>
      </c>
      <c r="AA145" s="54" t="s">
        <v>150</v>
      </c>
      <c r="AB145" s="54" t="s">
        <v>150</v>
      </c>
      <c r="AF145" s="52" t="str">
        <f t="shared" si="145"/>
        <v>FICO 660-699</v>
      </c>
      <c r="AG145" s="53">
        <f>AG143+0.25%</f>
        <v>0.105</v>
      </c>
      <c r="AH145" s="54" t="s">
        <v>150</v>
      </c>
      <c r="AI145" s="54" t="s">
        <v>150</v>
      </c>
      <c r="AJ145" s="54" t="s">
        <v>150</v>
      </c>
      <c r="AK145" s="54" t="s">
        <v>150</v>
      </c>
      <c r="AL145" s="54" t="s">
        <v>150</v>
      </c>
      <c r="AM145" s="55"/>
      <c r="AN145" s="56"/>
      <c r="AP145" s="52" t="str">
        <f t="shared" si="146"/>
        <v>FICO 660-699</v>
      </c>
      <c r="AQ145" s="53">
        <f>AQ143+0.25%</f>
        <v>9.2499999999999999E-2</v>
      </c>
      <c r="AR145" s="53">
        <f>AR143+0.25%</f>
        <v>9.5000000000000001E-2</v>
      </c>
      <c r="AS145" s="54" t="s">
        <v>150</v>
      </c>
      <c r="AT145" s="54" t="s">
        <v>150</v>
      </c>
      <c r="AU145" s="54" t="s">
        <v>150</v>
      </c>
      <c r="AV145" s="54" t="s">
        <v>150</v>
      </c>
      <c r="AZ145" s="52" t="str">
        <f t="shared" si="147"/>
        <v>FICO 660-699</v>
      </c>
      <c r="BA145" s="53">
        <f>BA143+0.25%</f>
        <v>0.105</v>
      </c>
      <c r="BB145" s="54" t="s">
        <v>150</v>
      </c>
      <c r="BC145" s="54" t="s">
        <v>150</v>
      </c>
      <c r="BD145" s="54" t="s">
        <v>150</v>
      </c>
      <c r="BE145" s="54" t="s">
        <v>150</v>
      </c>
      <c r="BF145" s="54" t="s">
        <v>150</v>
      </c>
    </row>
    <row r="146" spans="2:58" ht="15" customHeight="1" x14ac:dyDescent="0.45">
      <c r="B146" s="52" t="s">
        <v>153</v>
      </c>
      <c r="C146" s="54" t="s">
        <v>150</v>
      </c>
      <c r="D146" s="54" t="s">
        <v>150</v>
      </c>
      <c r="E146" s="54" t="s">
        <v>150</v>
      </c>
      <c r="F146" s="54" t="s">
        <v>150</v>
      </c>
      <c r="G146" s="54" t="s">
        <v>150</v>
      </c>
      <c r="H146" s="54" t="s">
        <v>150</v>
      </c>
      <c r="L146" s="52" t="s">
        <v>153</v>
      </c>
      <c r="M146" s="54" t="s">
        <v>150</v>
      </c>
      <c r="N146" s="54" t="s">
        <v>150</v>
      </c>
      <c r="O146" s="54" t="s">
        <v>150</v>
      </c>
      <c r="P146" s="54" t="s">
        <v>150</v>
      </c>
      <c r="Q146" s="54" t="s">
        <v>150</v>
      </c>
      <c r="R146" s="54" t="s">
        <v>150</v>
      </c>
      <c r="S146" s="55"/>
      <c r="T146" s="56"/>
      <c r="V146" s="52" t="s">
        <v>153</v>
      </c>
      <c r="W146" s="54" t="s">
        <v>150</v>
      </c>
      <c r="X146" s="54" t="s">
        <v>150</v>
      </c>
      <c r="Y146" s="54" t="s">
        <v>150</v>
      </c>
      <c r="Z146" s="54" t="s">
        <v>150</v>
      </c>
      <c r="AA146" s="54" t="s">
        <v>150</v>
      </c>
      <c r="AB146" s="54" t="s">
        <v>150</v>
      </c>
      <c r="AF146" s="52" t="str">
        <f t="shared" si="145"/>
        <v>FICO 640-659</v>
      </c>
      <c r="AG146" s="54" t="s">
        <v>150</v>
      </c>
      <c r="AH146" s="54" t="s">
        <v>150</v>
      </c>
      <c r="AI146" s="54" t="s">
        <v>150</v>
      </c>
      <c r="AJ146" s="54" t="s">
        <v>150</v>
      </c>
      <c r="AK146" s="54" t="s">
        <v>150</v>
      </c>
      <c r="AL146" s="54" t="s">
        <v>150</v>
      </c>
      <c r="AM146" s="55"/>
      <c r="AN146" s="56"/>
      <c r="AP146" s="52" t="str">
        <f t="shared" si="146"/>
        <v>FICO 640-659</v>
      </c>
      <c r="AQ146" s="54" t="s">
        <v>150</v>
      </c>
      <c r="AR146" s="54" t="s">
        <v>150</v>
      </c>
      <c r="AS146" s="54" t="s">
        <v>150</v>
      </c>
      <c r="AT146" s="54" t="s">
        <v>150</v>
      </c>
      <c r="AU146" s="54" t="s">
        <v>150</v>
      </c>
      <c r="AV146" s="54" t="s">
        <v>150</v>
      </c>
      <c r="AZ146" s="52" t="str">
        <f t="shared" si="147"/>
        <v>FICO 640-659</v>
      </c>
      <c r="BA146" s="54" t="s">
        <v>150</v>
      </c>
      <c r="BB146" s="54" t="s">
        <v>150</v>
      </c>
      <c r="BC146" s="54" t="s">
        <v>150</v>
      </c>
      <c r="BD146" s="54" t="s">
        <v>150</v>
      </c>
      <c r="BE146" s="54" t="s">
        <v>150</v>
      </c>
      <c r="BF146" s="54" t="s">
        <v>150</v>
      </c>
    </row>
    <row r="148" spans="2:58" ht="15.75" customHeight="1" x14ac:dyDescent="0.45">
      <c r="B148" s="94" t="s">
        <v>157</v>
      </c>
      <c r="C148" s="94"/>
      <c r="D148" s="94"/>
      <c r="E148" s="94"/>
      <c r="F148" s="94"/>
      <c r="G148" s="94"/>
      <c r="H148" s="94"/>
      <c r="L148" s="94" t="s">
        <v>157</v>
      </c>
      <c r="M148" s="94"/>
      <c r="N148" s="94"/>
      <c r="O148" s="94"/>
      <c r="P148" s="94"/>
      <c r="Q148" s="94"/>
      <c r="R148" s="94"/>
      <c r="S148" s="39"/>
      <c r="T148" s="40"/>
      <c r="V148" s="94" t="s">
        <v>157</v>
      </c>
      <c r="W148" s="94"/>
      <c r="X148" s="94"/>
      <c r="Y148" s="94"/>
      <c r="Z148" s="94"/>
      <c r="AA148" s="94"/>
      <c r="AB148" s="94"/>
      <c r="AF148" s="94" t="s">
        <v>157</v>
      </c>
      <c r="AG148" s="94"/>
      <c r="AH148" s="94"/>
      <c r="AI148" s="94"/>
      <c r="AJ148" s="94"/>
      <c r="AK148" s="94"/>
      <c r="AL148" s="94"/>
      <c r="AM148" s="39"/>
      <c r="AN148" s="40"/>
      <c r="AP148" s="94" t="s">
        <v>157</v>
      </c>
      <c r="AQ148" s="94"/>
      <c r="AR148" s="94"/>
      <c r="AS148" s="94"/>
      <c r="AT148" s="94"/>
      <c r="AU148" s="94"/>
      <c r="AV148" s="94"/>
      <c r="AZ148" s="94" t="s">
        <v>157</v>
      </c>
      <c r="BA148" s="94"/>
      <c r="BB148" s="94"/>
      <c r="BC148" s="94"/>
      <c r="BD148" s="94"/>
      <c r="BE148" s="94"/>
      <c r="BF148" s="94"/>
    </row>
    <row r="149" spans="2:58" ht="15" customHeight="1" x14ac:dyDescent="0.45">
      <c r="B149" s="45"/>
      <c r="C149" s="95" t="s">
        <v>50</v>
      </c>
      <c r="D149" s="95"/>
      <c r="E149" s="95"/>
      <c r="F149" s="95"/>
      <c r="G149" s="95"/>
      <c r="H149" s="95"/>
      <c r="L149" s="45"/>
      <c r="M149" s="95" t="s">
        <v>50</v>
      </c>
      <c r="N149" s="95"/>
      <c r="O149" s="95"/>
      <c r="P149" s="95"/>
      <c r="Q149" s="95"/>
      <c r="R149" s="95"/>
      <c r="S149" s="41"/>
      <c r="T149" s="43"/>
      <c r="V149" s="45"/>
      <c r="W149" s="95" t="str">
        <f>C149</f>
        <v>LTC</v>
      </c>
      <c r="X149" s="95"/>
      <c r="Y149" s="95"/>
      <c r="Z149" s="95"/>
      <c r="AA149" s="95"/>
      <c r="AB149" s="95"/>
      <c r="AF149" s="45"/>
      <c r="AG149" s="95" t="str">
        <f>W149</f>
        <v>LTC</v>
      </c>
      <c r="AH149" s="95"/>
      <c r="AI149" s="95"/>
      <c r="AJ149" s="95"/>
      <c r="AK149" s="95"/>
      <c r="AL149" s="95"/>
      <c r="AM149" s="41"/>
      <c r="AN149" s="43"/>
      <c r="AP149" s="45"/>
      <c r="AQ149" s="95" t="str">
        <f>C149</f>
        <v>LTC</v>
      </c>
      <c r="AR149" s="95"/>
      <c r="AS149" s="95"/>
      <c r="AT149" s="95"/>
      <c r="AU149" s="95"/>
      <c r="AV149" s="95"/>
      <c r="AZ149" s="45"/>
      <c r="BA149" s="95" t="str">
        <f>C149</f>
        <v>LTC</v>
      </c>
      <c r="BB149" s="95"/>
      <c r="BC149" s="95"/>
      <c r="BD149" s="95"/>
      <c r="BE149" s="95"/>
      <c r="BF149" s="95"/>
    </row>
    <row r="150" spans="2:58" ht="15" customHeight="1" x14ac:dyDescent="0.45">
      <c r="B150" s="44" t="s">
        <v>52</v>
      </c>
      <c r="C150" s="45" t="s">
        <v>143</v>
      </c>
      <c r="D150" s="45" t="s">
        <v>144</v>
      </c>
      <c r="E150" s="45" t="s">
        <v>145</v>
      </c>
      <c r="F150" s="45" t="s">
        <v>146</v>
      </c>
      <c r="G150" s="45" t="s">
        <v>147</v>
      </c>
      <c r="H150" s="45" t="s">
        <v>148</v>
      </c>
      <c r="L150" s="44" t="s">
        <v>52</v>
      </c>
      <c r="M150" s="70" t="s">
        <v>143</v>
      </c>
      <c r="N150" s="70" t="s">
        <v>144</v>
      </c>
      <c r="O150" s="70" t="s">
        <v>145</v>
      </c>
      <c r="P150" s="70" t="s">
        <v>146</v>
      </c>
      <c r="Q150" s="70" t="s">
        <v>147</v>
      </c>
      <c r="R150" s="70" t="s">
        <v>148</v>
      </c>
      <c r="S150" s="41"/>
      <c r="T150" s="43"/>
      <c r="V150" s="44" t="str">
        <f t="shared" ref="V150:V162" si="148">B150</f>
        <v>AR-LTV</v>
      </c>
      <c r="W150" s="45" t="str">
        <f>C150</f>
        <v>&lt;74.99%</v>
      </c>
      <c r="X150" s="45" t="str">
        <f>D150</f>
        <v>75.00%-80.00%</v>
      </c>
      <c r="Y150" s="45" t="str">
        <f>E150</f>
        <v>80.01%-85.00%</v>
      </c>
      <c r="Z150" s="45" t="str">
        <f>F150</f>
        <v>85.01%-87.50%</v>
      </c>
      <c r="AA150" s="45" t="str">
        <f>G150</f>
        <v>87.51%-89.99%</v>
      </c>
      <c r="AB150" s="45" t="str">
        <f>H150</f>
        <v>90.00%-92.50%</v>
      </c>
      <c r="AF150" s="44" t="str">
        <f t="shared" ref="AF150:AF166" si="149">V150</f>
        <v>AR-LTV</v>
      </c>
      <c r="AG150" s="45" t="str">
        <f>W150</f>
        <v>&lt;74.99%</v>
      </c>
      <c r="AH150" s="45" t="str">
        <f>X150</f>
        <v>75.00%-80.00%</v>
      </c>
      <c r="AI150" s="45" t="str">
        <f>Y150</f>
        <v>80.01%-85.00%</v>
      </c>
      <c r="AJ150" s="45" t="str">
        <f>Z150</f>
        <v>85.01%-87.50%</v>
      </c>
      <c r="AK150" s="45" t="str">
        <f>AA150</f>
        <v>87.51%-89.99%</v>
      </c>
      <c r="AL150" s="45" t="str">
        <f>AB150</f>
        <v>90.00%-92.50%</v>
      </c>
      <c r="AM150" s="41"/>
      <c r="AN150" s="43"/>
      <c r="AP150" s="44" t="str">
        <f t="shared" ref="AP150:AP166" si="150">B150</f>
        <v>AR-LTV</v>
      </c>
      <c r="AQ150" s="45" t="str">
        <f>C150</f>
        <v>&lt;74.99%</v>
      </c>
      <c r="AR150" s="45" t="str">
        <f>D150</f>
        <v>75.00%-80.00%</v>
      </c>
      <c r="AS150" s="45" t="str">
        <f>E150</f>
        <v>80.01%-85.00%</v>
      </c>
      <c r="AT150" s="45" t="str">
        <f>F150</f>
        <v>85.01%-87.50%</v>
      </c>
      <c r="AU150" s="45" t="str">
        <f>G150</f>
        <v>87.51%-89.99%</v>
      </c>
      <c r="AV150" s="45" t="str">
        <f>H150</f>
        <v>90.00%-92.50%</v>
      </c>
      <c r="AZ150" s="71" t="str">
        <f t="shared" ref="AZ150:AZ166" si="151">B150</f>
        <v>AR-LTV</v>
      </c>
      <c r="BA150" s="45" t="str">
        <f>C150</f>
        <v>&lt;74.99%</v>
      </c>
      <c r="BB150" s="45" t="str">
        <f>D150</f>
        <v>75.00%-80.00%</v>
      </c>
      <c r="BC150" s="45" t="str">
        <f>E150</f>
        <v>80.01%-85.00%</v>
      </c>
      <c r="BD150" s="45" t="str">
        <f>F150</f>
        <v>85.01%-87.50%</v>
      </c>
      <c r="BE150" s="45" t="str">
        <f>G150</f>
        <v>87.51%-89.99%</v>
      </c>
      <c r="BF150" s="45" t="str">
        <f>H150</f>
        <v>90.00%-92.50%</v>
      </c>
    </row>
    <row r="151" spans="2:58" ht="15" hidden="1" customHeight="1" x14ac:dyDescent="0.45">
      <c r="B151" s="46" t="s">
        <v>164</v>
      </c>
      <c r="C151" s="74" t="s">
        <v>150</v>
      </c>
      <c r="D151" s="74" t="s">
        <v>150</v>
      </c>
      <c r="E151" s="74" t="s">
        <v>150</v>
      </c>
      <c r="F151" s="74" t="s">
        <v>150</v>
      </c>
      <c r="G151" s="74" t="s">
        <v>150</v>
      </c>
      <c r="H151" s="74" t="s">
        <v>150</v>
      </c>
      <c r="L151" s="46" t="s">
        <v>164</v>
      </c>
      <c r="M151" s="59" t="s">
        <v>150</v>
      </c>
      <c r="N151" s="59" t="s">
        <v>150</v>
      </c>
      <c r="O151" s="59" t="s">
        <v>150</v>
      </c>
      <c r="P151" s="59" t="s">
        <v>150</v>
      </c>
      <c r="Q151" s="59" t="s">
        <v>150</v>
      </c>
      <c r="R151" s="59" t="s">
        <v>150</v>
      </c>
      <c r="S151" s="55"/>
      <c r="T151" s="56"/>
      <c r="V151" s="46" t="str">
        <f t="shared" si="148"/>
        <v>75.01%-80.00%</v>
      </c>
      <c r="W151" s="74" t="s">
        <v>150</v>
      </c>
      <c r="X151" s="74" t="s">
        <v>150</v>
      </c>
      <c r="Y151" s="74" t="s">
        <v>150</v>
      </c>
      <c r="Z151" s="74" t="s">
        <v>150</v>
      </c>
      <c r="AA151" s="74" t="s">
        <v>150</v>
      </c>
      <c r="AB151" s="74" t="s">
        <v>150</v>
      </c>
      <c r="AF151" s="46" t="str">
        <f t="shared" si="149"/>
        <v>75.01%-80.00%</v>
      </c>
      <c r="AG151" s="59" t="s">
        <v>150</v>
      </c>
      <c r="AH151" s="59" t="s">
        <v>150</v>
      </c>
      <c r="AI151" s="59" t="s">
        <v>150</v>
      </c>
      <c r="AJ151" s="59" t="s">
        <v>150</v>
      </c>
      <c r="AK151" s="59" t="s">
        <v>150</v>
      </c>
      <c r="AL151" s="59" t="s">
        <v>150</v>
      </c>
      <c r="AM151" s="55"/>
      <c r="AN151" s="56"/>
      <c r="AP151" s="46" t="str">
        <f t="shared" si="150"/>
        <v>75.01%-80.00%</v>
      </c>
      <c r="AQ151" s="74" t="s">
        <v>150</v>
      </c>
      <c r="AR151" s="74" t="s">
        <v>150</v>
      </c>
      <c r="AS151" s="74" t="s">
        <v>150</v>
      </c>
      <c r="AT151" s="74" t="s">
        <v>150</v>
      </c>
      <c r="AU151" s="74" t="s">
        <v>150</v>
      </c>
      <c r="AV151" s="74" t="s">
        <v>150</v>
      </c>
      <c r="AZ151" s="46" t="str">
        <f t="shared" si="151"/>
        <v>75.01%-80.00%</v>
      </c>
      <c r="BA151" s="59" t="s">
        <v>150</v>
      </c>
      <c r="BB151" s="59" t="s">
        <v>150</v>
      </c>
      <c r="BC151" s="59" t="s">
        <v>150</v>
      </c>
      <c r="BD151" s="59" t="s">
        <v>150</v>
      </c>
      <c r="BE151" s="59" t="s">
        <v>150</v>
      </c>
      <c r="BF151" s="59" t="s">
        <v>150</v>
      </c>
    </row>
    <row r="152" spans="2:58" ht="15" hidden="1" customHeight="1" x14ac:dyDescent="0.45">
      <c r="B152" s="52" t="s">
        <v>151</v>
      </c>
      <c r="C152" s="54" t="s">
        <v>150</v>
      </c>
      <c r="D152" s="54" t="s">
        <v>150</v>
      </c>
      <c r="E152" s="54" t="s">
        <v>150</v>
      </c>
      <c r="F152" s="54" t="s">
        <v>150</v>
      </c>
      <c r="G152" s="54" t="s">
        <v>150</v>
      </c>
      <c r="H152" s="54" t="s">
        <v>150</v>
      </c>
      <c r="L152" s="52" t="s">
        <v>151</v>
      </c>
      <c r="M152" s="54" t="s">
        <v>150</v>
      </c>
      <c r="N152" s="54" t="s">
        <v>150</v>
      </c>
      <c r="O152" s="54" t="s">
        <v>150</v>
      </c>
      <c r="P152" s="54" t="s">
        <v>150</v>
      </c>
      <c r="Q152" s="54" t="s">
        <v>150</v>
      </c>
      <c r="R152" s="54" t="s">
        <v>150</v>
      </c>
      <c r="S152" s="55"/>
      <c r="T152" s="56"/>
      <c r="V152" s="52" t="str">
        <f t="shared" si="148"/>
        <v>FICO 700+</v>
      </c>
      <c r="W152" s="54" t="s">
        <v>150</v>
      </c>
      <c r="X152" s="54" t="s">
        <v>150</v>
      </c>
      <c r="Y152" s="54" t="s">
        <v>150</v>
      </c>
      <c r="Z152" s="54" t="s">
        <v>150</v>
      </c>
      <c r="AA152" s="54" t="s">
        <v>150</v>
      </c>
      <c r="AB152" s="54" t="s">
        <v>150</v>
      </c>
      <c r="AF152" s="52" t="str">
        <f t="shared" si="149"/>
        <v>FICO 700+</v>
      </c>
      <c r="AG152" s="54" t="s">
        <v>150</v>
      </c>
      <c r="AH152" s="54" t="s">
        <v>150</v>
      </c>
      <c r="AI152" s="54" t="s">
        <v>150</v>
      </c>
      <c r="AJ152" s="54" t="s">
        <v>150</v>
      </c>
      <c r="AK152" s="54" t="s">
        <v>150</v>
      </c>
      <c r="AL152" s="54" t="s">
        <v>150</v>
      </c>
      <c r="AM152" s="55"/>
      <c r="AN152" s="56"/>
      <c r="AP152" s="52" t="str">
        <f t="shared" si="150"/>
        <v>FICO 700+</v>
      </c>
      <c r="AQ152" s="54" t="s">
        <v>150</v>
      </c>
      <c r="AR152" s="54" t="s">
        <v>150</v>
      </c>
      <c r="AS152" s="54" t="s">
        <v>150</v>
      </c>
      <c r="AT152" s="54" t="s">
        <v>150</v>
      </c>
      <c r="AU152" s="54" t="s">
        <v>150</v>
      </c>
      <c r="AV152" s="54" t="s">
        <v>150</v>
      </c>
      <c r="AZ152" s="52" t="str">
        <f t="shared" si="151"/>
        <v>FICO 700+</v>
      </c>
      <c r="BA152" s="54" t="s">
        <v>150</v>
      </c>
      <c r="BB152" s="54" t="s">
        <v>150</v>
      </c>
      <c r="BC152" s="54" t="s">
        <v>150</v>
      </c>
      <c r="BD152" s="54" t="s">
        <v>150</v>
      </c>
      <c r="BE152" s="54" t="s">
        <v>150</v>
      </c>
      <c r="BF152" s="54" t="s">
        <v>150</v>
      </c>
    </row>
    <row r="153" spans="2:58" ht="15" hidden="1" customHeight="1" x14ac:dyDescent="0.45">
      <c r="B153" s="52" t="s">
        <v>158</v>
      </c>
      <c r="C153" s="54" t="s">
        <v>150</v>
      </c>
      <c r="D153" s="54" t="s">
        <v>150</v>
      </c>
      <c r="E153" s="54" t="s">
        <v>150</v>
      </c>
      <c r="F153" s="54" t="s">
        <v>150</v>
      </c>
      <c r="G153" s="54" t="s">
        <v>150</v>
      </c>
      <c r="H153" s="54" t="s">
        <v>150</v>
      </c>
      <c r="L153" s="52" t="s">
        <v>158</v>
      </c>
      <c r="M153" s="54" t="s">
        <v>150</v>
      </c>
      <c r="N153" s="54" t="s">
        <v>150</v>
      </c>
      <c r="O153" s="54" t="s">
        <v>150</v>
      </c>
      <c r="P153" s="54" t="s">
        <v>150</v>
      </c>
      <c r="Q153" s="54" t="s">
        <v>150</v>
      </c>
      <c r="R153" s="54" t="s">
        <v>150</v>
      </c>
      <c r="S153" s="55"/>
      <c r="T153" s="56"/>
      <c r="V153" s="52" t="str">
        <f t="shared" si="148"/>
        <v>FICO 680-699</v>
      </c>
      <c r="W153" s="54" t="s">
        <v>150</v>
      </c>
      <c r="X153" s="54" t="s">
        <v>150</v>
      </c>
      <c r="Y153" s="54" t="s">
        <v>150</v>
      </c>
      <c r="Z153" s="54" t="s">
        <v>150</v>
      </c>
      <c r="AA153" s="54" t="s">
        <v>150</v>
      </c>
      <c r="AB153" s="54" t="s">
        <v>150</v>
      </c>
      <c r="AF153" s="52" t="str">
        <f t="shared" si="149"/>
        <v>FICO 680-699</v>
      </c>
      <c r="AG153" s="54" t="s">
        <v>150</v>
      </c>
      <c r="AH153" s="54" t="s">
        <v>150</v>
      </c>
      <c r="AI153" s="54" t="s">
        <v>150</v>
      </c>
      <c r="AJ153" s="54" t="s">
        <v>150</v>
      </c>
      <c r="AK153" s="54" t="s">
        <v>150</v>
      </c>
      <c r="AL153" s="54" t="s">
        <v>150</v>
      </c>
      <c r="AM153" s="55"/>
      <c r="AN153" s="56"/>
      <c r="AP153" s="52" t="str">
        <f t="shared" si="150"/>
        <v>FICO 680-699</v>
      </c>
      <c r="AQ153" s="54" t="s">
        <v>150</v>
      </c>
      <c r="AR153" s="54" t="s">
        <v>150</v>
      </c>
      <c r="AS153" s="54" t="s">
        <v>150</v>
      </c>
      <c r="AT153" s="54" t="s">
        <v>150</v>
      </c>
      <c r="AU153" s="54" t="s">
        <v>150</v>
      </c>
      <c r="AV153" s="54" t="s">
        <v>150</v>
      </c>
      <c r="AZ153" s="52" t="str">
        <f t="shared" si="151"/>
        <v>FICO 680-699</v>
      </c>
      <c r="BA153" s="54" t="s">
        <v>150</v>
      </c>
      <c r="BB153" s="54" t="s">
        <v>150</v>
      </c>
      <c r="BC153" s="54" t="s">
        <v>150</v>
      </c>
      <c r="BD153" s="54" t="s">
        <v>150</v>
      </c>
      <c r="BE153" s="54" t="s">
        <v>150</v>
      </c>
      <c r="BF153" s="54" t="s">
        <v>150</v>
      </c>
    </row>
    <row r="154" spans="2:58" ht="15" hidden="1" customHeight="1" x14ac:dyDescent="0.45">
      <c r="B154" s="57" t="s">
        <v>153</v>
      </c>
      <c r="C154" s="59" t="s">
        <v>150</v>
      </c>
      <c r="D154" s="59" t="s">
        <v>150</v>
      </c>
      <c r="E154" s="59" t="s">
        <v>150</v>
      </c>
      <c r="F154" s="59" t="s">
        <v>150</v>
      </c>
      <c r="G154" s="59" t="s">
        <v>150</v>
      </c>
      <c r="H154" s="59" t="s">
        <v>150</v>
      </c>
      <c r="L154" s="57" t="s">
        <v>153</v>
      </c>
      <c r="M154" s="59" t="s">
        <v>150</v>
      </c>
      <c r="N154" s="59" t="s">
        <v>150</v>
      </c>
      <c r="O154" s="59" t="s">
        <v>150</v>
      </c>
      <c r="P154" s="59" t="s">
        <v>150</v>
      </c>
      <c r="Q154" s="59" t="s">
        <v>150</v>
      </c>
      <c r="R154" s="59" t="s">
        <v>150</v>
      </c>
      <c r="S154" s="55"/>
      <c r="T154" s="56"/>
      <c r="V154" s="57" t="str">
        <f t="shared" si="148"/>
        <v>FICO 640-659</v>
      </c>
      <c r="W154" s="59" t="s">
        <v>150</v>
      </c>
      <c r="X154" s="59" t="s">
        <v>150</v>
      </c>
      <c r="Y154" s="59" t="s">
        <v>150</v>
      </c>
      <c r="Z154" s="59" t="s">
        <v>150</v>
      </c>
      <c r="AA154" s="59" t="s">
        <v>150</v>
      </c>
      <c r="AB154" s="59" t="s">
        <v>150</v>
      </c>
      <c r="AF154" s="57" t="str">
        <f t="shared" si="149"/>
        <v>FICO 640-659</v>
      </c>
      <c r="AG154" s="59" t="s">
        <v>150</v>
      </c>
      <c r="AH154" s="59" t="s">
        <v>150</v>
      </c>
      <c r="AI154" s="59" t="s">
        <v>150</v>
      </c>
      <c r="AJ154" s="59" t="s">
        <v>150</v>
      </c>
      <c r="AK154" s="59" t="s">
        <v>150</v>
      </c>
      <c r="AL154" s="59" t="s">
        <v>150</v>
      </c>
      <c r="AM154" s="55"/>
      <c r="AN154" s="56"/>
      <c r="AP154" s="57" t="str">
        <f t="shared" si="150"/>
        <v>FICO 640-659</v>
      </c>
      <c r="AQ154" s="59" t="s">
        <v>150</v>
      </c>
      <c r="AR154" s="59" t="s">
        <v>150</v>
      </c>
      <c r="AS154" s="59" t="s">
        <v>150</v>
      </c>
      <c r="AT154" s="59" t="s">
        <v>150</v>
      </c>
      <c r="AU154" s="59" t="s">
        <v>150</v>
      </c>
      <c r="AV154" s="59" t="s">
        <v>150</v>
      </c>
      <c r="AZ154" s="57" t="str">
        <f t="shared" si="151"/>
        <v>FICO 640-659</v>
      </c>
      <c r="BA154" s="59" t="s">
        <v>150</v>
      </c>
      <c r="BB154" s="59" t="s">
        <v>150</v>
      </c>
      <c r="BC154" s="59" t="s">
        <v>150</v>
      </c>
      <c r="BD154" s="59" t="s">
        <v>150</v>
      </c>
      <c r="BE154" s="59" t="s">
        <v>150</v>
      </c>
      <c r="BF154" s="59" t="s">
        <v>150</v>
      </c>
    </row>
    <row r="155" spans="2:58" ht="15" customHeight="1" x14ac:dyDescent="0.45">
      <c r="B155" s="46" t="s">
        <v>149</v>
      </c>
      <c r="C155" s="47">
        <f>C163+0.5%</f>
        <v>0.10500000000000001</v>
      </c>
      <c r="D155" s="74" t="s">
        <v>150</v>
      </c>
      <c r="E155" s="74" t="s">
        <v>150</v>
      </c>
      <c r="F155" s="74" t="s">
        <v>150</v>
      </c>
      <c r="G155" s="74" t="s">
        <v>150</v>
      </c>
      <c r="H155" s="74" t="s">
        <v>150</v>
      </c>
      <c r="L155" s="46" t="s">
        <v>149</v>
      </c>
      <c r="M155" s="59" t="s">
        <v>150</v>
      </c>
      <c r="N155" s="74" t="s">
        <v>150</v>
      </c>
      <c r="O155" s="74" t="s">
        <v>150</v>
      </c>
      <c r="P155" s="74" t="s">
        <v>150</v>
      </c>
      <c r="Q155" s="74" t="s">
        <v>150</v>
      </c>
      <c r="R155" s="74" t="s">
        <v>150</v>
      </c>
      <c r="S155" s="55"/>
      <c r="T155" s="56"/>
      <c r="V155" s="46" t="str">
        <f t="shared" si="148"/>
        <v>70.01%-75.00%</v>
      </c>
      <c r="W155" s="47">
        <f>W163+0.5%</f>
        <v>0.10500000000000001</v>
      </c>
      <c r="X155" s="74" t="s">
        <v>150</v>
      </c>
      <c r="Y155" s="74" t="s">
        <v>150</v>
      </c>
      <c r="Z155" s="74" t="s">
        <v>150</v>
      </c>
      <c r="AA155" s="74" t="s">
        <v>150</v>
      </c>
      <c r="AB155" s="74" t="s">
        <v>150</v>
      </c>
      <c r="AF155" s="46" t="str">
        <f t="shared" si="149"/>
        <v>70.01%-75.00%</v>
      </c>
      <c r="AG155" s="59" t="s">
        <v>150</v>
      </c>
      <c r="AH155" s="74" t="s">
        <v>150</v>
      </c>
      <c r="AI155" s="74" t="s">
        <v>150</v>
      </c>
      <c r="AJ155" s="74" t="s">
        <v>150</v>
      </c>
      <c r="AK155" s="74" t="s">
        <v>150</v>
      </c>
      <c r="AL155" s="74" t="s">
        <v>150</v>
      </c>
      <c r="AM155" s="55"/>
      <c r="AN155" s="56"/>
      <c r="AP155" s="46" t="str">
        <f t="shared" si="150"/>
        <v>70.01%-75.00%</v>
      </c>
      <c r="AQ155" s="47">
        <f>AQ163+0.5%</f>
        <v>0.10500000000000001</v>
      </c>
      <c r="AR155" s="74" t="s">
        <v>150</v>
      </c>
      <c r="AS155" s="74" t="s">
        <v>150</v>
      </c>
      <c r="AT155" s="74" t="s">
        <v>150</v>
      </c>
      <c r="AU155" s="74" t="s">
        <v>150</v>
      </c>
      <c r="AV155" s="74" t="s">
        <v>150</v>
      </c>
      <c r="AZ155" s="46" t="str">
        <f t="shared" si="151"/>
        <v>70.01%-75.00%</v>
      </c>
      <c r="BA155" s="59" t="s">
        <v>150</v>
      </c>
      <c r="BB155" s="74" t="s">
        <v>150</v>
      </c>
      <c r="BC155" s="74" t="s">
        <v>150</v>
      </c>
      <c r="BD155" s="74" t="s">
        <v>150</v>
      </c>
      <c r="BE155" s="74" t="s">
        <v>150</v>
      </c>
      <c r="BF155" s="74" t="s">
        <v>150</v>
      </c>
    </row>
    <row r="156" spans="2:58" ht="15" customHeight="1" x14ac:dyDescent="0.45">
      <c r="B156" s="52" t="s">
        <v>151</v>
      </c>
      <c r="C156" s="53">
        <f>C155+0</f>
        <v>0.10500000000000001</v>
      </c>
      <c r="D156" s="54" t="s">
        <v>150</v>
      </c>
      <c r="E156" s="54" t="s">
        <v>150</v>
      </c>
      <c r="F156" s="54" t="s">
        <v>150</v>
      </c>
      <c r="G156" s="54" t="s">
        <v>150</v>
      </c>
      <c r="H156" s="54" t="s">
        <v>150</v>
      </c>
      <c r="L156" s="52" t="s">
        <v>151</v>
      </c>
      <c r="M156" s="54" t="s">
        <v>150</v>
      </c>
      <c r="N156" s="54" t="s">
        <v>150</v>
      </c>
      <c r="O156" s="54" t="s">
        <v>150</v>
      </c>
      <c r="P156" s="54" t="s">
        <v>150</v>
      </c>
      <c r="Q156" s="54" t="s">
        <v>150</v>
      </c>
      <c r="R156" s="54" t="s">
        <v>150</v>
      </c>
      <c r="S156" s="55"/>
      <c r="T156" s="56"/>
      <c r="V156" s="52" t="str">
        <f t="shared" si="148"/>
        <v>FICO 700+</v>
      </c>
      <c r="W156" s="53">
        <f>W155+0</f>
        <v>0.10500000000000001</v>
      </c>
      <c r="X156" s="54" t="s">
        <v>150</v>
      </c>
      <c r="Y156" s="54" t="s">
        <v>150</v>
      </c>
      <c r="Z156" s="54" t="s">
        <v>150</v>
      </c>
      <c r="AA156" s="54" t="s">
        <v>150</v>
      </c>
      <c r="AB156" s="54" t="s">
        <v>150</v>
      </c>
      <c r="AF156" s="52" t="str">
        <f t="shared" si="149"/>
        <v>FICO 700+</v>
      </c>
      <c r="AG156" s="54" t="s">
        <v>150</v>
      </c>
      <c r="AH156" s="54" t="s">
        <v>150</v>
      </c>
      <c r="AI156" s="54" t="s">
        <v>150</v>
      </c>
      <c r="AJ156" s="54" t="s">
        <v>150</v>
      </c>
      <c r="AK156" s="54" t="s">
        <v>150</v>
      </c>
      <c r="AL156" s="54" t="s">
        <v>150</v>
      </c>
      <c r="AM156" s="55"/>
      <c r="AN156" s="56"/>
      <c r="AP156" s="52" t="str">
        <f t="shared" si="150"/>
        <v>FICO 700+</v>
      </c>
      <c r="AQ156" s="53">
        <f>AQ155+0</f>
        <v>0.10500000000000001</v>
      </c>
      <c r="AR156" s="54" t="s">
        <v>150</v>
      </c>
      <c r="AS156" s="54" t="s">
        <v>150</v>
      </c>
      <c r="AT156" s="54" t="s">
        <v>150</v>
      </c>
      <c r="AU156" s="54" t="s">
        <v>150</v>
      </c>
      <c r="AV156" s="54" t="s">
        <v>150</v>
      </c>
      <c r="AZ156" s="52" t="str">
        <f t="shared" si="151"/>
        <v>FICO 700+</v>
      </c>
      <c r="BA156" s="54" t="s">
        <v>150</v>
      </c>
      <c r="BB156" s="54" t="s">
        <v>150</v>
      </c>
      <c r="BC156" s="54" t="s">
        <v>150</v>
      </c>
      <c r="BD156" s="54" t="s">
        <v>150</v>
      </c>
      <c r="BE156" s="54" t="s">
        <v>150</v>
      </c>
      <c r="BF156" s="54" t="s">
        <v>150</v>
      </c>
    </row>
    <row r="157" spans="2:58" ht="15" customHeight="1" x14ac:dyDescent="0.45">
      <c r="B157" s="52" t="s">
        <v>158</v>
      </c>
      <c r="C157" s="53">
        <f>C155+0.25%</f>
        <v>0.10750000000000001</v>
      </c>
      <c r="D157" s="54" t="s">
        <v>150</v>
      </c>
      <c r="E157" s="54" t="s">
        <v>150</v>
      </c>
      <c r="F157" s="54" t="s">
        <v>150</v>
      </c>
      <c r="G157" s="54" t="s">
        <v>150</v>
      </c>
      <c r="H157" s="54" t="s">
        <v>150</v>
      </c>
      <c r="L157" s="52" t="s">
        <v>158</v>
      </c>
      <c r="M157" s="54" t="s">
        <v>150</v>
      </c>
      <c r="N157" s="54" t="s">
        <v>150</v>
      </c>
      <c r="O157" s="54" t="s">
        <v>150</v>
      </c>
      <c r="P157" s="54" t="s">
        <v>150</v>
      </c>
      <c r="Q157" s="54" t="s">
        <v>150</v>
      </c>
      <c r="R157" s="54" t="s">
        <v>150</v>
      </c>
      <c r="S157" s="55"/>
      <c r="T157" s="56"/>
      <c r="V157" s="52" t="str">
        <f t="shared" si="148"/>
        <v>FICO 680-699</v>
      </c>
      <c r="W157" s="53">
        <f>W155+0.25%</f>
        <v>0.10750000000000001</v>
      </c>
      <c r="X157" s="54" t="s">
        <v>150</v>
      </c>
      <c r="Y157" s="54" t="s">
        <v>150</v>
      </c>
      <c r="Z157" s="54" t="s">
        <v>150</v>
      </c>
      <c r="AA157" s="54" t="s">
        <v>150</v>
      </c>
      <c r="AB157" s="54" t="s">
        <v>150</v>
      </c>
      <c r="AF157" s="52" t="str">
        <f t="shared" si="149"/>
        <v>FICO 680-699</v>
      </c>
      <c r="AG157" s="54" t="s">
        <v>150</v>
      </c>
      <c r="AH157" s="54" t="s">
        <v>150</v>
      </c>
      <c r="AI157" s="54" t="s">
        <v>150</v>
      </c>
      <c r="AJ157" s="54" t="s">
        <v>150</v>
      </c>
      <c r="AK157" s="54" t="s">
        <v>150</v>
      </c>
      <c r="AL157" s="54" t="s">
        <v>150</v>
      </c>
      <c r="AM157" s="55"/>
      <c r="AN157" s="56"/>
      <c r="AP157" s="52" t="str">
        <f t="shared" si="150"/>
        <v>FICO 680-699</v>
      </c>
      <c r="AQ157" s="53">
        <f>AQ155+0.25%</f>
        <v>0.10750000000000001</v>
      </c>
      <c r="AR157" s="54" t="s">
        <v>150</v>
      </c>
      <c r="AS157" s="54" t="s">
        <v>150</v>
      </c>
      <c r="AT157" s="54" t="s">
        <v>150</v>
      </c>
      <c r="AU157" s="54" t="s">
        <v>150</v>
      </c>
      <c r="AV157" s="54" t="s">
        <v>150</v>
      </c>
      <c r="AZ157" s="52" t="str">
        <f t="shared" si="151"/>
        <v>FICO 680-699</v>
      </c>
      <c r="BA157" s="54" t="s">
        <v>150</v>
      </c>
      <c r="BB157" s="54" t="s">
        <v>150</v>
      </c>
      <c r="BC157" s="54" t="s">
        <v>150</v>
      </c>
      <c r="BD157" s="54" t="s">
        <v>150</v>
      </c>
      <c r="BE157" s="54" t="s">
        <v>150</v>
      </c>
      <c r="BF157" s="54" t="s">
        <v>150</v>
      </c>
    </row>
    <row r="158" spans="2:58" ht="15" customHeight="1" x14ac:dyDescent="0.45">
      <c r="B158" s="57" t="s">
        <v>159</v>
      </c>
      <c r="C158" s="59" t="s">
        <v>150</v>
      </c>
      <c r="D158" s="59" t="s">
        <v>150</v>
      </c>
      <c r="E158" s="59" t="s">
        <v>150</v>
      </c>
      <c r="F158" s="59" t="s">
        <v>150</v>
      </c>
      <c r="G158" s="59" t="s">
        <v>150</v>
      </c>
      <c r="H158" s="59" t="s">
        <v>150</v>
      </c>
      <c r="L158" s="57" t="s">
        <v>159</v>
      </c>
      <c r="M158" s="59" t="s">
        <v>150</v>
      </c>
      <c r="N158" s="59" t="s">
        <v>150</v>
      </c>
      <c r="O158" s="59" t="s">
        <v>150</v>
      </c>
      <c r="P158" s="59" t="s">
        <v>150</v>
      </c>
      <c r="Q158" s="59" t="s">
        <v>150</v>
      </c>
      <c r="R158" s="59" t="s">
        <v>150</v>
      </c>
      <c r="S158" s="55"/>
      <c r="T158" s="56"/>
      <c r="V158" s="57" t="str">
        <f t="shared" si="148"/>
        <v>FICO 640-679</v>
      </c>
      <c r="W158" s="59" t="s">
        <v>150</v>
      </c>
      <c r="X158" s="59" t="s">
        <v>150</v>
      </c>
      <c r="Y158" s="59" t="s">
        <v>150</v>
      </c>
      <c r="Z158" s="59" t="s">
        <v>150</v>
      </c>
      <c r="AA158" s="59" t="s">
        <v>150</v>
      </c>
      <c r="AB158" s="59" t="s">
        <v>150</v>
      </c>
      <c r="AF158" s="57" t="str">
        <f t="shared" si="149"/>
        <v>FICO 640-679</v>
      </c>
      <c r="AG158" s="59" t="s">
        <v>150</v>
      </c>
      <c r="AH158" s="59" t="s">
        <v>150</v>
      </c>
      <c r="AI158" s="59" t="s">
        <v>150</v>
      </c>
      <c r="AJ158" s="59" t="s">
        <v>150</v>
      </c>
      <c r="AK158" s="59" t="s">
        <v>150</v>
      </c>
      <c r="AL158" s="59" t="s">
        <v>150</v>
      </c>
      <c r="AM158" s="55"/>
      <c r="AN158" s="56"/>
      <c r="AP158" s="57" t="str">
        <f t="shared" si="150"/>
        <v>FICO 640-679</v>
      </c>
      <c r="AQ158" s="59" t="s">
        <v>150</v>
      </c>
      <c r="AR158" s="59" t="s">
        <v>150</v>
      </c>
      <c r="AS158" s="59" t="s">
        <v>150</v>
      </c>
      <c r="AT158" s="59" t="s">
        <v>150</v>
      </c>
      <c r="AU158" s="59" t="s">
        <v>150</v>
      </c>
      <c r="AV158" s="59" t="s">
        <v>150</v>
      </c>
      <c r="AZ158" s="57" t="str">
        <f t="shared" si="151"/>
        <v>FICO 640-679</v>
      </c>
      <c r="BA158" s="59" t="s">
        <v>150</v>
      </c>
      <c r="BB158" s="59" t="s">
        <v>150</v>
      </c>
      <c r="BC158" s="59" t="s">
        <v>150</v>
      </c>
      <c r="BD158" s="59" t="s">
        <v>150</v>
      </c>
      <c r="BE158" s="59" t="s">
        <v>150</v>
      </c>
      <c r="BF158" s="59" t="s">
        <v>150</v>
      </c>
    </row>
    <row r="159" spans="2:58" ht="15" customHeight="1" x14ac:dyDescent="0.45">
      <c r="B159" s="46" t="s">
        <v>154</v>
      </c>
      <c r="C159" s="47">
        <f>C163+0.25%</f>
        <v>0.10250000000000001</v>
      </c>
      <c r="D159" s="74" t="s">
        <v>150</v>
      </c>
      <c r="E159" s="74" t="s">
        <v>150</v>
      </c>
      <c r="F159" s="74" t="s">
        <v>150</v>
      </c>
      <c r="G159" s="74" t="s">
        <v>150</v>
      </c>
      <c r="H159" s="74" t="s">
        <v>150</v>
      </c>
      <c r="L159" s="46" t="s">
        <v>154</v>
      </c>
      <c r="M159" s="59" t="s">
        <v>150</v>
      </c>
      <c r="N159" s="74" t="s">
        <v>150</v>
      </c>
      <c r="O159" s="74" t="s">
        <v>150</v>
      </c>
      <c r="P159" s="74" t="s">
        <v>150</v>
      </c>
      <c r="Q159" s="74" t="s">
        <v>150</v>
      </c>
      <c r="R159" s="74" t="s">
        <v>150</v>
      </c>
      <c r="S159" s="55"/>
      <c r="T159" s="56"/>
      <c r="V159" s="46" t="str">
        <f t="shared" si="148"/>
        <v>65.00%-70.00%</v>
      </c>
      <c r="W159" s="47">
        <f>W163+0.25%</f>
        <v>0.10250000000000001</v>
      </c>
      <c r="X159" s="74" t="s">
        <v>150</v>
      </c>
      <c r="Y159" s="74" t="s">
        <v>150</v>
      </c>
      <c r="Z159" s="74" t="s">
        <v>150</v>
      </c>
      <c r="AA159" s="74" t="s">
        <v>150</v>
      </c>
      <c r="AB159" s="74" t="s">
        <v>150</v>
      </c>
      <c r="AF159" s="46" t="str">
        <f t="shared" si="149"/>
        <v>65.00%-70.00%</v>
      </c>
      <c r="AG159" s="59" t="s">
        <v>150</v>
      </c>
      <c r="AH159" s="74" t="s">
        <v>150</v>
      </c>
      <c r="AI159" s="74" t="s">
        <v>150</v>
      </c>
      <c r="AJ159" s="74" t="s">
        <v>150</v>
      </c>
      <c r="AK159" s="74" t="s">
        <v>150</v>
      </c>
      <c r="AL159" s="74" t="s">
        <v>150</v>
      </c>
      <c r="AM159" s="55"/>
      <c r="AN159" s="56"/>
      <c r="AP159" s="46" t="str">
        <f t="shared" si="150"/>
        <v>65.00%-70.00%</v>
      </c>
      <c r="AQ159" s="47">
        <f>AQ163+0.25%</f>
        <v>0.10250000000000001</v>
      </c>
      <c r="AR159" s="74" t="s">
        <v>150</v>
      </c>
      <c r="AS159" s="74" t="s">
        <v>150</v>
      </c>
      <c r="AT159" s="74" t="s">
        <v>150</v>
      </c>
      <c r="AU159" s="74" t="s">
        <v>150</v>
      </c>
      <c r="AV159" s="74" t="s">
        <v>150</v>
      </c>
      <c r="AZ159" s="46" t="str">
        <f t="shared" si="151"/>
        <v>65.00%-70.00%</v>
      </c>
      <c r="BA159" s="59" t="s">
        <v>150</v>
      </c>
      <c r="BB159" s="74" t="s">
        <v>150</v>
      </c>
      <c r="BC159" s="74" t="s">
        <v>150</v>
      </c>
      <c r="BD159" s="74" t="s">
        <v>150</v>
      </c>
      <c r="BE159" s="74" t="s">
        <v>150</v>
      </c>
      <c r="BF159" s="74" t="s">
        <v>150</v>
      </c>
    </row>
    <row r="160" spans="2:58" ht="15" customHeight="1" x14ac:dyDescent="0.45">
      <c r="B160" s="52" t="s">
        <v>151</v>
      </c>
      <c r="C160" s="53">
        <f>C159+0</f>
        <v>0.10250000000000001</v>
      </c>
      <c r="D160" s="54" t="s">
        <v>150</v>
      </c>
      <c r="E160" s="54" t="s">
        <v>150</v>
      </c>
      <c r="F160" s="54" t="s">
        <v>150</v>
      </c>
      <c r="G160" s="54" t="s">
        <v>150</v>
      </c>
      <c r="H160" s="54" t="s">
        <v>150</v>
      </c>
      <c r="L160" s="52" t="s">
        <v>151</v>
      </c>
      <c r="M160" s="54" t="s">
        <v>150</v>
      </c>
      <c r="N160" s="54" t="s">
        <v>150</v>
      </c>
      <c r="O160" s="54" t="s">
        <v>150</v>
      </c>
      <c r="P160" s="54" t="s">
        <v>150</v>
      </c>
      <c r="Q160" s="54" t="s">
        <v>150</v>
      </c>
      <c r="R160" s="54" t="s">
        <v>150</v>
      </c>
      <c r="S160" s="55"/>
      <c r="T160" s="56"/>
      <c r="V160" s="52" t="str">
        <f t="shared" si="148"/>
        <v>FICO 700+</v>
      </c>
      <c r="W160" s="53">
        <f>W159+0</f>
        <v>0.10250000000000001</v>
      </c>
      <c r="X160" s="54" t="s">
        <v>150</v>
      </c>
      <c r="Y160" s="54" t="s">
        <v>150</v>
      </c>
      <c r="Z160" s="54" t="s">
        <v>150</v>
      </c>
      <c r="AA160" s="54" t="s">
        <v>150</v>
      </c>
      <c r="AB160" s="54" t="s">
        <v>150</v>
      </c>
      <c r="AF160" s="52" t="str">
        <f t="shared" si="149"/>
        <v>FICO 700+</v>
      </c>
      <c r="AG160" s="54" t="s">
        <v>150</v>
      </c>
      <c r="AH160" s="54" t="s">
        <v>150</v>
      </c>
      <c r="AI160" s="54" t="s">
        <v>150</v>
      </c>
      <c r="AJ160" s="54" t="s">
        <v>150</v>
      </c>
      <c r="AK160" s="54" t="s">
        <v>150</v>
      </c>
      <c r="AL160" s="54" t="s">
        <v>150</v>
      </c>
      <c r="AM160" s="55"/>
      <c r="AN160" s="56"/>
      <c r="AP160" s="52" t="str">
        <f t="shared" si="150"/>
        <v>FICO 700+</v>
      </c>
      <c r="AQ160" s="53">
        <f>AQ159+0</f>
        <v>0.10250000000000001</v>
      </c>
      <c r="AR160" s="54" t="s">
        <v>150</v>
      </c>
      <c r="AS160" s="54" t="s">
        <v>150</v>
      </c>
      <c r="AT160" s="54" t="s">
        <v>150</v>
      </c>
      <c r="AU160" s="54" t="s">
        <v>150</v>
      </c>
      <c r="AV160" s="54" t="s">
        <v>150</v>
      </c>
      <c r="AZ160" s="52" t="str">
        <f t="shared" si="151"/>
        <v>FICO 700+</v>
      </c>
      <c r="BA160" s="54" t="s">
        <v>150</v>
      </c>
      <c r="BB160" s="54" t="s">
        <v>150</v>
      </c>
      <c r="BC160" s="54" t="s">
        <v>150</v>
      </c>
      <c r="BD160" s="54" t="s">
        <v>150</v>
      </c>
      <c r="BE160" s="54" t="s">
        <v>150</v>
      </c>
      <c r="BF160" s="54" t="s">
        <v>150</v>
      </c>
    </row>
    <row r="161" spans="2:58" ht="15" customHeight="1" x14ac:dyDescent="0.45">
      <c r="B161" s="52" t="s">
        <v>158</v>
      </c>
      <c r="C161" s="53">
        <f>C159+0.25%</f>
        <v>0.10500000000000001</v>
      </c>
      <c r="D161" s="54" t="s">
        <v>150</v>
      </c>
      <c r="E161" s="54" t="s">
        <v>150</v>
      </c>
      <c r="F161" s="54" t="s">
        <v>150</v>
      </c>
      <c r="G161" s="54" t="s">
        <v>150</v>
      </c>
      <c r="H161" s="54" t="s">
        <v>150</v>
      </c>
      <c r="L161" s="52" t="s">
        <v>158</v>
      </c>
      <c r="M161" s="54" t="s">
        <v>150</v>
      </c>
      <c r="N161" s="54" t="s">
        <v>150</v>
      </c>
      <c r="O161" s="54" t="s">
        <v>150</v>
      </c>
      <c r="P161" s="54" t="s">
        <v>150</v>
      </c>
      <c r="Q161" s="54" t="s">
        <v>150</v>
      </c>
      <c r="R161" s="54" t="s">
        <v>150</v>
      </c>
      <c r="S161" s="55"/>
      <c r="T161" s="56"/>
      <c r="V161" s="52" t="str">
        <f t="shared" si="148"/>
        <v>FICO 680-699</v>
      </c>
      <c r="W161" s="53">
        <f>W159+0.25%</f>
        <v>0.10500000000000001</v>
      </c>
      <c r="X161" s="54" t="s">
        <v>150</v>
      </c>
      <c r="Y161" s="54" t="s">
        <v>150</v>
      </c>
      <c r="Z161" s="54" t="s">
        <v>150</v>
      </c>
      <c r="AA161" s="54" t="s">
        <v>150</v>
      </c>
      <c r="AB161" s="54" t="s">
        <v>150</v>
      </c>
      <c r="AF161" s="52" t="str">
        <f t="shared" si="149"/>
        <v>FICO 680-699</v>
      </c>
      <c r="AG161" s="54" t="s">
        <v>150</v>
      </c>
      <c r="AH161" s="54" t="s">
        <v>150</v>
      </c>
      <c r="AI161" s="54" t="s">
        <v>150</v>
      </c>
      <c r="AJ161" s="54" t="s">
        <v>150</v>
      </c>
      <c r="AK161" s="54" t="s">
        <v>150</v>
      </c>
      <c r="AL161" s="54" t="s">
        <v>150</v>
      </c>
      <c r="AM161" s="55"/>
      <c r="AN161" s="56"/>
      <c r="AP161" s="52" t="str">
        <f t="shared" si="150"/>
        <v>FICO 680-699</v>
      </c>
      <c r="AQ161" s="53">
        <f>AQ159+0.25%</f>
        <v>0.10500000000000001</v>
      </c>
      <c r="AR161" s="54" t="s">
        <v>150</v>
      </c>
      <c r="AS161" s="54" t="s">
        <v>150</v>
      </c>
      <c r="AT161" s="54" t="s">
        <v>150</v>
      </c>
      <c r="AU161" s="54" t="s">
        <v>150</v>
      </c>
      <c r="AV161" s="54" t="s">
        <v>150</v>
      </c>
      <c r="AZ161" s="52" t="str">
        <f t="shared" si="151"/>
        <v>FICO 680-699</v>
      </c>
      <c r="BA161" s="54" t="s">
        <v>150</v>
      </c>
      <c r="BB161" s="54" t="s">
        <v>150</v>
      </c>
      <c r="BC161" s="54" t="s">
        <v>150</v>
      </c>
      <c r="BD161" s="54" t="s">
        <v>150</v>
      </c>
      <c r="BE161" s="54" t="s">
        <v>150</v>
      </c>
      <c r="BF161" s="54" t="s">
        <v>150</v>
      </c>
    </row>
    <row r="162" spans="2:58" ht="15" customHeight="1" x14ac:dyDescent="0.45">
      <c r="B162" s="57" t="s">
        <v>159</v>
      </c>
      <c r="C162" s="59" t="s">
        <v>150</v>
      </c>
      <c r="D162" s="59" t="s">
        <v>150</v>
      </c>
      <c r="E162" s="59" t="s">
        <v>150</v>
      </c>
      <c r="F162" s="59" t="s">
        <v>150</v>
      </c>
      <c r="G162" s="59" t="s">
        <v>150</v>
      </c>
      <c r="H162" s="59" t="s">
        <v>150</v>
      </c>
      <c r="L162" s="57" t="s">
        <v>159</v>
      </c>
      <c r="M162" s="59" t="s">
        <v>150</v>
      </c>
      <c r="N162" s="59" t="s">
        <v>150</v>
      </c>
      <c r="O162" s="59" t="s">
        <v>150</v>
      </c>
      <c r="P162" s="59" t="s">
        <v>150</v>
      </c>
      <c r="Q162" s="59" t="s">
        <v>150</v>
      </c>
      <c r="R162" s="59" t="s">
        <v>150</v>
      </c>
      <c r="S162" s="55"/>
      <c r="T162" s="56"/>
      <c r="V162" s="57" t="str">
        <f t="shared" si="148"/>
        <v>FICO 640-679</v>
      </c>
      <c r="W162" s="59" t="s">
        <v>150</v>
      </c>
      <c r="X162" s="59" t="s">
        <v>150</v>
      </c>
      <c r="Y162" s="59" t="s">
        <v>150</v>
      </c>
      <c r="Z162" s="59" t="s">
        <v>150</v>
      </c>
      <c r="AA162" s="59" t="s">
        <v>150</v>
      </c>
      <c r="AB162" s="59" t="s">
        <v>150</v>
      </c>
      <c r="AF162" s="57" t="str">
        <f t="shared" si="149"/>
        <v>FICO 640-679</v>
      </c>
      <c r="AG162" s="59" t="s">
        <v>150</v>
      </c>
      <c r="AH162" s="59" t="s">
        <v>150</v>
      </c>
      <c r="AI162" s="59" t="s">
        <v>150</v>
      </c>
      <c r="AJ162" s="59" t="s">
        <v>150</v>
      </c>
      <c r="AK162" s="59" t="s">
        <v>150</v>
      </c>
      <c r="AL162" s="59" t="s">
        <v>150</v>
      </c>
      <c r="AM162" s="55"/>
      <c r="AN162" s="56"/>
      <c r="AP162" s="57" t="str">
        <f t="shared" si="150"/>
        <v>FICO 640-679</v>
      </c>
      <c r="AQ162" s="59" t="s">
        <v>150</v>
      </c>
      <c r="AR162" s="59" t="s">
        <v>150</v>
      </c>
      <c r="AS162" s="59" t="s">
        <v>150</v>
      </c>
      <c r="AT162" s="59" t="s">
        <v>150</v>
      </c>
      <c r="AU162" s="59" t="s">
        <v>150</v>
      </c>
      <c r="AV162" s="59" t="s">
        <v>150</v>
      </c>
      <c r="AZ162" s="57" t="str">
        <f t="shared" si="151"/>
        <v>FICO 640-679</v>
      </c>
      <c r="BA162" s="59" t="s">
        <v>150</v>
      </c>
      <c r="BB162" s="59" t="s">
        <v>150</v>
      </c>
      <c r="BC162" s="59" t="s">
        <v>150</v>
      </c>
      <c r="BD162" s="59" t="s">
        <v>150</v>
      </c>
      <c r="BE162" s="59" t="s">
        <v>150</v>
      </c>
      <c r="BF162" s="59" t="s">
        <v>150</v>
      </c>
    </row>
    <row r="163" spans="2:58" ht="15" customHeight="1" x14ac:dyDescent="0.45">
      <c r="B163" s="60" t="s">
        <v>155</v>
      </c>
      <c r="C163" s="72">
        <v>0.1</v>
      </c>
      <c r="D163" s="74" t="s">
        <v>150</v>
      </c>
      <c r="E163" s="74" t="s">
        <v>150</v>
      </c>
      <c r="F163" s="74" t="s">
        <v>150</v>
      </c>
      <c r="G163" s="74" t="s">
        <v>150</v>
      </c>
      <c r="H163" s="74" t="s">
        <v>150</v>
      </c>
      <c r="L163" s="60" t="s">
        <v>155</v>
      </c>
      <c r="M163" s="72">
        <v>0.1125</v>
      </c>
      <c r="N163" s="74" t="s">
        <v>150</v>
      </c>
      <c r="O163" s="74" t="s">
        <v>150</v>
      </c>
      <c r="P163" s="74" t="s">
        <v>150</v>
      </c>
      <c r="Q163" s="74" t="s">
        <v>150</v>
      </c>
      <c r="R163" s="74" t="s">
        <v>150</v>
      </c>
      <c r="S163" s="55"/>
      <c r="T163" s="56"/>
      <c r="V163" s="60" t="s">
        <v>155</v>
      </c>
      <c r="W163" s="73">
        <v>0.1</v>
      </c>
      <c r="X163" s="74" t="s">
        <v>150</v>
      </c>
      <c r="Y163" s="74" t="s">
        <v>150</v>
      </c>
      <c r="Z163" s="74" t="s">
        <v>150</v>
      </c>
      <c r="AA163" s="74" t="s">
        <v>150</v>
      </c>
      <c r="AB163" s="74" t="s">
        <v>150</v>
      </c>
      <c r="AF163" s="60" t="str">
        <f t="shared" si="149"/>
        <v>&lt;64.99%</v>
      </c>
      <c r="AG163" s="73">
        <v>0.1125</v>
      </c>
      <c r="AH163" s="74" t="s">
        <v>150</v>
      </c>
      <c r="AI163" s="74" t="s">
        <v>150</v>
      </c>
      <c r="AJ163" s="74" t="s">
        <v>150</v>
      </c>
      <c r="AK163" s="74" t="s">
        <v>150</v>
      </c>
      <c r="AL163" s="74" t="s">
        <v>150</v>
      </c>
      <c r="AM163" s="55"/>
      <c r="AN163" s="56"/>
      <c r="AP163" s="60" t="str">
        <f t="shared" si="150"/>
        <v>&lt;64.99%</v>
      </c>
      <c r="AQ163" s="73">
        <v>0.1</v>
      </c>
      <c r="AR163" s="74" t="s">
        <v>150</v>
      </c>
      <c r="AS163" s="74" t="s">
        <v>150</v>
      </c>
      <c r="AT163" s="74" t="s">
        <v>150</v>
      </c>
      <c r="AU163" s="74" t="s">
        <v>150</v>
      </c>
      <c r="AV163" s="74" t="s">
        <v>150</v>
      </c>
      <c r="AZ163" s="60" t="str">
        <f t="shared" si="151"/>
        <v>&lt;64.99%</v>
      </c>
      <c r="BA163" s="73">
        <v>0.1125</v>
      </c>
      <c r="BB163" s="74" t="s">
        <v>150</v>
      </c>
      <c r="BC163" s="74" t="s">
        <v>150</v>
      </c>
      <c r="BD163" s="74" t="s">
        <v>150</v>
      </c>
      <c r="BE163" s="74" t="s">
        <v>150</v>
      </c>
      <c r="BF163" s="74" t="s">
        <v>150</v>
      </c>
    </row>
    <row r="164" spans="2:58" ht="15" customHeight="1" x14ac:dyDescent="0.45">
      <c r="B164" s="52" t="s">
        <v>151</v>
      </c>
      <c r="C164" s="53">
        <f>C163+0</f>
        <v>0.1</v>
      </c>
      <c r="D164" s="54" t="s">
        <v>150</v>
      </c>
      <c r="E164" s="54" t="s">
        <v>150</v>
      </c>
      <c r="F164" s="54" t="s">
        <v>150</v>
      </c>
      <c r="G164" s="54" t="s">
        <v>150</v>
      </c>
      <c r="H164" s="54" t="s">
        <v>150</v>
      </c>
      <c r="L164" s="52" t="s">
        <v>151</v>
      </c>
      <c r="M164" s="53">
        <f>M163+0</f>
        <v>0.1125</v>
      </c>
      <c r="N164" s="54" t="s">
        <v>150</v>
      </c>
      <c r="O164" s="54" t="s">
        <v>150</v>
      </c>
      <c r="P164" s="54" t="s">
        <v>150</v>
      </c>
      <c r="Q164" s="54" t="s">
        <v>150</v>
      </c>
      <c r="R164" s="54" t="s">
        <v>150</v>
      </c>
      <c r="S164" s="55"/>
      <c r="T164" s="56"/>
      <c r="V164" s="52" t="s">
        <v>151</v>
      </c>
      <c r="W164" s="53">
        <f>W163+0</f>
        <v>0.1</v>
      </c>
      <c r="X164" s="54" t="s">
        <v>150</v>
      </c>
      <c r="Y164" s="54" t="s">
        <v>150</v>
      </c>
      <c r="Z164" s="54" t="s">
        <v>150</v>
      </c>
      <c r="AA164" s="54" t="s">
        <v>150</v>
      </c>
      <c r="AB164" s="54" t="s">
        <v>150</v>
      </c>
      <c r="AF164" s="52" t="str">
        <f t="shared" si="149"/>
        <v>FICO 700+</v>
      </c>
      <c r="AG164" s="53">
        <f>AG163+0</f>
        <v>0.1125</v>
      </c>
      <c r="AH164" s="54" t="s">
        <v>150</v>
      </c>
      <c r="AI164" s="54" t="s">
        <v>150</v>
      </c>
      <c r="AJ164" s="54" t="s">
        <v>150</v>
      </c>
      <c r="AK164" s="54" t="s">
        <v>150</v>
      </c>
      <c r="AL164" s="54" t="s">
        <v>150</v>
      </c>
      <c r="AM164" s="55"/>
      <c r="AN164" s="56"/>
      <c r="AP164" s="52" t="str">
        <f t="shared" si="150"/>
        <v>FICO 700+</v>
      </c>
      <c r="AQ164" s="53">
        <f>AQ163+0</f>
        <v>0.1</v>
      </c>
      <c r="AR164" s="54" t="s">
        <v>150</v>
      </c>
      <c r="AS164" s="54" t="s">
        <v>150</v>
      </c>
      <c r="AT164" s="54" t="s">
        <v>150</v>
      </c>
      <c r="AU164" s="54" t="s">
        <v>150</v>
      </c>
      <c r="AV164" s="54" t="s">
        <v>150</v>
      </c>
      <c r="AZ164" s="52" t="str">
        <f t="shared" si="151"/>
        <v>FICO 700+</v>
      </c>
      <c r="BA164" s="53">
        <f>BA163+0</f>
        <v>0.1125</v>
      </c>
      <c r="BB164" s="54" t="s">
        <v>150</v>
      </c>
      <c r="BC164" s="54" t="s">
        <v>150</v>
      </c>
      <c r="BD164" s="54" t="s">
        <v>150</v>
      </c>
      <c r="BE164" s="54" t="s">
        <v>150</v>
      </c>
      <c r="BF164" s="54" t="s">
        <v>150</v>
      </c>
    </row>
    <row r="165" spans="2:58" ht="15" customHeight="1" x14ac:dyDescent="0.45">
      <c r="B165" s="52" t="s">
        <v>158</v>
      </c>
      <c r="C165" s="53">
        <f>C163+0.25%</f>
        <v>0.10250000000000001</v>
      </c>
      <c r="D165" s="54" t="s">
        <v>150</v>
      </c>
      <c r="E165" s="54" t="s">
        <v>150</v>
      </c>
      <c r="F165" s="54" t="s">
        <v>150</v>
      </c>
      <c r="G165" s="54" t="s">
        <v>150</v>
      </c>
      <c r="H165" s="54" t="s">
        <v>150</v>
      </c>
      <c r="L165" s="52" t="s">
        <v>158</v>
      </c>
      <c r="M165" s="53">
        <f>M163+0.25%</f>
        <v>0.115</v>
      </c>
      <c r="N165" s="54" t="s">
        <v>150</v>
      </c>
      <c r="O165" s="54" t="s">
        <v>150</v>
      </c>
      <c r="P165" s="54" t="s">
        <v>150</v>
      </c>
      <c r="Q165" s="54" t="s">
        <v>150</v>
      </c>
      <c r="R165" s="54" t="s">
        <v>150</v>
      </c>
      <c r="S165" s="55"/>
      <c r="T165" s="56"/>
      <c r="V165" s="52" t="s">
        <v>158</v>
      </c>
      <c r="W165" s="53">
        <f>W163+0.25%</f>
        <v>0.10250000000000001</v>
      </c>
      <c r="X165" s="54" t="s">
        <v>150</v>
      </c>
      <c r="Y165" s="54" t="s">
        <v>150</v>
      </c>
      <c r="Z165" s="54" t="s">
        <v>150</v>
      </c>
      <c r="AA165" s="54" t="s">
        <v>150</v>
      </c>
      <c r="AB165" s="54" t="s">
        <v>150</v>
      </c>
      <c r="AF165" s="52" t="str">
        <f t="shared" si="149"/>
        <v>FICO 680-699</v>
      </c>
      <c r="AG165" s="53">
        <f>AG163+0.25%</f>
        <v>0.115</v>
      </c>
      <c r="AH165" s="54" t="s">
        <v>150</v>
      </c>
      <c r="AI165" s="54" t="s">
        <v>150</v>
      </c>
      <c r="AJ165" s="54" t="s">
        <v>150</v>
      </c>
      <c r="AK165" s="54" t="s">
        <v>150</v>
      </c>
      <c r="AL165" s="54" t="s">
        <v>150</v>
      </c>
      <c r="AM165" s="55"/>
      <c r="AN165" s="56"/>
      <c r="AP165" s="52" t="str">
        <f t="shared" si="150"/>
        <v>FICO 680-699</v>
      </c>
      <c r="AQ165" s="53">
        <f>AQ163+0.25%</f>
        <v>0.10250000000000001</v>
      </c>
      <c r="AR165" s="54" t="s">
        <v>150</v>
      </c>
      <c r="AS165" s="54" t="s">
        <v>150</v>
      </c>
      <c r="AT165" s="54" t="s">
        <v>150</v>
      </c>
      <c r="AU165" s="54" t="s">
        <v>150</v>
      </c>
      <c r="AV165" s="54" t="s">
        <v>150</v>
      </c>
      <c r="AZ165" s="52" t="str">
        <f t="shared" si="151"/>
        <v>FICO 680-699</v>
      </c>
      <c r="BA165" s="53">
        <f>BA163+0.25%</f>
        <v>0.115</v>
      </c>
      <c r="BB165" s="54" t="s">
        <v>150</v>
      </c>
      <c r="BC165" s="54" t="s">
        <v>150</v>
      </c>
      <c r="BD165" s="54" t="s">
        <v>150</v>
      </c>
      <c r="BE165" s="54" t="s">
        <v>150</v>
      </c>
      <c r="BF165" s="54" t="s">
        <v>150</v>
      </c>
    </row>
    <row r="166" spans="2:58" ht="15" customHeight="1" x14ac:dyDescent="0.45">
      <c r="B166" s="52" t="s">
        <v>159</v>
      </c>
      <c r="C166" s="54" t="s">
        <v>150</v>
      </c>
      <c r="D166" s="54" t="s">
        <v>150</v>
      </c>
      <c r="E166" s="54" t="s">
        <v>150</v>
      </c>
      <c r="F166" s="54" t="s">
        <v>150</v>
      </c>
      <c r="G166" s="54" t="s">
        <v>150</v>
      </c>
      <c r="H166" s="54" t="s">
        <v>150</v>
      </c>
      <c r="L166" s="52" t="s">
        <v>159</v>
      </c>
      <c r="M166" s="54" t="s">
        <v>150</v>
      </c>
      <c r="N166" s="54" t="s">
        <v>150</v>
      </c>
      <c r="O166" s="54" t="s">
        <v>150</v>
      </c>
      <c r="P166" s="54" t="s">
        <v>150</v>
      </c>
      <c r="Q166" s="54" t="s">
        <v>150</v>
      </c>
      <c r="R166" s="54" t="s">
        <v>150</v>
      </c>
      <c r="S166" s="55"/>
      <c r="T166" s="56"/>
      <c r="V166" s="52" t="s">
        <v>159</v>
      </c>
      <c r="W166" s="54" t="s">
        <v>150</v>
      </c>
      <c r="X166" s="54" t="s">
        <v>150</v>
      </c>
      <c r="Y166" s="54" t="s">
        <v>150</v>
      </c>
      <c r="Z166" s="54" t="s">
        <v>150</v>
      </c>
      <c r="AA166" s="54" t="s">
        <v>150</v>
      </c>
      <c r="AB166" s="54" t="s">
        <v>150</v>
      </c>
      <c r="AF166" s="52" t="str">
        <f t="shared" si="149"/>
        <v>FICO 640-679</v>
      </c>
      <c r="AG166" s="54" t="s">
        <v>150</v>
      </c>
      <c r="AH166" s="54" t="s">
        <v>150</v>
      </c>
      <c r="AI166" s="54" t="s">
        <v>150</v>
      </c>
      <c r="AJ166" s="54" t="s">
        <v>150</v>
      </c>
      <c r="AK166" s="54" t="s">
        <v>150</v>
      </c>
      <c r="AL166" s="54" t="s">
        <v>150</v>
      </c>
      <c r="AM166" s="55"/>
      <c r="AN166" s="56"/>
      <c r="AP166" s="52" t="str">
        <f t="shared" si="150"/>
        <v>FICO 640-679</v>
      </c>
      <c r="AQ166" s="54" t="s">
        <v>150</v>
      </c>
      <c r="AR166" s="54" t="s">
        <v>150</v>
      </c>
      <c r="AS166" s="54" t="s">
        <v>150</v>
      </c>
      <c r="AT166" s="54" t="s">
        <v>150</v>
      </c>
      <c r="AU166" s="54" t="s">
        <v>150</v>
      </c>
      <c r="AV166" s="54" t="s">
        <v>150</v>
      </c>
      <c r="AZ166" s="52" t="str">
        <f t="shared" si="151"/>
        <v>FICO 640-679</v>
      </c>
      <c r="BA166" s="54" t="s">
        <v>150</v>
      </c>
      <c r="BB166" s="54" t="s">
        <v>150</v>
      </c>
      <c r="BC166" s="54" t="s">
        <v>150</v>
      </c>
      <c r="BD166" s="54" t="s">
        <v>150</v>
      </c>
      <c r="BE166" s="54" t="s">
        <v>150</v>
      </c>
      <c r="BF166" s="54" t="s">
        <v>150</v>
      </c>
    </row>
    <row r="168" spans="2:58" ht="33" customHeight="1" x14ac:dyDescent="0.45">
      <c r="B168" s="99" t="s">
        <v>133</v>
      </c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31"/>
      <c r="T168" s="32"/>
      <c r="V168" s="99" t="s">
        <v>134</v>
      </c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  <c r="AI168" s="99"/>
      <c r="AJ168" s="99"/>
      <c r="AK168" s="99"/>
      <c r="AL168" s="99"/>
      <c r="AM168" s="31"/>
      <c r="AN168" s="32"/>
      <c r="AP168" s="99" t="s">
        <v>135</v>
      </c>
      <c r="AQ168" s="99"/>
      <c r="AR168" s="99"/>
      <c r="AS168" s="99"/>
      <c r="AT168" s="99"/>
      <c r="AU168" s="99"/>
      <c r="AV168" s="99"/>
      <c r="AW168" s="99"/>
      <c r="AX168" s="99"/>
      <c r="AY168" s="99"/>
      <c r="AZ168" s="99"/>
      <c r="BA168" s="99"/>
      <c r="BB168" s="99"/>
      <c r="BC168" s="99"/>
      <c r="BD168" s="99"/>
      <c r="BE168" s="99"/>
      <c r="BF168" s="99"/>
    </row>
    <row r="169" spans="2:58" ht="18" customHeight="1" x14ac:dyDescent="0.45">
      <c r="B169" s="97" t="s">
        <v>165</v>
      </c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33"/>
      <c r="T169" s="34"/>
      <c r="V169" s="97" t="s">
        <v>165</v>
      </c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33"/>
      <c r="AN169" s="34"/>
      <c r="AP169" s="97" t="s">
        <v>165</v>
      </c>
      <c r="AQ169" s="97"/>
      <c r="AR169" s="97"/>
      <c r="AS169" s="97"/>
      <c r="AT169" s="97"/>
      <c r="AU169" s="97"/>
      <c r="AV169" s="97"/>
      <c r="AW169" s="97"/>
      <c r="AX169" s="97"/>
      <c r="AY169" s="97"/>
      <c r="AZ169" s="97"/>
      <c r="BA169" s="97"/>
      <c r="BB169" s="97"/>
      <c r="BC169" s="97"/>
      <c r="BD169" s="97"/>
      <c r="BE169" s="97"/>
      <c r="BF169" s="97"/>
    </row>
    <row r="170" spans="2:58" ht="18" customHeight="1" x14ac:dyDescent="0.45">
      <c r="B170" s="98" t="s">
        <v>137</v>
      </c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33"/>
      <c r="T170" s="34"/>
      <c r="V170" s="98" t="s">
        <v>138</v>
      </c>
      <c r="W170" s="98"/>
      <c r="X170" s="98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8"/>
      <c r="AK170" s="98"/>
      <c r="AL170" s="98"/>
      <c r="AM170" s="33"/>
      <c r="AN170" s="34"/>
      <c r="AP170" s="98" t="s">
        <v>139</v>
      </c>
      <c r="AQ170" s="98"/>
      <c r="AR170" s="98"/>
      <c r="AS170" s="98"/>
      <c r="AT170" s="98"/>
      <c r="AU170" s="98"/>
      <c r="AV170" s="98"/>
      <c r="AW170" s="98"/>
      <c r="AX170" s="98"/>
      <c r="AY170" s="98"/>
      <c r="AZ170" s="98"/>
      <c r="BA170" s="98"/>
      <c r="BB170" s="98"/>
      <c r="BC170" s="98"/>
      <c r="BD170" s="98"/>
      <c r="BE170" s="98"/>
      <c r="BF170" s="98"/>
    </row>
    <row r="172" spans="2:58" ht="15" customHeight="1" x14ac:dyDescent="0.45">
      <c r="B172" s="96" t="s">
        <v>140</v>
      </c>
      <c r="C172" s="96"/>
      <c r="D172" s="96"/>
      <c r="E172" s="96"/>
      <c r="F172" s="96"/>
      <c r="G172" s="96"/>
      <c r="H172" s="96"/>
      <c r="L172" s="96" t="s">
        <v>141</v>
      </c>
      <c r="M172" s="96"/>
      <c r="N172" s="96"/>
      <c r="O172" s="96"/>
      <c r="P172" s="96"/>
      <c r="Q172" s="96"/>
      <c r="R172" s="96"/>
      <c r="S172" s="35"/>
      <c r="T172" s="36"/>
      <c r="V172" s="96" t="s">
        <v>140</v>
      </c>
      <c r="W172" s="96"/>
      <c r="X172" s="96"/>
      <c r="Y172" s="96"/>
      <c r="Z172" s="96"/>
      <c r="AA172" s="96"/>
      <c r="AB172" s="96"/>
      <c r="AF172" s="96" t="s">
        <v>141</v>
      </c>
      <c r="AG172" s="96"/>
      <c r="AH172" s="96"/>
      <c r="AI172" s="96"/>
      <c r="AJ172" s="96"/>
      <c r="AK172" s="96"/>
      <c r="AL172" s="96"/>
      <c r="AM172" s="35"/>
      <c r="AN172" s="36"/>
      <c r="AP172" s="96" t="s">
        <v>140</v>
      </c>
      <c r="AQ172" s="96"/>
      <c r="AR172" s="96"/>
      <c r="AS172" s="96"/>
      <c r="AT172" s="96"/>
      <c r="AU172" s="96"/>
      <c r="AV172" s="96"/>
      <c r="AZ172" s="96" t="s">
        <v>141</v>
      </c>
      <c r="BA172" s="96"/>
      <c r="BB172" s="96"/>
      <c r="BC172" s="96"/>
      <c r="BD172" s="96"/>
      <c r="BE172" s="96"/>
      <c r="BF172" s="96"/>
    </row>
    <row r="173" spans="2:58" s="37" customFormat="1" ht="15.75" customHeight="1" x14ac:dyDescent="0.45">
      <c r="B173" s="94" t="s">
        <v>166</v>
      </c>
      <c r="C173" s="94"/>
      <c r="D173" s="94"/>
      <c r="E173" s="94"/>
      <c r="F173" s="94"/>
      <c r="G173" s="94"/>
      <c r="H173" s="94"/>
      <c r="J173" s="38"/>
      <c r="L173" s="94" t="s">
        <v>166</v>
      </c>
      <c r="M173" s="94"/>
      <c r="N173" s="94"/>
      <c r="O173" s="94"/>
      <c r="P173" s="94"/>
      <c r="Q173" s="94"/>
      <c r="R173" s="94"/>
      <c r="S173" s="39"/>
      <c r="T173" s="40"/>
      <c r="U173" s="41"/>
      <c r="V173" s="94" t="s">
        <v>166</v>
      </c>
      <c r="W173" s="94"/>
      <c r="X173" s="94"/>
      <c r="Y173" s="94"/>
      <c r="Z173" s="94"/>
      <c r="AA173" s="94"/>
      <c r="AB173" s="94"/>
      <c r="AD173" s="38"/>
      <c r="AF173" s="94" t="s">
        <v>166</v>
      </c>
      <c r="AG173" s="94"/>
      <c r="AH173" s="94"/>
      <c r="AI173" s="94"/>
      <c r="AJ173" s="94"/>
      <c r="AK173" s="94"/>
      <c r="AL173" s="94"/>
      <c r="AM173" s="39"/>
      <c r="AN173" s="40"/>
      <c r="AO173" s="41"/>
      <c r="AP173" s="94" t="s">
        <v>166</v>
      </c>
      <c r="AQ173" s="94"/>
      <c r="AR173" s="94"/>
      <c r="AS173" s="94"/>
      <c r="AT173" s="94"/>
      <c r="AU173" s="94"/>
      <c r="AV173" s="94"/>
      <c r="AX173" s="38"/>
      <c r="AZ173" s="94" t="s">
        <v>166</v>
      </c>
      <c r="BA173" s="94"/>
      <c r="BB173" s="94"/>
      <c r="BC173" s="94"/>
      <c r="BD173" s="94"/>
      <c r="BE173" s="94"/>
      <c r="BF173" s="94"/>
    </row>
    <row r="174" spans="2:58" s="37" customFormat="1" ht="12.75" customHeight="1" x14ac:dyDescent="0.45">
      <c r="B174" s="42"/>
      <c r="C174" s="95" t="s">
        <v>50</v>
      </c>
      <c r="D174" s="95"/>
      <c r="E174" s="95"/>
      <c r="F174" s="95"/>
      <c r="G174" s="95"/>
      <c r="H174" s="95"/>
      <c r="J174" s="38"/>
      <c r="L174" s="42"/>
      <c r="M174" s="95" t="s">
        <v>50</v>
      </c>
      <c r="N174" s="95"/>
      <c r="O174" s="95"/>
      <c r="P174" s="95"/>
      <c r="Q174" s="95"/>
      <c r="R174" s="95"/>
      <c r="S174" s="41"/>
      <c r="T174" s="43"/>
      <c r="U174" s="41"/>
      <c r="V174" s="42"/>
      <c r="W174" s="95" t="str">
        <f>C174</f>
        <v>LTC</v>
      </c>
      <c r="X174" s="95"/>
      <c r="Y174" s="95"/>
      <c r="Z174" s="95"/>
      <c r="AA174" s="95"/>
      <c r="AB174" s="95"/>
      <c r="AD174" s="38"/>
      <c r="AF174" s="42"/>
      <c r="AG174" s="95" t="str">
        <f>W174</f>
        <v>LTC</v>
      </c>
      <c r="AH174" s="95"/>
      <c r="AI174" s="95"/>
      <c r="AJ174" s="95"/>
      <c r="AK174" s="95"/>
      <c r="AL174" s="95"/>
      <c r="AM174" s="41"/>
      <c r="AN174" s="43"/>
      <c r="AO174" s="41"/>
      <c r="AP174" s="42"/>
      <c r="AQ174" s="95" t="str">
        <f>C174</f>
        <v>LTC</v>
      </c>
      <c r="AR174" s="95"/>
      <c r="AS174" s="95"/>
      <c r="AT174" s="95"/>
      <c r="AU174" s="95"/>
      <c r="AV174" s="95"/>
      <c r="AX174" s="38"/>
      <c r="AZ174" s="42"/>
      <c r="BA174" s="95" t="str">
        <f>C174</f>
        <v>LTC</v>
      </c>
      <c r="BB174" s="95"/>
      <c r="BC174" s="95"/>
      <c r="BD174" s="95"/>
      <c r="BE174" s="95"/>
      <c r="BF174" s="95"/>
    </row>
    <row r="175" spans="2:58" s="37" customFormat="1" ht="12.75" customHeight="1" x14ac:dyDescent="0.45">
      <c r="B175" s="44" t="s">
        <v>52</v>
      </c>
      <c r="C175" s="45" t="s">
        <v>143</v>
      </c>
      <c r="D175" s="45" t="s">
        <v>144</v>
      </c>
      <c r="E175" s="45" t="s">
        <v>145</v>
      </c>
      <c r="F175" s="45" t="s">
        <v>146</v>
      </c>
      <c r="G175" s="45" t="s">
        <v>147</v>
      </c>
      <c r="H175" s="45" t="s">
        <v>148</v>
      </c>
      <c r="J175" s="38"/>
      <c r="L175" s="44" t="s">
        <v>52</v>
      </c>
      <c r="M175" s="45" t="s">
        <v>143</v>
      </c>
      <c r="N175" s="45" t="s">
        <v>144</v>
      </c>
      <c r="O175" s="45" t="s">
        <v>145</v>
      </c>
      <c r="P175" s="45" t="s">
        <v>146</v>
      </c>
      <c r="Q175" s="45" t="s">
        <v>147</v>
      </c>
      <c r="R175" s="45" t="s">
        <v>148</v>
      </c>
      <c r="S175" s="41"/>
      <c r="T175" s="43"/>
      <c r="U175" s="41"/>
      <c r="V175" s="44" t="str">
        <f t="shared" ref="V175:V187" si="152">B175</f>
        <v>AR-LTV</v>
      </c>
      <c r="W175" s="45" t="str">
        <f>C175</f>
        <v>&lt;74.99%</v>
      </c>
      <c r="X175" s="45" t="str">
        <f>D175</f>
        <v>75.00%-80.00%</v>
      </c>
      <c r="Y175" s="45" t="str">
        <f>E175</f>
        <v>80.01%-85.00%</v>
      </c>
      <c r="Z175" s="45" t="str">
        <f>F175</f>
        <v>85.01%-87.50%</v>
      </c>
      <c r="AA175" s="45" t="str">
        <f>G175</f>
        <v>87.51%-89.99%</v>
      </c>
      <c r="AB175" s="45" t="str">
        <f>H175</f>
        <v>90.00%-92.50%</v>
      </c>
      <c r="AD175" s="38"/>
      <c r="AF175" s="44" t="str">
        <f t="shared" ref="AF175:AF187" si="153">V175</f>
        <v>AR-LTV</v>
      </c>
      <c r="AG175" s="45" t="str">
        <f>W175</f>
        <v>&lt;74.99%</v>
      </c>
      <c r="AH175" s="45" t="str">
        <f>X175</f>
        <v>75.00%-80.00%</v>
      </c>
      <c r="AI175" s="45" t="str">
        <f>Y175</f>
        <v>80.01%-85.00%</v>
      </c>
      <c r="AJ175" s="45" t="str">
        <f>Z175</f>
        <v>85.01%-87.50%</v>
      </c>
      <c r="AK175" s="45" t="str">
        <f>AA175</f>
        <v>87.51%-89.99%</v>
      </c>
      <c r="AL175" s="45" t="str">
        <f>AB175</f>
        <v>90.00%-92.50%</v>
      </c>
      <c r="AM175" s="41"/>
      <c r="AN175" s="43"/>
      <c r="AO175" s="41"/>
      <c r="AP175" s="44" t="str">
        <f t="shared" ref="AP175:AP187" si="154">B175</f>
        <v>AR-LTV</v>
      </c>
      <c r="AQ175" s="45" t="str">
        <f>C175</f>
        <v>&lt;74.99%</v>
      </c>
      <c r="AR175" s="45" t="str">
        <f>D175</f>
        <v>75.00%-80.00%</v>
      </c>
      <c r="AS175" s="45" t="str">
        <f>E175</f>
        <v>80.01%-85.00%</v>
      </c>
      <c r="AT175" s="45" t="str">
        <f>F175</f>
        <v>85.01%-87.50%</v>
      </c>
      <c r="AU175" s="45" t="str">
        <f>G175</f>
        <v>87.51%-89.99%</v>
      </c>
      <c r="AV175" s="45" t="str">
        <f>H175</f>
        <v>90.00%-92.50%</v>
      </c>
      <c r="AX175" s="38"/>
      <c r="AZ175" s="44" t="str">
        <f t="shared" ref="AZ175:AZ187" si="155">B175</f>
        <v>AR-LTV</v>
      </c>
      <c r="BA175" s="45" t="str">
        <f>C175</f>
        <v>&lt;74.99%</v>
      </c>
      <c r="BB175" s="45" t="str">
        <f>D175</f>
        <v>75.00%-80.00%</v>
      </c>
      <c r="BC175" s="45" t="str">
        <f>E175</f>
        <v>80.01%-85.00%</v>
      </c>
      <c r="BD175" s="45" t="str">
        <f>F175</f>
        <v>85.01%-87.50%</v>
      </c>
      <c r="BE175" s="45" t="str">
        <f>G175</f>
        <v>87.51%-89.99%</v>
      </c>
      <c r="BF175" s="45" t="str">
        <f>H175</f>
        <v>90.00%-92.50%</v>
      </c>
    </row>
    <row r="176" spans="2:58" s="37" customFormat="1" ht="12.75" customHeight="1" x14ac:dyDescent="0.45">
      <c r="B176" s="46" t="s">
        <v>149</v>
      </c>
      <c r="C176" s="47">
        <f>C184+0.25%</f>
        <v>8.5000000000000006E-2</v>
      </c>
      <c r="D176" s="47">
        <f>C176+0.125%</f>
        <v>8.6250000000000007E-2</v>
      </c>
      <c r="E176" s="47">
        <f>D176+0.125%</f>
        <v>8.7500000000000008E-2</v>
      </c>
      <c r="F176" s="47">
        <f>E176+0.125%</f>
        <v>8.8750000000000009E-2</v>
      </c>
      <c r="G176" s="47">
        <f>F176+0.125%</f>
        <v>9.0000000000000011E-2</v>
      </c>
      <c r="H176" s="48">
        <f>G176</f>
        <v>9.0000000000000011E-2</v>
      </c>
      <c r="J176" s="38"/>
      <c r="L176" s="46" t="s">
        <v>149</v>
      </c>
      <c r="M176" s="47">
        <f>M184+0.5%</f>
        <v>0.11</v>
      </c>
      <c r="N176" s="47">
        <f>M176+0.25%</f>
        <v>0.1125</v>
      </c>
      <c r="O176" s="47">
        <f>N176+0.25%</f>
        <v>0.115</v>
      </c>
      <c r="P176" s="49" t="s">
        <v>150</v>
      </c>
      <c r="Q176" s="49" t="s">
        <v>150</v>
      </c>
      <c r="R176" s="49" t="s">
        <v>150</v>
      </c>
      <c r="S176" s="50"/>
      <c r="T176" s="51"/>
      <c r="U176" s="41"/>
      <c r="V176" s="46" t="str">
        <f t="shared" si="152"/>
        <v>70.01%-75.00%</v>
      </c>
      <c r="W176" s="47">
        <f>W184+0.25%</f>
        <v>8.6250000000000007E-2</v>
      </c>
      <c r="X176" s="47">
        <f>W176+0.125%</f>
        <v>8.7500000000000008E-2</v>
      </c>
      <c r="Y176" s="47">
        <f>X176+0.125%</f>
        <v>8.8750000000000009E-2</v>
      </c>
      <c r="Z176" s="47">
        <f>Y176+0.125%</f>
        <v>9.0000000000000011E-2</v>
      </c>
      <c r="AA176" s="47">
        <f>Z176+0.125%</f>
        <v>9.1250000000000012E-2</v>
      </c>
      <c r="AB176" s="48">
        <f>AA176</f>
        <v>9.1250000000000012E-2</v>
      </c>
      <c r="AD176" s="38"/>
      <c r="AF176" s="46" t="str">
        <f t="shared" si="153"/>
        <v>70.01%-75.00%</v>
      </c>
      <c r="AG176" s="47">
        <f>AG184+0.5%</f>
        <v>0.11125</v>
      </c>
      <c r="AH176" s="47">
        <f>AG176+0.25%</f>
        <v>0.11375</v>
      </c>
      <c r="AI176" s="47">
        <f>AH176+0.25%</f>
        <v>0.11625000000000001</v>
      </c>
      <c r="AJ176" s="49" t="s">
        <v>150</v>
      </c>
      <c r="AK176" s="49" t="s">
        <v>150</v>
      </c>
      <c r="AL176" s="49" t="s">
        <v>150</v>
      </c>
      <c r="AM176" s="50"/>
      <c r="AN176" s="51"/>
      <c r="AO176" s="41"/>
      <c r="AP176" s="46" t="str">
        <f t="shared" si="154"/>
        <v>70.01%-75.00%</v>
      </c>
      <c r="AQ176" s="47">
        <f>AQ184+0.25%</f>
        <v>8.7500000000000008E-2</v>
      </c>
      <c r="AR176" s="47">
        <f>AQ176+0.125%</f>
        <v>8.8750000000000009E-2</v>
      </c>
      <c r="AS176" s="47">
        <f>AR176+0.125%</f>
        <v>9.0000000000000011E-2</v>
      </c>
      <c r="AT176" s="47">
        <f>AS176+0.125%</f>
        <v>9.1250000000000012E-2</v>
      </c>
      <c r="AU176" s="47">
        <f>AT176+0.125%</f>
        <v>9.2500000000000013E-2</v>
      </c>
      <c r="AV176" s="48">
        <f>AU176</f>
        <v>9.2500000000000013E-2</v>
      </c>
      <c r="AX176" s="38"/>
      <c r="AZ176" s="46" t="str">
        <f t="shared" si="155"/>
        <v>70.01%-75.00%</v>
      </c>
      <c r="BA176" s="49" t="s">
        <v>150</v>
      </c>
      <c r="BB176" s="49" t="s">
        <v>150</v>
      </c>
      <c r="BC176" s="49" t="s">
        <v>150</v>
      </c>
      <c r="BD176" s="49" t="s">
        <v>150</v>
      </c>
      <c r="BE176" s="49" t="s">
        <v>150</v>
      </c>
      <c r="BF176" s="49" t="s">
        <v>150</v>
      </c>
    </row>
    <row r="177" spans="2:58" s="37" customFormat="1" ht="12.75" customHeight="1" x14ac:dyDescent="0.45">
      <c r="B177" s="52" t="s">
        <v>151</v>
      </c>
      <c r="C177" s="53">
        <f t="shared" ref="C177:H177" si="156">C176+0</f>
        <v>8.5000000000000006E-2</v>
      </c>
      <c r="D177" s="53">
        <f t="shared" si="156"/>
        <v>8.6250000000000007E-2</v>
      </c>
      <c r="E177" s="53">
        <f t="shared" si="156"/>
        <v>8.7500000000000008E-2</v>
      </c>
      <c r="F177" s="53">
        <f t="shared" si="156"/>
        <v>8.8750000000000009E-2</v>
      </c>
      <c r="G177" s="53">
        <f t="shared" si="156"/>
        <v>9.0000000000000011E-2</v>
      </c>
      <c r="H177" s="53">
        <f t="shared" si="156"/>
        <v>9.0000000000000011E-2</v>
      </c>
      <c r="J177" s="38"/>
      <c r="L177" s="52" t="s">
        <v>151</v>
      </c>
      <c r="M177" s="53">
        <f>M176+0</f>
        <v>0.11</v>
      </c>
      <c r="N177" s="53">
        <f>N176+0</f>
        <v>0.1125</v>
      </c>
      <c r="O177" s="53">
        <f>O176+0</f>
        <v>0.115</v>
      </c>
      <c r="P177" s="54" t="s">
        <v>150</v>
      </c>
      <c r="Q177" s="54" t="s">
        <v>150</v>
      </c>
      <c r="R177" s="54" t="s">
        <v>150</v>
      </c>
      <c r="S177" s="55"/>
      <c r="T177" s="56"/>
      <c r="U177" s="41"/>
      <c r="V177" s="52" t="str">
        <f t="shared" si="152"/>
        <v>FICO 700+</v>
      </c>
      <c r="W177" s="53">
        <f t="shared" ref="W177:AB177" si="157">W176+0</f>
        <v>8.6250000000000007E-2</v>
      </c>
      <c r="X177" s="53">
        <f t="shared" si="157"/>
        <v>8.7500000000000008E-2</v>
      </c>
      <c r="Y177" s="53">
        <f t="shared" si="157"/>
        <v>8.8750000000000009E-2</v>
      </c>
      <c r="Z177" s="53">
        <f t="shared" si="157"/>
        <v>9.0000000000000011E-2</v>
      </c>
      <c r="AA177" s="53">
        <f t="shared" si="157"/>
        <v>9.1250000000000012E-2</v>
      </c>
      <c r="AB177" s="53">
        <f t="shared" si="157"/>
        <v>9.1250000000000012E-2</v>
      </c>
      <c r="AD177" s="38"/>
      <c r="AF177" s="52" t="str">
        <f t="shared" si="153"/>
        <v>FICO 700+</v>
      </c>
      <c r="AG177" s="53">
        <f>AG176+0</f>
        <v>0.11125</v>
      </c>
      <c r="AH177" s="53">
        <f>AH176+0</f>
        <v>0.11375</v>
      </c>
      <c r="AI177" s="53">
        <f>AI176+0</f>
        <v>0.11625000000000001</v>
      </c>
      <c r="AJ177" s="54" t="s">
        <v>150</v>
      </c>
      <c r="AK177" s="54" t="s">
        <v>150</v>
      </c>
      <c r="AL177" s="54" t="s">
        <v>150</v>
      </c>
      <c r="AM177" s="55"/>
      <c r="AN177" s="56"/>
      <c r="AO177" s="41"/>
      <c r="AP177" s="52" t="str">
        <f t="shared" si="154"/>
        <v>FICO 700+</v>
      </c>
      <c r="AQ177" s="53">
        <f t="shared" ref="AQ177:AV177" si="158">AQ176+0</f>
        <v>8.7500000000000008E-2</v>
      </c>
      <c r="AR177" s="53">
        <f t="shared" si="158"/>
        <v>8.8750000000000009E-2</v>
      </c>
      <c r="AS177" s="53">
        <f t="shared" si="158"/>
        <v>9.0000000000000011E-2</v>
      </c>
      <c r="AT177" s="53">
        <f t="shared" si="158"/>
        <v>9.1250000000000012E-2</v>
      </c>
      <c r="AU177" s="53">
        <f t="shared" si="158"/>
        <v>9.2500000000000013E-2</v>
      </c>
      <c r="AV177" s="53">
        <f t="shared" si="158"/>
        <v>9.2500000000000013E-2</v>
      </c>
      <c r="AX177" s="38"/>
      <c r="AZ177" s="52" t="str">
        <f t="shared" si="155"/>
        <v>FICO 700+</v>
      </c>
      <c r="BA177" s="54" t="s">
        <v>150</v>
      </c>
      <c r="BB177" s="54" t="s">
        <v>150</v>
      </c>
      <c r="BC177" s="54" t="s">
        <v>150</v>
      </c>
      <c r="BD177" s="54" t="s">
        <v>150</v>
      </c>
      <c r="BE177" s="54" t="s">
        <v>150</v>
      </c>
      <c r="BF177" s="54" t="s">
        <v>150</v>
      </c>
    </row>
    <row r="178" spans="2:58" s="37" customFormat="1" ht="12.75" customHeight="1" x14ac:dyDescent="0.45">
      <c r="B178" s="52" t="s">
        <v>152</v>
      </c>
      <c r="C178" s="53">
        <f>C176+0.5%</f>
        <v>9.0000000000000011E-2</v>
      </c>
      <c r="D178" s="53">
        <f>D176+0.5%</f>
        <v>9.1250000000000012E-2</v>
      </c>
      <c r="E178" s="53">
        <f>E176+0.5%</f>
        <v>9.2500000000000013E-2</v>
      </c>
      <c r="F178" s="53">
        <f>F176+0.5%</f>
        <v>9.3750000000000014E-2</v>
      </c>
      <c r="G178" s="53">
        <f>G176+0.5%</f>
        <v>9.5000000000000015E-2</v>
      </c>
      <c r="H178" s="54" t="s">
        <v>150</v>
      </c>
      <c r="J178" s="38"/>
      <c r="L178" s="52" t="s">
        <v>152</v>
      </c>
      <c r="M178" s="53">
        <f>M176+0.25%</f>
        <v>0.1125</v>
      </c>
      <c r="N178" s="53">
        <f>N176+0.25%</f>
        <v>0.115</v>
      </c>
      <c r="O178" s="53">
        <f>O176+0.25%</f>
        <v>0.11750000000000001</v>
      </c>
      <c r="P178" s="54" t="s">
        <v>150</v>
      </c>
      <c r="Q178" s="54" t="s">
        <v>150</v>
      </c>
      <c r="R178" s="54" t="s">
        <v>150</v>
      </c>
      <c r="S178" s="55"/>
      <c r="T178" s="56"/>
      <c r="U178" s="41"/>
      <c r="V178" s="52" t="str">
        <f t="shared" si="152"/>
        <v>FICO 660-699</v>
      </c>
      <c r="W178" s="53">
        <f>W176+0.5%</f>
        <v>9.1250000000000012E-2</v>
      </c>
      <c r="X178" s="53">
        <f>X176+0.5%</f>
        <v>9.2500000000000013E-2</v>
      </c>
      <c r="Y178" s="53">
        <f>Y176+0.5%</f>
        <v>9.3750000000000014E-2</v>
      </c>
      <c r="Z178" s="53">
        <f>Z176+0.5%</f>
        <v>9.5000000000000015E-2</v>
      </c>
      <c r="AA178" s="53">
        <f>AA176+0.5%</f>
        <v>9.6250000000000016E-2</v>
      </c>
      <c r="AB178" s="54" t="s">
        <v>150</v>
      </c>
      <c r="AD178" s="38"/>
      <c r="AF178" s="52" t="str">
        <f t="shared" si="153"/>
        <v>FICO 660-699</v>
      </c>
      <c r="AG178" s="53">
        <f>AG176+0.5%</f>
        <v>0.11625000000000001</v>
      </c>
      <c r="AH178" s="53">
        <f>AH176+0.5%</f>
        <v>0.11875000000000001</v>
      </c>
      <c r="AI178" s="53">
        <f>AI176+0.5%</f>
        <v>0.12125000000000001</v>
      </c>
      <c r="AJ178" s="54" t="s">
        <v>150</v>
      </c>
      <c r="AK178" s="54" t="s">
        <v>150</v>
      </c>
      <c r="AL178" s="54" t="s">
        <v>150</v>
      </c>
      <c r="AM178" s="55"/>
      <c r="AN178" s="56"/>
      <c r="AO178" s="41"/>
      <c r="AP178" s="52" t="str">
        <f t="shared" si="154"/>
        <v>FICO 660-699</v>
      </c>
      <c r="AQ178" s="53">
        <f>AQ176+0.5%</f>
        <v>9.2500000000000013E-2</v>
      </c>
      <c r="AR178" s="53">
        <f>AR176+0.5%</f>
        <v>9.3750000000000014E-2</v>
      </c>
      <c r="AS178" s="53">
        <f>AS176+0.5%</f>
        <v>9.5000000000000015E-2</v>
      </c>
      <c r="AT178" s="53">
        <f>AT176+0.5%</f>
        <v>9.6250000000000016E-2</v>
      </c>
      <c r="AU178" s="53">
        <f>AU176+0.5%</f>
        <v>9.7500000000000017E-2</v>
      </c>
      <c r="AV178" s="54" t="s">
        <v>150</v>
      </c>
      <c r="AX178" s="38"/>
      <c r="AZ178" s="52" t="str">
        <f t="shared" si="155"/>
        <v>FICO 660-699</v>
      </c>
      <c r="BA178" s="54" t="s">
        <v>150</v>
      </c>
      <c r="BB178" s="54" t="s">
        <v>150</v>
      </c>
      <c r="BC178" s="54" t="s">
        <v>150</v>
      </c>
      <c r="BD178" s="54" t="s">
        <v>150</v>
      </c>
      <c r="BE178" s="54" t="s">
        <v>150</v>
      </c>
      <c r="BF178" s="54" t="s">
        <v>150</v>
      </c>
    </row>
    <row r="179" spans="2:58" s="37" customFormat="1" ht="12.75" customHeight="1" x14ac:dyDescent="0.45">
      <c r="B179" s="57" t="s">
        <v>153</v>
      </c>
      <c r="C179" s="59" t="s">
        <v>150</v>
      </c>
      <c r="D179" s="59" t="s">
        <v>150</v>
      </c>
      <c r="E179" s="59" t="s">
        <v>150</v>
      </c>
      <c r="F179" s="59" t="s">
        <v>150</v>
      </c>
      <c r="G179" s="59" t="s">
        <v>150</v>
      </c>
      <c r="H179" s="59" t="s">
        <v>150</v>
      </c>
      <c r="J179" s="38"/>
      <c r="L179" s="57" t="s">
        <v>153</v>
      </c>
      <c r="M179" s="59" t="s">
        <v>150</v>
      </c>
      <c r="N179" s="59" t="s">
        <v>150</v>
      </c>
      <c r="O179" s="59" t="s">
        <v>150</v>
      </c>
      <c r="P179" s="59" t="s">
        <v>150</v>
      </c>
      <c r="Q179" s="59" t="s">
        <v>150</v>
      </c>
      <c r="R179" s="59" t="s">
        <v>150</v>
      </c>
      <c r="S179" s="55"/>
      <c r="T179" s="56"/>
      <c r="U179" s="41"/>
      <c r="V179" s="57" t="str">
        <f t="shared" si="152"/>
        <v>FICO 640-659</v>
      </c>
      <c r="W179" s="59" t="s">
        <v>150</v>
      </c>
      <c r="X179" s="59" t="s">
        <v>150</v>
      </c>
      <c r="Y179" s="59" t="s">
        <v>150</v>
      </c>
      <c r="Z179" s="59" t="s">
        <v>150</v>
      </c>
      <c r="AA179" s="59" t="s">
        <v>150</v>
      </c>
      <c r="AB179" s="59" t="s">
        <v>150</v>
      </c>
      <c r="AD179" s="38"/>
      <c r="AF179" s="57" t="str">
        <f t="shared" si="153"/>
        <v>FICO 640-659</v>
      </c>
      <c r="AG179" s="59" t="s">
        <v>150</v>
      </c>
      <c r="AH179" s="59" t="s">
        <v>150</v>
      </c>
      <c r="AI179" s="59" t="s">
        <v>150</v>
      </c>
      <c r="AJ179" s="59" t="s">
        <v>150</v>
      </c>
      <c r="AK179" s="59" t="s">
        <v>150</v>
      </c>
      <c r="AL179" s="59" t="s">
        <v>150</v>
      </c>
      <c r="AM179" s="55"/>
      <c r="AN179" s="56"/>
      <c r="AO179" s="41"/>
      <c r="AP179" s="57" t="str">
        <f t="shared" si="154"/>
        <v>FICO 640-659</v>
      </c>
      <c r="AQ179" s="59" t="s">
        <v>150</v>
      </c>
      <c r="AR179" s="59" t="s">
        <v>150</v>
      </c>
      <c r="AS179" s="59" t="s">
        <v>150</v>
      </c>
      <c r="AT179" s="59" t="s">
        <v>150</v>
      </c>
      <c r="AU179" s="59" t="s">
        <v>150</v>
      </c>
      <c r="AV179" s="59" t="s">
        <v>150</v>
      </c>
      <c r="AX179" s="38"/>
      <c r="AZ179" s="57" t="str">
        <f t="shared" si="155"/>
        <v>FICO 640-659</v>
      </c>
      <c r="BA179" s="59" t="s">
        <v>150</v>
      </c>
      <c r="BB179" s="59" t="s">
        <v>150</v>
      </c>
      <c r="BC179" s="59" t="s">
        <v>150</v>
      </c>
      <c r="BD179" s="59" t="s">
        <v>150</v>
      </c>
      <c r="BE179" s="59" t="s">
        <v>150</v>
      </c>
      <c r="BF179" s="59" t="s">
        <v>150</v>
      </c>
    </row>
    <row r="180" spans="2:58" s="37" customFormat="1" ht="12.75" customHeight="1" x14ac:dyDescent="0.45">
      <c r="B180" s="60" t="s">
        <v>154</v>
      </c>
      <c r="C180" s="48">
        <f>C184+0.125%</f>
        <v>8.3750000000000005E-2</v>
      </c>
      <c r="D180" s="48">
        <f>C180+0.125%</f>
        <v>8.5000000000000006E-2</v>
      </c>
      <c r="E180" s="48">
        <f>D180+0.125%</f>
        <v>8.6250000000000007E-2</v>
      </c>
      <c r="F180" s="48">
        <f>E180+0.125%</f>
        <v>8.7500000000000008E-2</v>
      </c>
      <c r="G180" s="48">
        <f>F180+0.125%</f>
        <v>8.8750000000000009E-2</v>
      </c>
      <c r="H180" s="48">
        <f>G180</f>
        <v>8.8750000000000009E-2</v>
      </c>
      <c r="J180" s="38"/>
      <c r="L180" s="60" t="s">
        <v>154</v>
      </c>
      <c r="M180" s="48">
        <f>M184+0.25%</f>
        <v>0.1075</v>
      </c>
      <c r="N180" s="48">
        <f>M180+0.25%</f>
        <v>0.11</v>
      </c>
      <c r="O180" s="48">
        <f>N180+0.25%</f>
        <v>0.1125</v>
      </c>
      <c r="P180" s="49" t="s">
        <v>150</v>
      </c>
      <c r="Q180" s="49" t="s">
        <v>150</v>
      </c>
      <c r="R180" s="49" t="s">
        <v>150</v>
      </c>
      <c r="S180" s="50"/>
      <c r="T180" s="51"/>
      <c r="U180" s="41"/>
      <c r="V180" s="60" t="str">
        <f t="shared" si="152"/>
        <v>65.00%-70.00%</v>
      </c>
      <c r="W180" s="48">
        <f>W184+0.125%</f>
        <v>8.5000000000000006E-2</v>
      </c>
      <c r="X180" s="48">
        <f>W180+0.125%</f>
        <v>8.6250000000000007E-2</v>
      </c>
      <c r="Y180" s="48">
        <f>X180+0.125%</f>
        <v>8.7500000000000008E-2</v>
      </c>
      <c r="Z180" s="48">
        <f>Y180+0.125%</f>
        <v>8.8750000000000009E-2</v>
      </c>
      <c r="AA180" s="48">
        <f>Z180+0.125%</f>
        <v>9.0000000000000011E-2</v>
      </c>
      <c r="AB180" s="48">
        <f>AA180</f>
        <v>9.0000000000000011E-2</v>
      </c>
      <c r="AD180" s="38"/>
      <c r="AF180" s="60" t="str">
        <f t="shared" si="153"/>
        <v>65.00%-70.00%</v>
      </c>
      <c r="AG180" s="48">
        <f>AG184+0.25%</f>
        <v>0.10875</v>
      </c>
      <c r="AH180" s="48">
        <f>AG180+0.25%</f>
        <v>0.11125</v>
      </c>
      <c r="AI180" s="48">
        <f>AH180+0.25%</f>
        <v>0.11375</v>
      </c>
      <c r="AJ180" s="49" t="s">
        <v>150</v>
      </c>
      <c r="AK180" s="49" t="s">
        <v>150</v>
      </c>
      <c r="AL180" s="49" t="s">
        <v>150</v>
      </c>
      <c r="AM180" s="50"/>
      <c r="AN180" s="51"/>
      <c r="AO180" s="41"/>
      <c r="AP180" s="60" t="str">
        <f t="shared" si="154"/>
        <v>65.00%-70.00%</v>
      </c>
      <c r="AQ180" s="48">
        <f>AQ184+0.125%</f>
        <v>8.6250000000000007E-2</v>
      </c>
      <c r="AR180" s="48">
        <f>AQ180+0.125%</f>
        <v>8.7500000000000008E-2</v>
      </c>
      <c r="AS180" s="48">
        <f>AR180+0.125%</f>
        <v>8.8750000000000009E-2</v>
      </c>
      <c r="AT180" s="48">
        <f>AS180+0.125%</f>
        <v>9.0000000000000011E-2</v>
      </c>
      <c r="AU180" s="48">
        <f>AT180+0.125%</f>
        <v>9.1250000000000012E-2</v>
      </c>
      <c r="AV180" s="48">
        <f>AU180</f>
        <v>9.1250000000000012E-2</v>
      </c>
      <c r="AX180" s="38"/>
      <c r="AZ180" s="60" t="str">
        <f t="shared" si="155"/>
        <v>65.00%-70.00%</v>
      </c>
      <c r="BA180" s="49" t="s">
        <v>150</v>
      </c>
      <c r="BB180" s="49" t="s">
        <v>150</v>
      </c>
      <c r="BC180" s="49" t="s">
        <v>150</v>
      </c>
      <c r="BD180" s="49" t="s">
        <v>150</v>
      </c>
      <c r="BE180" s="49" t="s">
        <v>150</v>
      </c>
      <c r="BF180" s="49" t="s">
        <v>150</v>
      </c>
    </row>
    <row r="181" spans="2:58" s="37" customFormat="1" ht="12.75" customHeight="1" x14ac:dyDescent="0.45">
      <c r="B181" s="52" t="s">
        <v>151</v>
      </c>
      <c r="C181" s="53">
        <f t="shared" ref="C181:H181" si="159">C180+0</f>
        <v>8.3750000000000005E-2</v>
      </c>
      <c r="D181" s="53">
        <f t="shared" si="159"/>
        <v>8.5000000000000006E-2</v>
      </c>
      <c r="E181" s="53">
        <f t="shared" si="159"/>
        <v>8.6250000000000007E-2</v>
      </c>
      <c r="F181" s="53">
        <f t="shared" si="159"/>
        <v>8.7500000000000008E-2</v>
      </c>
      <c r="G181" s="53">
        <f t="shared" si="159"/>
        <v>8.8750000000000009E-2</v>
      </c>
      <c r="H181" s="53">
        <f t="shared" si="159"/>
        <v>8.8750000000000009E-2</v>
      </c>
      <c r="J181" s="38"/>
      <c r="L181" s="52" t="s">
        <v>151</v>
      </c>
      <c r="M181" s="53">
        <f>M180+0</f>
        <v>0.1075</v>
      </c>
      <c r="N181" s="53">
        <f>N180+0</f>
        <v>0.11</v>
      </c>
      <c r="O181" s="53">
        <f>O180+0</f>
        <v>0.1125</v>
      </c>
      <c r="P181" s="54" t="s">
        <v>150</v>
      </c>
      <c r="Q181" s="54" t="s">
        <v>150</v>
      </c>
      <c r="R181" s="54" t="s">
        <v>150</v>
      </c>
      <c r="S181" s="55"/>
      <c r="T181" s="56"/>
      <c r="U181" s="41"/>
      <c r="V181" s="52" t="str">
        <f t="shared" si="152"/>
        <v>FICO 700+</v>
      </c>
      <c r="W181" s="53">
        <f t="shared" ref="W181:AB181" si="160">W180+0</f>
        <v>8.5000000000000006E-2</v>
      </c>
      <c r="X181" s="53">
        <f t="shared" si="160"/>
        <v>8.6250000000000007E-2</v>
      </c>
      <c r="Y181" s="53">
        <f t="shared" si="160"/>
        <v>8.7500000000000008E-2</v>
      </c>
      <c r="Z181" s="53">
        <f t="shared" si="160"/>
        <v>8.8750000000000009E-2</v>
      </c>
      <c r="AA181" s="53">
        <f t="shared" si="160"/>
        <v>9.0000000000000011E-2</v>
      </c>
      <c r="AB181" s="53">
        <f t="shared" si="160"/>
        <v>9.0000000000000011E-2</v>
      </c>
      <c r="AD181" s="38"/>
      <c r="AF181" s="52" t="str">
        <f t="shared" si="153"/>
        <v>FICO 700+</v>
      </c>
      <c r="AG181" s="53">
        <f>AG180+0</f>
        <v>0.10875</v>
      </c>
      <c r="AH181" s="53">
        <f>AH180+0</f>
        <v>0.11125</v>
      </c>
      <c r="AI181" s="53">
        <f>AI180+0</f>
        <v>0.11375</v>
      </c>
      <c r="AJ181" s="54" t="s">
        <v>150</v>
      </c>
      <c r="AK181" s="54" t="s">
        <v>150</v>
      </c>
      <c r="AL181" s="54" t="s">
        <v>150</v>
      </c>
      <c r="AM181" s="55"/>
      <c r="AN181" s="56"/>
      <c r="AO181" s="41"/>
      <c r="AP181" s="52" t="str">
        <f t="shared" si="154"/>
        <v>FICO 700+</v>
      </c>
      <c r="AQ181" s="53">
        <f t="shared" ref="AQ181:AV181" si="161">AQ180+0</f>
        <v>8.6250000000000007E-2</v>
      </c>
      <c r="AR181" s="53">
        <f t="shared" si="161"/>
        <v>8.7500000000000008E-2</v>
      </c>
      <c r="AS181" s="53">
        <f t="shared" si="161"/>
        <v>8.8750000000000009E-2</v>
      </c>
      <c r="AT181" s="53">
        <f t="shared" si="161"/>
        <v>9.0000000000000011E-2</v>
      </c>
      <c r="AU181" s="53">
        <f t="shared" si="161"/>
        <v>9.1250000000000012E-2</v>
      </c>
      <c r="AV181" s="53">
        <f t="shared" si="161"/>
        <v>9.1250000000000012E-2</v>
      </c>
      <c r="AX181" s="38"/>
      <c r="AZ181" s="52" t="str">
        <f t="shared" si="155"/>
        <v>FICO 700+</v>
      </c>
      <c r="BA181" s="54" t="s">
        <v>150</v>
      </c>
      <c r="BB181" s="54" t="s">
        <v>150</v>
      </c>
      <c r="BC181" s="54" t="s">
        <v>150</v>
      </c>
      <c r="BD181" s="54" t="s">
        <v>150</v>
      </c>
      <c r="BE181" s="54" t="s">
        <v>150</v>
      </c>
      <c r="BF181" s="54" t="s">
        <v>150</v>
      </c>
    </row>
    <row r="182" spans="2:58" s="37" customFormat="1" ht="12.75" customHeight="1" x14ac:dyDescent="0.45">
      <c r="B182" s="52" t="s">
        <v>152</v>
      </c>
      <c r="C182" s="53">
        <f>C180+0.5%</f>
        <v>8.8750000000000009E-2</v>
      </c>
      <c r="D182" s="53">
        <f>D180+0.5%</f>
        <v>9.0000000000000011E-2</v>
      </c>
      <c r="E182" s="53">
        <f>E180+0.5%</f>
        <v>9.1250000000000012E-2</v>
      </c>
      <c r="F182" s="53">
        <f>F180+0.5%</f>
        <v>9.2500000000000013E-2</v>
      </c>
      <c r="G182" s="53">
        <f>G180+0.5%</f>
        <v>9.3750000000000014E-2</v>
      </c>
      <c r="H182" s="54" t="s">
        <v>150</v>
      </c>
      <c r="J182" s="38"/>
      <c r="L182" s="52" t="s">
        <v>152</v>
      </c>
      <c r="M182" s="53">
        <f>M180+0.25%</f>
        <v>0.11</v>
      </c>
      <c r="N182" s="53">
        <f>N180+0.25%</f>
        <v>0.1125</v>
      </c>
      <c r="O182" s="53">
        <f>O180+0.25%</f>
        <v>0.115</v>
      </c>
      <c r="P182" s="54" t="s">
        <v>150</v>
      </c>
      <c r="Q182" s="54" t="s">
        <v>150</v>
      </c>
      <c r="R182" s="54" t="s">
        <v>150</v>
      </c>
      <c r="S182" s="55"/>
      <c r="T182" s="56"/>
      <c r="U182" s="41"/>
      <c r="V182" s="52" t="str">
        <f t="shared" si="152"/>
        <v>FICO 660-699</v>
      </c>
      <c r="W182" s="53">
        <f>W180+0.5%</f>
        <v>9.0000000000000011E-2</v>
      </c>
      <c r="X182" s="53">
        <f>X180+0.5%</f>
        <v>9.1250000000000012E-2</v>
      </c>
      <c r="Y182" s="53">
        <f>Y180+0.5%</f>
        <v>9.2500000000000013E-2</v>
      </c>
      <c r="Z182" s="53">
        <f>Z180+0.5%</f>
        <v>9.3750000000000014E-2</v>
      </c>
      <c r="AA182" s="53">
        <f>AA180+0.5%</f>
        <v>9.5000000000000015E-2</v>
      </c>
      <c r="AB182" s="54" t="s">
        <v>150</v>
      </c>
      <c r="AD182" s="38"/>
      <c r="AF182" s="52" t="str">
        <f t="shared" si="153"/>
        <v>FICO 660-699</v>
      </c>
      <c r="AG182" s="53">
        <f>AG180+0.5%</f>
        <v>0.11375</v>
      </c>
      <c r="AH182" s="53">
        <f>AH180+0.5%</f>
        <v>0.11625000000000001</v>
      </c>
      <c r="AI182" s="53">
        <f>AI180+0.5%</f>
        <v>0.11875000000000001</v>
      </c>
      <c r="AJ182" s="54" t="s">
        <v>150</v>
      </c>
      <c r="AK182" s="54" t="s">
        <v>150</v>
      </c>
      <c r="AL182" s="54" t="s">
        <v>150</v>
      </c>
      <c r="AM182" s="55"/>
      <c r="AN182" s="56"/>
      <c r="AO182" s="41"/>
      <c r="AP182" s="52" t="str">
        <f t="shared" si="154"/>
        <v>FICO 660-699</v>
      </c>
      <c r="AQ182" s="53">
        <f>AQ180+0.5%</f>
        <v>9.1250000000000012E-2</v>
      </c>
      <c r="AR182" s="53">
        <f>AR180+0.5%</f>
        <v>9.2500000000000013E-2</v>
      </c>
      <c r="AS182" s="53">
        <f>AS180+0.5%</f>
        <v>9.3750000000000014E-2</v>
      </c>
      <c r="AT182" s="53">
        <f>AT180+0.5%</f>
        <v>9.5000000000000015E-2</v>
      </c>
      <c r="AU182" s="53">
        <f>AU180+0.5%</f>
        <v>9.6250000000000016E-2</v>
      </c>
      <c r="AV182" s="54" t="s">
        <v>150</v>
      </c>
      <c r="AX182" s="38"/>
      <c r="AZ182" s="52" t="str">
        <f t="shared" si="155"/>
        <v>FICO 660-699</v>
      </c>
      <c r="BA182" s="54" t="s">
        <v>150</v>
      </c>
      <c r="BB182" s="54" t="s">
        <v>150</v>
      </c>
      <c r="BC182" s="54" t="s">
        <v>150</v>
      </c>
      <c r="BD182" s="54" t="s">
        <v>150</v>
      </c>
      <c r="BE182" s="54" t="s">
        <v>150</v>
      </c>
      <c r="BF182" s="54" t="s">
        <v>150</v>
      </c>
    </row>
    <row r="183" spans="2:58" s="37" customFormat="1" ht="12.75" customHeight="1" x14ac:dyDescent="0.45">
      <c r="B183" s="57" t="s">
        <v>153</v>
      </c>
      <c r="C183" s="59" t="s">
        <v>150</v>
      </c>
      <c r="D183" s="59" t="s">
        <v>150</v>
      </c>
      <c r="E183" s="59" t="s">
        <v>150</v>
      </c>
      <c r="F183" s="59" t="s">
        <v>150</v>
      </c>
      <c r="G183" s="59" t="s">
        <v>150</v>
      </c>
      <c r="H183" s="59" t="s">
        <v>150</v>
      </c>
      <c r="J183" s="38"/>
      <c r="L183" s="57" t="s">
        <v>153</v>
      </c>
      <c r="M183" s="59" t="s">
        <v>150</v>
      </c>
      <c r="N183" s="59" t="s">
        <v>150</v>
      </c>
      <c r="O183" s="59" t="s">
        <v>150</v>
      </c>
      <c r="P183" s="59" t="s">
        <v>150</v>
      </c>
      <c r="Q183" s="59" t="s">
        <v>150</v>
      </c>
      <c r="R183" s="59" t="s">
        <v>150</v>
      </c>
      <c r="S183" s="55"/>
      <c r="T183" s="56"/>
      <c r="U183" s="41"/>
      <c r="V183" s="57" t="str">
        <f t="shared" si="152"/>
        <v>FICO 640-659</v>
      </c>
      <c r="W183" s="59" t="s">
        <v>150</v>
      </c>
      <c r="X183" s="59" t="s">
        <v>150</v>
      </c>
      <c r="Y183" s="59" t="s">
        <v>150</v>
      </c>
      <c r="Z183" s="59" t="s">
        <v>150</v>
      </c>
      <c r="AA183" s="59" t="s">
        <v>150</v>
      </c>
      <c r="AB183" s="59" t="s">
        <v>150</v>
      </c>
      <c r="AD183" s="38"/>
      <c r="AF183" s="57" t="str">
        <f t="shared" si="153"/>
        <v>FICO 640-659</v>
      </c>
      <c r="AG183" s="59" t="s">
        <v>150</v>
      </c>
      <c r="AH183" s="59" t="s">
        <v>150</v>
      </c>
      <c r="AI183" s="59" t="s">
        <v>150</v>
      </c>
      <c r="AJ183" s="59" t="s">
        <v>150</v>
      </c>
      <c r="AK183" s="59" t="s">
        <v>150</v>
      </c>
      <c r="AL183" s="59" t="s">
        <v>150</v>
      </c>
      <c r="AM183" s="55"/>
      <c r="AN183" s="56"/>
      <c r="AO183" s="41"/>
      <c r="AP183" s="57" t="str">
        <f t="shared" si="154"/>
        <v>FICO 640-659</v>
      </c>
      <c r="AQ183" s="59" t="s">
        <v>150</v>
      </c>
      <c r="AR183" s="59" t="s">
        <v>150</v>
      </c>
      <c r="AS183" s="59" t="s">
        <v>150</v>
      </c>
      <c r="AT183" s="59" t="s">
        <v>150</v>
      </c>
      <c r="AU183" s="59" t="s">
        <v>150</v>
      </c>
      <c r="AV183" s="59" t="s">
        <v>150</v>
      </c>
      <c r="AX183" s="38"/>
      <c r="AZ183" s="57" t="str">
        <f t="shared" si="155"/>
        <v>FICO 640-659</v>
      </c>
      <c r="BA183" s="59" t="s">
        <v>150</v>
      </c>
      <c r="BB183" s="59" t="s">
        <v>150</v>
      </c>
      <c r="BC183" s="59" t="s">
        <v>150</v>
      </c>
      <c r="BD183" s="59" t="s">
        <v>150</v>
      </c>
      <c r="BE183" s="59" t="s">
        <v>150</v>
      </c>
      <c r="BF183" s="59" t="s">
        <v>150</v>
      </c>
    </row>
    <row r="184" spans="2:58" s="37" customFormat="1" ht="12.75" customHeight="1" x14ac:dyDescent="0.45">
      <c r="B184" s="60" t="s">
        <v>155</v>
      </c>
      <c r="C184" s="61">
        <v>8.2500000000000004E-2</v>
      </c>
      <c r="D184" s="48">
        <f>C184+0.125%</f>
        <v>8.3750000000000005E-2</v>
      </c>
      <c r="E184" s="48">
        <f>D184+0.125%</f>
        <v>8.5000000000000006E-2</v>
      </c>
      <c r="F184" s="48">
        <f>E184+0.125%</f>
        <v>8.6250000000000007E-2</v>
      </c>
      <c r="G184" s="48">
        <f>F184+0.125%</f>
        <v>8.7500000000000008E-2</v>
      </c>
      <c r="H184" s="48">
        <f>G184</f>
        <v>8.7500000000000008E-2</v>
      </c>
      <c r="J184" s="38"/>
      <c r="L184" s="60" t="s">
        <v>155</v>
      </c>
      <c r="M184" s="61">
        <v>0.105</v>
      </c>
      <c r="N184" s="48">
        <f>M184+0.25%</f>
        <v>0.1075</v>
      </c>
      <c r="O184" s="48">
        <f>N184+0.25%</f>
        <v>0.11</v>
      </c>
      <c r="P184" s="49" t="s">
        <v>150</v>
      </c>
      <c r="Q184" s="49" t="s">
        <v>150</v>
      </c>
      <c r="R184" s="49" t="s">
        <v>150</v>
      </c>
      <c r="S184" s="50"/>
      <c r="T184" s="51"/>
      <c r="U184" s="41"/>
      <c r="V184" s="60" t="str">
        <f t="shared" si="152"/>
        <v>&lt;64.99%</v>
      </c>
      <c r="W184" s="62">
        <f>C184+0.125%</f>
        <v>8.3750000000000005E-2</v>
      </c>
      <c r="X184" s="48">
        <f>W184+0.125%</f>
        <v>8.5000000000000006E-2</v>
      </c>
      <c r="Y184" s="48">
        <f>X184+0.125%</f>
        <v>8.6250000000000007E-2</v>
      </c>
      <c r="Z184" s="48">
        <f>Y184+0.125%</f>
        <v>8.7500000000000008E-2</v>
      </c>
      <c r="AA184" s="48">
        <f>Z184+0.125%</f>
        <v>8.8750000000000009E-2</v>
      </c>
      <c r="AB184" s="48">
        <f>AA184</f>
        <v>8.8750000000000009E-2</v>
      </c>
      <c r="AD184" s="38"/>
      <c r="AF184" s="60" t="str">
        <f t="shared" si="153"/>
        <v>&lt;64.99%</v>
      </c>
      <c r="AG184" s="62">
        <f>M184+0.125%</f>
        <v>0.10625</v>
      </c>
      <c r="AH184" s="48">
        <f>AG184+0.25%</f>
        <v>0.10875</v>
      </c>
      <c r="AI184" s="48">
        <f>AH184+0.25%</f>
        <v>0.11125</v>
      </c>
      <c r="AJ184" s="49" t="s">
        <v>150</v>
      </c>
      <c r="AK184" s="49" t="s">
        <v>150</v>
      </c>
      <c r="AL184" s="49" t="s">
        <v>150</v>
      </c>
      <c r="AM184" s="50"/>
      <c r="AN184" s="51"/>
      <c r="AO184" s="41"/>
      <c r="AP184" s="60" t="str">
        <f t="shared" si="154"/>
        <v>&lt;64.99%</v>
      </c>
      <c r="AQ184" s="62">
        <f>W184+0.125%</f>
        <v>8.5000000000000006E-2</v>
      </c>
      <c r="AR184" s="48">
        <f>AQ184+0.125%</f>
        <v>8.6250000000000007E-2</v>
      </c>
      <c r="AS184" s="48">
        <f>AR184+0.125%</f>
        <v>8.7500000000000008E-2</v>
      </c>
      <c r="AT184" s="48">
        <f>AS184+0.125%</f>
        <v>8.8750000000000009E-2</v>
      </c>
      <c r="AU184" s="48">
        <f>AT184+0.125%</f>
        <v>9.0000000000000011E-2</v>
      </c>
      <c r="AV184" s="48">
        <f>AU184</f>
        <v>9.0000000000000011E-2</v>
      </c>
      <c r="AX184" s="38"/>
      <c r="AZ184" s="60" t="str">
        <f t="shared" si="155"/>
        <v>&lt;64.99%</v>
      </c>
      <c r="BA184" s="49" t="s">
        <v>150</v>
      </c>
      <c r="BB184" s="49" t="s">
        <v>150</v>
      </c>
      <c r="BC184" s="49" t="s">
        <v>150</v>
      </c>
      <c r="BD184" s="49" t="s">
        <v>150</v>
      </c>
      <c r="BE184" s="49" t="s">
        <v>150</v>
      </c>
      <c r="BF184" s="49" t="s">
        <v>150</v>
      </c>
    </row>
    <row r="185" spans="2:58" s="37" customFormat="1" ht="12.75" customHeight="1" x14ac:dyDescent="0.45">
      <c r="B185" s="52" t="s">
        <v>151</v>
      </c>
      <c r="C185" s="53">
        <f t="shared" ref="C185:H185" si="162">C184+0</f>
        <v>8.2500000000000004E-2</v>
      </c>
      <c r="D185" s="53">
        <f t="shared" si="162"/>
        <v>8.3750000000000005E-2</v>
      </c>
      <c r="E185" s="53">
        <f t="shared" si="162"/>
        <v>8.5000000000000006E-2</v>
      </c>
      <c r="F185" s="53">
        <f t="shared" si="162"/>
        <v>8.6250000000000007E-2</v>
      </c>
      <c r="G185" s="53">
        <f t="shared" si="162"/>
        <v>8.7500000000000008E-2</v>
      </c>
      <c r="H185" s="53">
        <f t="shared" si="162"/>
        <v>8.7500000000000008E-2</v>
      </c>
      <c r="J185" s="38"/>
      <c r="L185" s="52" t="s">
        <v>151</v>
      </c>
      <c r="M185" s="53">
        <f>M184+0</f>
        <v>0.105</v>
      </c>
      <c r="N185" s="53">
        <f>N184+0</f>
        <v>0.1075</v>
      </c>
      <c r="O185" s="53">
        <f>O184+0</f>
        <v>0.11</v>
      </c>
      <c r="P185" s="54" t="s">
        <v>150</v>
      </c>
      <c r="Q185" s="54" t="s">
        <v>150</v>
      </c>
      <c r="R185" s="54" t="s">
        <v>150</v>
      </c>
      <c r="S185" s="55"/>
      <c r="T185" s="56"/>
      <c r="U185" s="41"/>
      <c r="V185" s="52" t="str">
        <f t="shared" si="152"/>
        <v>FICO 700+</v>
      </c>
      <c r="W185" s="53">
        <f t="shared" ref="W185:AB185" si="163">W184+0</f>
        <v>8.3750000000000005E-2</v>
      </c>
      <c r="X185" s="53">
        <f t="shared" si="163"/>
        <v>8.5000000000000006E-2</v>
      </c>
      <c r="Y185" s="53">
        <f t="shared" si="163"/>
        <v>8.6250000000000007E-2</v>
      </c>
      <c r="Z185" s="53">
        <f t="shared" si="163"/>
        <v>8.7500000000000008E-2</v>
      </c>
      <c r="AA185" s="53">
        <f t="shared" si="163"/>
        <v>8.8750000000000009E-2</v>
      </c>
      <c r="AB185" s="53">
        <f t="shared" si="163"/>
        <v>8.8750000000000009E-2</v>
      </c>
      <c r="AD185" s="38"/>
      <c r="AF185" s="52" t="str">
        <f t="shared" si="153"/>
        <v>FICO 700+</v>
      </c>
      <c r="AG185" s="53">
        <f>AG184+0</f>
        <v>0.10625</v>
      </c>
      <c r="AH185" s="53">
        <f>AH184+0</f>
        <v>0.10875</v>
      </c>
      <c r="AI185" s="53">
        <f>AI184+0</f>
        <v>0.11125</v>
      </c>
      <c r="AJ185" s="54" t="s">
        <v>150</v>
      </c>
      <c r="AK185" s="54" t="s">
        <v>150</v>
      </c>
      <c r="AL185" s="54" t="s">
        <v>150</v>
      </c>
      <c r="AM185" s="55"/>
      <c r="AN185" s="56"/>
      <c r="AO185" s="41"/>
      <c r="AP185" s="52" t="str">
        <f t="shared" si="154"/>
        <v>FICO 700+</v>
      </c>
      <c r="AQ185" s="53">
        <f t="shared" ref="AQ185:AV185" si="164">AQ184+0</f>
        <v>8.5000000000000006E-2</v>
      </c>
      <c r="AR185" s="53">
        <f t="shared" si="164"/>
        <v>8.6250000000000007E-2</v>
      </c>
      <c r="AS185" s="53">
        <f t="shared" si="164"/>
        <v>8.7500000000000008E-2</v>
      </c>
      <c r="AT185" s="53">
        <f t="shared" si="164"/>
        <v>8.8750000000000009E-2</v>
      </c>
      <c r="AU185" s="53">
        <f t="shared" si="164"/>
        <v>9.0000000000000011E-2</v>
      </c>
      <c r="AV185" s="53">
        <f t="shared" si="164"/>
        <v>9.0000000000000011E-2</v>
      </c>
      <c r="AX185" s="38"/>
      <c r="AZ185" s="52" t="str">
        <f t="shared" si="155"/>
        <v>FICO 700+</v>
      </c>
      <c r="BA185" s="54" t="s">
        <v>150</v>
      </c>
      <c r="BB185" s="54" t="s">
        <v>150</v>
      </c>
      <c r="BC185" s="54" t="s">
        <v>150</v>
      </c>
      <c r="BD185" s="54" t="s">
        <v>150</v>
      </c>
      <c r="BE185" s="54" t="s">
        <v>150</v>
      </c>
      <c r="BF185" s="54" t="s">
        <v>150</v>
      </c>
    </row>
    <row r="186" spans="2:58" s="37" customFormat="1" ht="12.75" customHeight="1" x14ac:dyDescent="0.45">
      <c r="B186" s="52" t="s">
        <v>152</v>
      </c>
      <c r="C186" s="53">
        <f t="shared" ref="C186:H186" si="165">C184+0.5%</f>
        <v>8.7500000000000008E-2</v>
      </c>
      <c r="D186" s="53">
        <f t="shared" si="165"/>
        <v>8.8750000000000009E-2</v>
      </c>
      <c r="E186" s="53">
        <f t="shared" si="165"/>
        <v>9.0000000000000011E-2</v>
      </c>
      <c r="F186" s="53">
        <f t="shared" si="165"/>
        <v>9.1250000000000012E-2</v>
      </c>
      <c r="G186" s="53">
        <f t="shared" si="165"/>
        <v>9.2500000000000013E-2</v>
      </c>
      <c r="H186" s="53">
        <f t="shared" si="165"/>
        <v>9.2500000000000013E-2</v>
      </c>
      <c r="J186" s="38"/>
      <c r="L186" s="52" t="s">
        <v>152</v>
      </c>
      <c r="M186" s="53">
        <f>M184+0.25%</f>
        <v>0.1075</v>
      </c>
      <c r="N186" s="53">
        <f>N184+0.25%</f>
        <v>0.11</v>
      </c>
      <c r="O186" s="53">
        <f>O184+0.25%</f>
        <v>0.1125</v>
      </c>
      <c r="P186" s="54" t="s">
        <v>150</v>
      </c>
      <c r="Q186" s="54" t="s">
        <v>150</v>
      </c>
      <c r="R186" s="54" t="s">
        <v>150</v>
      </c>
      <c r="S186" s="55"/>
      <c r="T186" s="56"/>
      <c r="U186" s="41"/>
      <c r="V186" s="52" t="str">
        <f t="shared" si="152"/>
        <v>FICO 660-699</v>
      </c>
      <c r="W186" s="53">
        <f t="shared" ref="W186:AB186" si="166">W184+0.5%</f>
        <v>8.8750000000000009E-2</v>
      </c>
      <c r="X186" s="53">
        <f t="shared" si="166"/>
        <v>9.0000000000000011E-2</v>
      </c>
      <c r="Y186" s="53">
        <f t="shared" si="166"/>
        <v>9.1250000000000012E-2</v>
      </c>
      <c r="Z186" s="53">
        <f t="shared" si="166"/>
        <v>9.2500000000000013E-2</v>
      </c>
      <c r="AA186" s="53">
        <f t="shared" si="166"/>
        <v>9.3750000000000014E-2</v>
      </c>
      <c r="AB186" s="53">
        <f t="shared" si="166"/>
        <v>9.3750000000000014E-2</v>
      </c>
      <c r="AD186" s="38"/>
      <c r="AF186" s="52" t="str">
        <f t="shared" si="153"/>
        <v>FICO 660-699</v>
      </c>
      <c r="AG186" s="53">
        <f>AG184+0.5%</f>
        <v>0.11125</v>
      </c>
      <c r="AH186" s="53">
        <f>AH184+0.5%</f>
        <v>0.11375</v>
      </c>
      <c r="AI186" s="53">
        <f>AI184+0.5%</f>
        <v>0.11625000000000001</v>
      </c>
      <c r="AJ186" s="54" t="s">
        <v>150</v>
      </c>
      <c r="AK186" s="54" t="s">
        <v>150</v>
      </c>
      <c r="AL186" s="54" t="s">
        <v>150</v>
      </c>
      <c r="AM186" s="55"/>
      <c r="AN186" s="56"/>
      <c r="AO186" s="41"/>
      <c r="AP186" s="52" t="str">
        <f t="shared" si="154"/>
        <v>FICO 660-699</v>
      </c>
      <c r="AQ186" s="53">
        <f t="shared" ref="AQ186:AV186" si="167">AQ184+0.5%</f>
        <v>9.0000000000000011E-2</v>
      </c>
      <c r="AR186" s="53">
        <f t="shared" si="167"/>
        <v>9.1250000000000012E-2</v>
      </c>
      <c r="AS186" s="53">
        <f t="shared" si="167"/>
        <v>9.2500000000000013E-2</v>
      </c>
      <c r="AT186" s="53">
        <f t="shared" si="167"/>
        <v>9.3750000000000014E-2</v>
      </c>
      <c r="AU186" s="53">
        <f t="shared" si="167"/>
        <v>9.5000000000000015E-2</v>
      </c>
      <c r="AV186" s="53">
        <f t="shared" si="167"/>
        <v>9.5000000000000015E-2</v>
      </c>
      <c r="AX186" s="38"/>
      <c r="AZ186" s="52" t="str">
        <f t="shared" si="155"/>
        <v>FICO 660-699</v>
      </c>
      <c r="BA186" s="54" t="s">
        <v>150</v>
      </c>
      <c r="BB186" s="54" t="s">
        <v>150</v>
      </c>
      <c r="BC186" s="54" t="s">
        <v>150</v>
      </c>
      <c r="BD186" s="54" t="s">
        <v>150</v>
      </c>
      <c r="BE186" s="54" t="s">
        <v>150</v>
      </c>
      <c r="BF186" s="54" t="s">
        <v>150</v>
      </c>
    </row>
    <row r="187" spans="2:58" s="37" customFormat="1" ht="12.75" customHeight="1" x14ac:dyDescent="0.45">
      <c r="B187" s="52" t="s">
        <v>153</v>
      </c>
      <c r="C187" s="54" t="s">
        <v>150</v>
      </c>
      <c r="D187" s="54" t="s">
        <v>150</v>
      </c>
      <c r="E187" s="54" t="s">
        <v>150</v>
      </c>
      <c r="F187" s="54" t="s">
        <v>150</v>
      </c>
      <c r="G187" s="54" t="s">
        <v>150</v>
      </c>
      <c r="H187" s="54" t="s">
        <v>150</v>
      </c>
      <c r="J187" s="38"/>
      <c r="L187" s="52" t="s">
        <v>153</v>
      </c>
      <c r="M187" s="54" t="s">
        <v>150</v>
      </c>
      <c r="N187" s="54" t="s">
        <v>150</v>
      </c>
      <c r="O187" s="54" t="s">
        <v>150</v>
      </c>
      <c r="P187" s="54" t="s">
        <v>150</v>
      </c>
      <c r="Q187" s="54" t="s">
        <v>150</v>
      </c>
      <c r="R187" s="54" t="s">
        <v>150</v>
      </c>
      <c r="S187" s="55"/>
      <c r="T187" s="56"/>
      <c r="U187" s="41"/>
      <c r="V187" s="52" t="str">
        <f t="shared" si="152"/>
        <v>FICO 640-659</v>
      </c>
      <c r="W187" s="54" t="s">
        <v>150</v>
      </c>
      <c r="X187" s="54" t="s">
        <v>150</v>
      </c>
      <c r="Y187" s="54" t="s">
        <v>150</v>
      </c>
      <c r="Z187" s="54" t="s">
        <v>150</v>
      </c>
      <c r="AA187" s="54" t="s">
        <v>150</v>
      </c>
      <c r="AB187" s="54" t="s">
        <v>150</v>
      </c>
      <c r="AD187" s="38"/>
      <c r="AF187" s="52" t="str">
        <f t="shared" si="153"/>
        <v>FICO 640-659</v>
      </c>
      <c r="AG187" s="54" t="s">
        <v>150</v>
      </c>
      <c r="AH187" s="54" t="s">
        <v>150</v>
      </c>
      <c r="AI187" s="54" t="s">
        <v>150</v>
      </c>
      <c r="AJ187" s="54" t="s">
        <v>150</v>
      </c>
      <c r="AK187" s="54" t="s">
        <v>150</v>
      </c>
      <c r="AL187" s="54" t="s">
        <v>150</v>
      </c>
      <c r="AM187" s="55"/>
      <c r="AN187" s="56"/>
      <c r="AO187" s="41"/>
      <c r="AP187" s="52" t="str">
        <f t="shared" si="154"/>
        <v>FICO 640-659</v>
      </c>
      <c r="AQ187" s="54" t="s">
        <v>150</v>
      </c>
      <c r="AR187" s="54" t="s">
        <v>150</v>
      </c>
      <c r="AS187" s="54" t="s">
        <v>150</v>
      </c>
      <c r="AT187" s="54" t="s">
        <v>150</v>
      </c>
      <c r="AU187" s="54" t="s">
        <v>150</v>
      </c>
      <c r="AV187" s="54" t="s">
        <v>150</v>
      </c>
      <c r="AX187" s="38"/>
      <c r="AZ187" s="52" t="str">
        <f t="shared" si="155"/>
        <v>FICO 640-659</v>
      </c>
      <c r="BA187" s="54" t="s">
        <v>150</v>
      </c>
      <c r="BB187" s="54" t="s">
        <v>150</v>
      </c>
      <c r="BC187" s="54" t="s">
        <v>150</v>
      </c>
      <c r="BD187" s="54" t="s">
        <v>150</v>
      </c>
      <c r="BE187" s="54" t="s">
        <v>150</v>
      </c>
      <c r="BF187" s="54" t="s">
        <v>150</v>
      </c>
    </row>
    <row r="188" spans="2:58" s="37" customFormat="1" ht="12.75" customHeight="1" x14ac:dyDescent="0.45">
      <c r="C188" s="63"/>
      <c r="D188" s="63"/>
      <c r="E188" s="63"/>
      <c r="F188" s="63"/>
      <c r="G188" s="63"/>
      <c r="H188" s="63"/>
      <c r="J188" s="38"/>
      <c r="M188" s="63"/>
      <c r="N188" s="63"/>
      <c r="O188" s="63"/>
      <c r="P188" s="63"/>
      <c r="Q188" s="63"/>
      <c r="R188" s="63"/>
      <c r="S188" s="55"/>
      <c r="T188" s="56"/>
      <c r="U188" s="41"/>
      <c r="W188" s="63"/>
      <c r="X188" s="63"/>
      <c r="Y188" s="63"/>
      <c r="Z188" s="63"/>
      <c r="AA188" s="63"/>
      <c r="AB188" s="63"/>
      <c r="AD188" s="38"/>
      <c r="AG188" s="63"/>
      <c r="AH188" s="63"/>
      <c r="AI188" s="63"/>
      <c r="AJ188" s="63"/>
      <c r="AK188" s="63"/>
      <c r="AL188" s="63"/>
      <c r="AM188" s="55"/>
      <c r="AN188" s="56"/>
      <c r="AO188" s="41"/>
      <c r="AQ188" s="63"/>
      <c r="AR188" s="63"/>
      <c r="AS188" s="63"/>
      <c r="AT188" s="63"/>
      <c r="AU188" s="63"/>
      <c r="AV188" s="63"/>
      <c r="AX188" s="38"/>
      <c r="BA188" s="63"/>
      <c r="BB188" s="63"/>
      <c r="BC188" s="63"/>
      <c r="BD188" s="63"/>
      <c r="BE188" s="63"/>
      <c r="BF188" s="63"/>
    </row>
    <row r="189" spans="2:58" s="37" customFormat="1" ht="15.75" customHeight="1" x14ac:dyDescent="0.45">
      <c r="B189" s="94" t="s">
        <v>167</v>
      </c>
      <c r="C189" s="94"/>
      <c r="D189" s="94"/>
      <c r="E189" s="94"/>
      <c r="F189" s="94"/>
      <c r="G189" s="94"/>
      <c r="H189" s="94"/>
      <c r="J189" s="38"/>
      <c r="L189" s="94" t="s">
        <v>167</v>
      </c>
      <c r="M189" s="94"/>
      <c r="N189" s="94"/>
      <c r="O189" s="94"/>
      <c r="P189" s="94"/>
      <c r="Q189" s="94"/>
      <c r="R189" s="94"/>
      <c r="S189" s="39"/>
      <c r="T189" s="40"/>
      <c r="U189" s="41"/>
      <c r="V189" s="94" t="s">
        <v>167</v>
      </c>
      <c r="W189" s="94"/>
      <c r="X189" s="94"/>
      <c r="Y189" s="94"/>
      <c r="Z189" s="94"/>
      <c r="AA189" s="94"/>
      <c r="AB189" s="94"/>
      <c r="AD189" s="38"/>
      <c r="AF189" s="94" t="s">
        <v>167</v>
      </c>
      <c r="AG189" s="94"/>
      <c r="AH189" s="94"/>
      <c r="AI189" s="94"/>
      <c r="AJ189" s="94"/>
      <c r="AK189" s="94"/>
      <c r="AL189" s="94"/>
      <c r="AM189" s="39"/>
      <c r="AN189" s="40"/>
      <c r="AO189" s="41"/>
      <c r="AP189" s="94" t="s">
        <v>167</v>
      </c>
      <c r="AQ189" s="94"/>
      <c r="AR189" s="94"/>
      <c r="AS189" s="94"/>
      <c r="AT189" s="94"/>
      <c r="AU189" s="94"/>
      <c r="AV189" s="94"/>
      <c r="AX189" s="38"/>
      <c r="AZ189" s="94" t="s">
        <v>167</v>
      </c>
      <c r="BA189" s="94"/>
      <c r="BB189" s="94"/>
      <c r="BC189" s="94"/>
      <c r="BD189" s="94"/>
      <c r="BE189" s="94"/>
      <c r="BF189" s="94"/>
    </row>
    <row r="190" spans="2:58" s="37" customFormat="1" ht="12.75" customHeight="1" x14ac:dyDescent="0.45">
      <c r="B190" s="42"/>
      <c r="C190" s="95" t="s">
        <v>50</v>
      </c>
      <c r="D190" s="95"/>
      <c r="E190" s="95"/>
      <c r="F190" s="95"/>
      <c r="G190" s="95"/>
      <c r="H190" s="95"/>
      <c r="J190" s="38"/>
      <c r="L190" s="42"/>
      <c r="M190" s="95" t="s">
        <v>50</v>
      </c>
      <c r="N190" s="95"/>
      <c r="O190" s="95"/>
      <c r="P190" s="95"/>
      <c r="Q190" s="95"/>
      <c r="R190" s="95"/>
      <c r="S190" s="41"/>
      <c r="T190" s="43"/>
      <c r="U190" s="41"/>
      <c r="V190" s="42"/>
      <c r="W190" s="95" t="str">
        <f>C190</f>
        <v>LTC</v>
      </c>
      <c r="X190" s="95"/>
      <c r="Y190" s="95"/>
      <c r="Z190" s="95"/>
      <c r="AA190" s="95"/>
      <c r="AB190" s="95"/>
      <c r="AD190" s="38"/>
      <c r="AF190" s="42"/>
      <c r="AG190" s="95" t="str">
        <f>W190</f>
        <v>LTC</v>
      </c>
      <c r="AH190" s="95"/>
      <c r="AI190" s="95"/>
      <c r="AJ190" s="95"/>
      <c r="AK190" s="95"/>
      <c r="AL190" s="95"/>
      <c r="AM190" s="41"/>
      <c r="AN190" s="43"/>
      <c r="AO190" s="41"/>
      <c r="AP190" s="42"/>
      <c r="AQ190" s="95" t="str">
        <f>C190</f>
        <v>LTC</v>
      </c>
      <c r="AR190" s="95"/>
      <c r="AS190" s="95"/>
      <c r="AT190" s="95"/>
      <c r="AU190" s="95"/>
      <c r="AV190" s="95"/>
      <c r="AX190" s="38"/>
      <c r="AZ190" s="42"/>
      <c r="BA190" s="95" t="str">
        <f>C190</f>
        <v>LTC</v>
      </c>
      <c r="BB190" s="95"/>
      <c r="BC190" s="95"/>
      <c r="BD190" s="95"/>
      <c r="BE190" s="95"/>
      <c r="BF190" s="95"/>
    </row>
    <row r="191" spans="2:58" s="37" customFormat="1" ht="12.75" customHeight="1" x14ac:dyDescent="0.45">
      <c r="B191" s="44" t="s">
        <v>52</v>
      </c>
      <c r="C191" s="45" t="s">
        <v>143</v>
      </c>
      <c r="D191" s="45" t="s">
        <v>144</v>
      </c>
      <c r="E191" s="45" t="s">
        <v>145</v>
      </c>
      <c r="F191" s="45" t="s">
        <v>146</v>
      </c>
      <c r="G191" s="45" t="s">
        <v>147</v>
      </c>
      <c r="H191" s="45" t="s">
        <v>148</v>
      </c>
      <c r="J191" s="38"/>
      <c r="L191" s="44" t="s">
        <v>52</v>
      </c>
      <c r="M191" s="45" t="s">
        <v>143</v>
      </c>
      <c r="N191" s="45" t="s">
        <v>144</v>
      </c>
      <c r="O191" s="45" t="s">
        <v>145</v>
      </c>
      <c r="P191" s="45" t="s">
        <v>146</v>
      </c>
      <c r="Q191" s="45" t="s">
        <v>147</v>
      </c>
      <c r="R191" s="45" t="s">
        <v>148</v>
      </c>
      <c r="S191" s="41"/>
      <c r="T191" s="43"/>
      <c r="U191" s="41"/>
      <c r="V191" s="44" t="str">
        <f t="shared" ref="V191:V203" si="168">B191</f>
        <v>AR-LTV</v>
      </c>
      <c r="W191" s="45" t="str">
        <f>C191</f>
        <v>&lt;74.99%</v>
      </c>
      <c r="X191" s="45" t="str">
        <f>D191</f>
        <v>75.00%-80.00%</v>
      </c>
      <c r="Y191" s="45" t="str">
        <f>E191</f>
        <v>80.01%-85.00%</v>
      </c>
      <c r="Z191" s="45" t="str">
        <f>F191</f>
        <v>85.01%-87.50%</v>
      </c>
      <c r="AA191" s="45" t="str">
        <f>G191</f>
        <v>87.51%-89.99%</v>
      </c>
      <c r="AB191" s="45" t="str">
        <f>H191</f>
        <v>90.00%-92.50%</v>
      </c>
      <c r="AD191" s="38"/>
      <c r="AF191" s="44" t="str">
        <f t="shared" ref="AF191:AF203" si="169">V191</f>
        <v>AR-LTV</v>
      </c>
      <c r="AG191" s="45" t="str">
        <f>W191</f>
        <v>&lt;74.99%</v>
      </c>
      <c r="AH191" s="45" t="str">
        <f>X191</f>
        <v>75.00%-80.00%</v>
      </c>
      <c r="AI191" s="45" t="str">
        <f>Y191</f>
        <v>80.01%-85.00%</v>
      </c>
      <c r="AJ191" s="45" t="str">
        <f>Z191</f>
        <v>85.01%-87.50%</v>
      </c>
      <c r="AK191" s="45" t="str">
        <f>AA191</f>
        <v>87.51%-89.99%</v>
      </c>
      <c r="AL191" s="45" t="str">
        <f>AB191</f>
        <v>90.00%-92.50%</v>
      </c>
      <c r="AM191" s="41"/>
      <c r="AN191" s="43"/>
      <c r="AO191" s="41"/>
      <c r="AP191" s="44" t="str">
        <f t="shared" ref="AP191:AP203" si="170">B191</f>
        <v>AR-LTV</v>
      </c>
      <c r="AQ191" s="45" t="str">
        <f>C191</f>
        <v>&lt;74.99%</v>
      </c>
      <c r="AR191" s="45" t="str">
        <f>D191</f>
        <v>75.00%-80.00%</v>
      </c>
      <c r="AS191" s="45" t="str">
        <f>E191</f>
        <v>80.01%-85.00%</v>
      </c>
      <c r="AT191" s="45" t="str">
        <f>F191</f>
        <v>85.01%-87.50%</v>
      </c>
      <c r="AU191" s="45" t="str">
        <f>G191</f>
        <v>87.51%-89.99%</v>
      </c>
      <c r="AV191" s="45" t="str">
        <f>H191</f>
        <v>90.00%-92.50%</v>
      </c>
      <c r="AX191" s="38"/>
      <c r="AZ191" s="44" t="str">
        <f t="shared" ref="AZ191:AZ203" si="171">B191</f>
        <v>AR-LTV</v>
      </c>
      <c r="BA191" s="45" t="str">
        <f>C191</f>
        <v>&lt;74.99%</v>
      </c>
      <c r="BB191" s="45" t="str">
        <f>D191</f>
        <v>75.00%-80.00%</v>
      </c>
      <c r="BC191" s="45" t="str">
        <f>E191</f>
        <v>80.01%-85.00%</v>
      </c>
      <c r="BD191" s="45" t="str">
        <f>F191</f>
        <v>85.01%-87.50%</v>
      </c>
      <c r="BE191" s="45" t="str">
        <f>G191</f>
        <v>87.51%-89.99%</v>
      </c>
      <c r="BF191" s="45" t="str">
        <f>H191</f>
        <v>90.00%-92.50%</v>
      </c>
    </row>
    <row r="192" spans="2:58" s="37" customFormat="1" ht="12.75" customHeight="1" x14ac:dyDescent="0.45">
      <c r="B192" s="46" t="s">
        <v>149</v>
      </c>
      <c r="C192" s="49" t="s">
        <v>150</v>
      </c>
      <c r="D192" s="49" t="s">
        <v>150</v>
      </c>
      <c r="E192" s="49" t="s">
        <v>150</v>
      </c>
      <c r="F192" s="49" t="s">
        <v>150</v>
      </c>
      <c r="G192" s="49" t="s">
        <v>150</v>
      </c>
      <c r="H192" s="49" t="s">
        <v>150</v>
      </c>
      <c r="J192" s="38"/>
      <c r="L192" s="46" t="s">
        <v>149</v>
      </c>
      <c r="M192" s="49" t="s">
        <v>150</v>
      </c>
      <c r="N192" s="49" t="s">
        <v>150</v>
      </c>
      <c r="O192" s="49" t="s">
        <v>150</v>
      </c>
      <c r="P192" s="49" t="s">
        <v>150</v>
      </c>
      <c r="Q192" s="49" t="s">
        <v>150</v>
      </c>
      <c r="R192" s="49" t="s">
        <v>150</v>
      </c>
      <c r="S192" s="50"/>
      <c r="T192" s="51"/>
      <c r="U192" s="41"/>
      <c r="V192" s="46" t="str">
        <f t="shared" si="168"/>
        <v>70.01%-75.00%</v>
      </c>
      <c r="W192" s="49" t="s">
        <v>150</v>
      </c>
      <c r="X192" s="49" t="s">
        <v>150</v>
      </c>
      <c r="Y192" s="49" t="s">
        <v>150</v>
      </c>
      <c r="Z192" s="49" t="s">
        <v>150</v>
      </c>
      <c r="AA192" s="49" t="s">
        <v>150</v>
      </c>
      <c r="AB192" s="49" t="s">
        <v>150</v>
      </c>
      <c r="AD192" s="38"/>
      <c r="AF192" s="46" t="str">
        <f t="shared" si="169"/>
        <v>70.01%-75.00%</v>
      </c>
      <c r="AG192" s="49" t="s">
        <v>150</v>
      </c>
      <c r="AH192" s="49" t="s">
        <v>150</v>
      </c>
      <c r="AI192" s="49" t="s">
        <v>150</v>
      </c>
      <c r="AJ192" s="49" t="s">
        <v>150</v>
      </c>
      <c r="AK192" s="49" t="s">
        <v>150</v>
      </c>
      <c r="AL192" s="49" t="s">
        <v>150</v>
      </c>
      <c r="AM192" s="50"/>
      <c r="AN192" s="51"/>
      <c r="AO192" s="41"/>
      <c r="AP192" s="46" t="str">
        <f t="shared" si="170"/>
        <v>70.01%-75.00%</v>
      </c>
      <c r="AQ192" s="49" t="s">
        <v>150</v>
      </c>
      <c r="AR192" s="49" t="s">
        <v>150</v>
      </c>
      <c r="AS192" s="49" t="s">
        <v>150</v>
      </c>
      <c r="AT192" s="49" t="s">
        <v>150</v>
      </c>
      <c r="AU192" s="49" t="s">
        <v>150</v>
      </c>
      <c r="AV192" s="49" t="s">
        <v>150</v>
      </c>
      <c r="AX192" s="38"/>
      <c r="AZ192" s="46" t="str">
        <f t="shared" si="171"/>
        <v>70.01%-75.00%</v>
      </c>
      <c r="BA192" s="49" t="s">
        <v>150</v>
      </c>
      <c r="BB192" s="49" t="s">
        <v>150</v>
      </c>
      <c r="BC192" s="49" t="s">
        <v>150</v>
      </c>
      <c r="BD192" s="49" t="s">
        <v>150</v>
      </c>
      <c r="BE192" s="49" t="s">
        <v>150</v>
      </c>
      <c r="BF192" s="49" t="s">
        <v>150</v>
      </c>
    </row>
    <row r="193" spans="2:58" s="37" customFormat="1" ht="12.75" customHeight="1" x14ac:dyDescent="0.45">
      <c r="B193" s="52" t="s">
        <v>151</v>
      </c>
      <c r="C193" s="54" t="s">
        <v>150</v>
      </c>
      <c r="D193" s="54" t="s">
        <v>150</v>
      </c>
      <c r="E193" s="54" t="s">
        <v>150</v>
      </c>
      <c r="F193" s="54" t="s">
        <v>150</v>
      </c>
      <c r="G193" s="54" t="s">
        <v>150</v>
      </c>
      <c r="H193" s="54" t="s">
        <v>150</v>
      </c>
      <c r="J193" s="38"/>
      <c r="L193" s="52" t="s">
        <v>151</v>
      </c>
      <c r="M193" s="54" t="s">
        <v>150</v>
      </c>
      <c r="N193" s="54" t="s">
        <v>150</v>
      </c>
      <c r="O193" s="54" t="s">
        <v>150</v>
      </c>
      <c r="P193" s="54" t="s">
        <v>150</v>
      </c>
      <c r="Q193" s="54" t="s">
        <v>150</v>
      </c>
      <c r="R193" s="54" t="s">
        <v>150</v>
      </c>
      <c r="S193" s="55"/>
      <c r="T193" s="56"/>
      <c r="U193" s="41"/>
      <c r="V193" s="52" t="str">
        <f t="shared" si="168"/>
        <v>FICO 700+</v>
      </c>
      <c r="W193" s="54" t="s">
        <v>150</v>
      </c>
      <c r="X193" s="54" t="s">
        <v>150</v>
      </c>
      <c r="Y193" s="54" t="s">
        <v>150</v>
      </c>
      <c r="Z193" s="54" t="s">
        <v>150</v>
      </c>
      <c r="AA193" s="54" t="s">
        <v>150</v>
      </c>
      <c r="AB193" s="54" t="s">
        <v>150</v>
      </c>
      <c r="AD193" s="38"/>
      <c r="AF193" s="52" t="str">
        <f t="shared" si="169"/>
        <v>FICO 700+</v>
      </c>
      <c r="AG193" s="54" t="s">
        <v>150</v>
      </c>
      <c r="AH193" s="54" t="s">
        <v>150</v>
      </c>
      <c r="AI193" s="54" t="s">
        <v>150</v>
      </c>
      <c r="AJ193" s="54" t="s">
        <v>150</v>
      </c>
      <c r="AK193" s="54" t="s">
        <v>150</v>
      </c>
      <c r="AL193" s="54" t="s">
        <v>150</v>
      </c>
      <c r="AM193" s="55"/>
      <c r="AN193" s="56"/>
      <c r="AO193" s="41"/>
      <c r="AP193" s="52" t="str">
        <f t="shared" si="170"/>
        <v>FICO 700+</v>
      </c>
      <c r="AQ193" s="54" t="s">
        <v>150</v>
      </c>
      <c r="AR193" s="54" t="s">
        <v>150</v>
      </c>
      <c r="AS193" s="54" t="s">
        <v>150</v>
      </c>
      <c r="AT193" s="54" t="s">
        <v>150</v>
      </c>
      <c r="AU193" s="54" t="s">
        <v>150</v>
      </c>
      <c r="AV193" s="54" t="s">
        <v>150</v>
      </c>
      <c r="AX193" s="38"/>
      <c r="AZ193" s="52" t="str">
        <f t="shared" si="171"/>
        <v>FICO 700+</v>
      </c>
      <c r="BA193" s="54" t="s">
        <v>150</v>
      </c>
      <c r="BB193" s="54" t="s">
        <v>150</v>
      </c>
      <c r="BC193" s="54" t="s">
        <v>150</v>
      </c>
      <c r="BD193" s="54" t="s">
        <v>150</v>
      </c>
      <c r="BE193" s="54" t="s">
        <v>150</v>
      </c>
      <c r="BF193" s="54" t="s">
        <v>150</v>
      </c>
    </row>
    <row r="194" spans="2:58" s="37" customFormat="1" ht="12.75" customHeight="1" x14ac:dyDescent="0.45">
      <c r="B194" s="52" t="s">
        <v>152</v>
      </c>
      <c r="C194" s="54" t="s">
        <v>150</v>
      </c>
      <c r="D194" s="54" t="s">
        <v>150</v>
      </c>
      <c r="E194" s="54" t="s">
        <v>150</v>
      </c>
      <c r="F194" s="54" t="s">
        <v>150</v>
      </c>
      <c r="G194" s="54" t="s">
        <v>150</v>
      </c>
      <c r="H194" s="54" t="s">
        <v>150</v>
      </c>
      <c r="J194" s="38"/>
      <c r="L194" s="52" t="s">
        <v>152</v>
      </c>
      <c r="M194" s="54" t="s">
        <v>150</v>
      </c>
      <c r="N194" s="54" t="s">
        <v>150</v>
      </c>
      <c r="O194" s="54" t="s">
        <v>150</v>
      </c>
      <c r="P194" s="54" t="s">
        <v>150</v>
      </c>
      <c r="Q194" s="54" t="s">
        <v>150</v>
      </c>
      <c r="R194" s="54" t="s">
        <v>150</v>
      </c>
      <c r="S194" s="55"/>
      <c r="T194" s="56"/>
      <c r="U194" s="41"/>
      <c r="V194" s="52" t="str">
        <f t="shared" si="168"/>
        <v>FICO 660-699</v>
      </c>
      <c r="W194" s="54" t="s">
        <v>150</v>
      </c>
      <c r="X194" s="54" t="s">
        <v>150</v>
      </c>
      <c r="Y194" s="54" t="s">
        <v>150</v>
      </c>
      <c r="Z194" s="54" t="s">
        <v>150</v>
      </c>
      <c r="AA194" s="54" t="s">
        <v>150</v>
      </c>
      <c r="AB194" s="54" t="s">
        <v>150</v>
      </c>
      <c r="AD194" s="38"/>
      <c r="AF194" s="52" t="str">
        <f t="shared" si="169"/>
        <v>FICO 660-699</v>
      </c>
      <c r="AG194" s="54" t="s">
        <v>150</v>
      </c>
      <c r="AH194" s="54" t="s">
        <v>150</v>
      </c>
      <c r="AI194" s="54" t="s">
        <v>150</v>
      </c>
      <c r="AJ194" s="54" t="s">
        <v>150</v>
      </c>
      <c r="AK194" s="54" t="s">
        <v>150</v>
      </c>
      <c r="AL194" s="54" t="s">
        <v>150</v>
      </c>
      <c r="AM194" s="55"/>
      <c r="AN194" s="56"/>
      <c r="AO194" s="41"/>
      <c r="AP194" s="52" t="str">
        <f t="shared" si="170"/>
        <v>FICO 660-699</v>
      </c>
      <c r="AQ194" s="54" t="s">
        <v>150</v>
      </c>
      <c r="AR194" s="54" t="s">
        <v>150</v>
      </c>
      <c r="AS194" s="54" t="s">
        <v>150</v>
      </c>
      <c r="AT194" s="54" t="s">
        <v>150</v>
      </c>
      <c r="AU194" s="54" t="s">
        <v>150</v>
      </c>
      <c r="AV194" s="54" t="s">
        <v>150</v>
      </c>
      <c r="AX194" s="38"/>
      <c r="AZ194" s="52" t="str">
        <f t="shared" si="171"/>
        <v>FICO 660-699</v>
      </c>
      <c r="BA194" s="54" t="s">
        <v>150</v>
      </c>
      <c r="BB194" s="54" t="s">
        <v>150</v>
      </c>
      <c r="BC194" s="54" t="s">
        <v>150</v>
      </c>
      <c r="BD194" s="54" t="s">
        <v>150</v>
      </c>
      <c r="BE194" s="54" t="s">
        <v>150</v>
      </c>
      <c r="BF194" s="54" t="s">
        <v>150</v>
      </c>
    </row>
    <row r="195" spans="2:58" s="37" customFormat="1" ht="12.75" customHeight="1" x14ac:dyDescent="0.45">
      <c r="B195" s="57" t="s">
        <v>153</v>
      </c>
      <c r="C195" s="59" t="s">
        <v>150</v>
      </c>
      <c r="D195" s="59" t="s">
        <v>150</v>
      </c>
      <c r="E195" s="59" t="s">
        <v>150</v>
      </c>
      <c r="F195" s="59" t="s">
        <v>150</v>
      </c>
      <c r="G195" s="59" t="s">
        <v>150</v>
      </c>
      <c r="H195" s="59" t="s">
        <v>150</v>
      </c>
      <c r="J195" s="38"/>
      <c r="L195" s="57" t="s">
        <v>153</v>
      </c>
      <c r="M195" s="59" t="s">
        <v>150</v>
      </c>
      <c r="N195" s="59" t="s">
        <v>150</v>
      </c>
      <c r="O195" s="59" t="s">
        <v>150</v>
      </c>
      <c r="P195" s="59" t="s">
        <v>150</v>
      </c>
      <c r="Q195" s="59" t="s">
        <v>150</v>
      </c>
      <c r="R195" s="59" t="s">
        <v>150</v>
      </c>
      <c r="S195" s="55"/>
      <c r="T195" s="56"/>
      <c r="U195" s="41"/>
      <c r="V195" s="57" t="str">
        <f t="shared" si="168"/>
        <v>FICO 640-659</v>
      </c>
      <c r="W195" s="59" t="s">
        <v>150</v>
      </c>
      <c r="X195" s="59" t="s">
        <v>150</v>
      </c>
      <c r="Y195" s="59" t="s">
        <v>150</v>
      </c>
      <c r="Z195" s="59" t="s">
        <v>150</v>
      </c>
      <c r="AA195" s="59" t="s">
        <v>150</v>
      </c>
      <c r="AB195" s="59" t="s">
        <v>150</v>
      </c>
      <c r="AD195" s="38"/>
      <c r="AF195" s="57" t="str">
        <f t="shared" si="169"/>
        <v>FICO 640-659</v>
      </c>
      <c r="AG195" s="59" t="s">
        <v>150</v>
      </c>
      <c r="AH195" s="59" t="s">
        <v>150</v>
      </c>
      <c r="AI195" s="59" t="s">
        <v>150</v>
      </c>
      <c r="AJ195" s="59" t="s">
        <v>150</v>
      </c>
      <c r="AK195" s="59" t="s">
        <v>150</v>
      </c>
      <c r="AL195" s="59" t="s">
        <v>150</v>
      </c>
      <c r="AM195" s="55"/>
      <c r="AN195" s="56"/>
      <c r="AO195" s="41"/>
      <c r="AP195" s="57" t="str">
        <f t="shared" si="170"/>
        <v>FICO 640-659</v>
      </c>
      <c r="AQ195" s="59" t="s">
        <v>150</v>
      </c>
      <c r="AR195" s="59" t="s">
        <v>150</v>
      </c>
      <c r="AS195" s="59" t="s">
        <v>150</v>
      </c>
      <c r="AT195" s="59" t="s">
        <v>150</v>
      </c>
      <c r="AU195" s="59" t="s">
        <v>150</v>
      </c>
      <c r="AV195" s="59" t="s">
        <v>150</v>
      </c>
      <c r="AX195" s="38"/>
      <c r="AZ195" s="57" t="str">
        <f t="shared" si="171"/>
        <v>FICO 640-659</v>
      </c>
      <c r="BA195" s="59" t="s">
        <v>150</v>
      </c>
      <c r="BB195" s="59" t="s">
        <v>150</v>
      </c>
      <c r="BC195" s="59" t="s">
        <v>150</v>
      </c>
      <c r="BD195" s="59" t="s">
        <v>150</v>
      </c>
      <c r="BE195" s="59" t="s">
        <v>150</v>
      </c>
      <c r="BF195" s="59" t="s">
        <v>150</v>
      </c>
    </row>
    <row r="196" spans="2:58" s="37" customFormat="1" ht="12.75" customHeight="1" x14ac:dyDescent="0.45">
      <c r="B196" s="60" t="s">
        <v>154</v>
      </c>
      <c r="C196" s="48">
        <f>C200+0.25%</f>
        <v>8.6000000000000007E-2</v>
      </c>
      <c r="D196" s="48">
        <f>C196+0.125%</f>
        <v>8.7250000000000008E-2</v>
      </c>
      <c r="E196" s="48">
        <f>D196+0.125%</f>
        <v>8.8500000000000009E-2</v>
      </c>
      <c r="F196" s="48">
        <f>E196+0.125%</f>
        <v>8.975000000000001E-2</v>
      </c>
      <c r="G196" s="48">
        <f>F196+0.125%</f>
        <v>9.1000000000000011E-2</v>
      </c>
      <c r="H196" s="48">
        <f>G196</f>
        <v>9.1000000000000011E-2</v>
      </c>
      <c r="J196" s="38"/>
      <c r="L196" s="60" t="s">
        <v>154</v>
      </c>
      <c r="M196" s="48">
        <f>M200+0.25%</f>
        <v>0.1075</v>
      </c>
      <c r="N196" s="48">
        <f>M196+0.25%</f>
        <v>0.11</v>
      </c>
      <c r="O196" s="49" t="s">
        <v>150</v>
      </c>
      <c r="P196" s="49" t="s">
        <v>150</v>
      </c>
      <c r="Q196" s="49" t="s">
        <v>150</v>
      </c>
      <c r="R196" s="49" t="s">
        <v>150</v>
      </c>
      <c r="S196" s="50"/>
      <c r="T196" s="51"/>
      <c r="U196" s="41"/>
      <c r="V196" s="60" t="str">
        <f t="shared" si="168"/>
        <v>65.00%-70.00%</v>
      </c>
      <c r="W196" s="48">
        <f>W200+0.25%</f>
        <v>8.7250000000000008E-2</v>
      </c>
      <c r="X196" s="48">
        <f>W196+0.125%</f>
        <v>8.8500000000000009E-2</v>
      </c>
      <c r="Y196" s="48">
        <f>X196+0.125%</f>
        <v>8.975000000000001E-2</v>
      </c>
      <c r="Z196" s="48">
        <f>Y196+0.125%</f>
        <v>9.1000000000000011E-2</v>
      </c>
      <c r="AA196" s="48">
        <f>Z196+0.125%</f>
        <v>9.2250000000000013E-2</v>
      </c>
      <c r="AB196" s="48">
        <f>AA196</f>
        <v>9.2250000000000013E-2</v>
      </c>
      <c r="AD196" s="38"/>
      <c r="AF196" s="60" t="str">
        <f t="shared" si="169"/>
        <v>65.00%-70.00%</v>
      </c>
      <c r="AG196" s="49" t="s">
        <v>150</v>
      </c>
      <c r="AH196" s="49" t="s">
        <v>150</v>
      </c>
      <c r="AI196" s="49" t="s">
        <v>150</v>
      </c>
      <c r="AJ196" s="49" t="s">
        <v>150</v>
      </c>
      <c r="AK196" s="49" t="s">
        <v>150</v>
      </c>
      <c r="AL196" s="49" t="s">
        <v>150</v>
      </c>
      <c r="AM196" s="50"/>
      <c r="AN196" s="51"/>
      <c r="AO196" s="41"/>
      <c r="AP196" s="60" t="str">
        <f t="shared" si="170"/>
        <v>65.00%-70.00%</v>
      </c>
      <c r="AQ196" s="48">
        <f>AQ200+0.25%</f>
        <v>8.8500000000000009E-2</v>
      </c>
      <c r="AR196" s="48">
        <f>AQ196+0.125%</f>
        <v>8.975000000000001E-2</v>
      </c>
      <c r="AS196" s="48">
        <f>AR196+0.125%</f>
        <v>9.1000000000000011E-2</v>
      </c>
      <c r="AT196" s="48">
        <f>AS196+0.125%</f>
        <v>9.2250000000000013E-2</v>
      </c>
      <c r="AU196" s="48">
        <f>AT196+0.125%</f>
        <v>9.3500000000000014E-2</v>
      </c>
      <c r="AV196" s="48">
        <f>AU196</f>
        <v>9.3500000000000014E-2</v>
      </c>
      <c r="AX196" s="38"/>
      <c r="AZ196" s="60" t="str">
        <f t="shared" si="171"/>
        <v>65.00%-70.00%</v>
      </c>
      <c r="BA196" s="49" t="s">
        <v>150</v>
      </c>
      <c r="BB196" s="49" t="s">
        <v>150</v>
      </c>
      <c r="BC196" s="49" t="s">
        <v>150</v>
      </c>
      <c r="BD196" s="49" t="s">
        <v>150</v>
      </c>
      <c r="BE196" s="49" t="s">
        <v>150</v>
      </c>
      <c r="BF196" s="49" t="s">
        <v>150</v>
      </c>
    </row>
    <row r="197" spans="2:58" s="37" customFormat="1" ht="12.75" customHeight="1" x14ac:dyDescent="0.45">
      <c r="B197" s="52" t="s">
        <v>151</v>
      </c>
      <c r="C197" s="53">
        <f t="shared" ref="C197:H197" si="172">C196+0</f>
        <v>8.6000000000000007E-2</v>
      </c>
      <c r="D197" s="53">
        <f t="shared" si="172"/>
        <v>8.7250000000000008E-2</v>
      </c>
      <c r="E197" s="53">
        <f t="shared" si="172"/>
        <v>8.8500000000000009E-2</v>
      </c>
      <c r="F197" s="53">
        <f t="shared" si="172"/>
        <v>8.975000000000001E-2</v>
      </c>
      <c r="G197" s="53">
        <f t="shared" si="172"/>
        <v>9.1000000000000011E-2</v>
      </c>
      <c r="H197" s="53">
        <f t="shared" si="172"/>
        <v>9.1000000000000011E-2</v>
      </c>
      <c r="J197" s="38"/>
      <c r="L197" s="52" t="s">
        <v>151</v>
      </c>
      <c r="M197" s="53">
        <f>M196+0</f>
        <v>0.1075</v>
      </c>
      <c r="N197" s="53">
        <f>N196+0</f>
        <v>0.11</v>
      </c>
      <c r="O197" s="54" t="s">
        <v>150</v>
      </c>
      <c r="P197" s="54" t="s">
        <v>150</v>
      </c>
      <c r="Q197" s="54" t="s">
        <v>150</v>
      </c>
      <c r="R197" s="54" t="s">
        <v>150</v>
      </c>
      <c r="S197" s="55"/>
      <c r="T197" s="56"/>
      <c r="U197" s="41"/>
      <c r="V197" s="52" t="str">
        <f t="shared" si="168"/>
        <v>FICO 700+</v>
      </c>
      <c r="W197" s="53">
        <f t="shared" ref="W197:AB197" si="173">W196+0</f>
        <v>8.7250000000000008E-2</v>
      </c>
      <c r="X197" s="53">
        <f t="shared" si="173"/>
        <v>8.8500000000000009E-2</v>
      </c>
      <c r="Y197" s="53">
        <f t="shared" si="173"/>
        <v>8.975000000000001E-2</v>
      </c>
      <c r="Z197" s="53">
        <f t="shared" si="173"/>
        <v>9.1000000000000011E-2</v>
      </c>
      <c r="AA197" s="53">
        <f t="shared" si="173"/>
        <v>9.2250000000000013E-2</v>
      </c>
      <c r="AB197" s="53">
        <f t="shared" si="173"/>
        <v>9.2250000000000013E-2</v>
      </c>
      <c r="AD197" s="38"/>
      <c r="AF197" s="52" t="str">
        <f t="shared" si="169"/>
        <v>FICO 700+</v>
      </c>
      <c r="AG197" s="54" t="s">
        <v>150</v>
      </c>
      <c r="AH197" s="54" t="s">
        <v>150</v>
      </c>
      <c r="AI197" s="54" t="s">
        <v>150</v>
      </c>
      <c r="AJ197" s="54" t="s">
        <v>150</v>
      </c>
      <c r="AK197" s="54" t="s">
        <v>150</v>
      </c>
      <c r="AL197" s="54" t="s">
        <v>150</v>
      </c>
      <c r="AM197" s="55"/>
      <c r="AN197" s="56"/>
      <c r="AO197" s="41"/>
      <c r="AP197" s="52" t="str">
        <f t="shared" si="170"/>
        <v>FICO 700+</v>
      </c>
      <c r="AQ197" s="53">
        <f t="shared" ref="AQ197:AV197" si="174">AQ196+0</f>
        <v>8.8500000000000009E-2</v>
      </c>
      <c r="AR197" s="53">
        <f t="shared" si="174"/>
        <v>8.975000000000001E-2</v>
      </c>
      <c r="AS197" s="53">
        <f t="shared" si="174"/>
        <v>9.1000000000000011E-2</v>
      </c>
      <c r="AT197" s="53">
        <f t="shared" si="174"/>
        <v>9.2250000000000013E-2</v>
      </c>
      <c r="AU197" s="53">
        <f t="shared" si="174"/>
        <v>9.3500000000000014E-2</v>
      </c>
      <c r="AV197" s="53">
        <f t="shared" si="174"/>
        <v>9.3500000000000014E-2</v>
      </c>
      <c r="AX197" s="38"/>
      <c r="AZ197" s="52" t="str">
        <f t="shared" si="171"/>
        <v>FICO 700+</v>
      </c>
      <c r="BA197" s="54" t="s">
        <v>150</v>
      </c>
      <c r="BB197" s="54" t="s">
        <v>150</v>
      </c>
      <c r="BC197" s="54" t="s">
        <v>150</v>
      </c>
      <c r="BD197" s="54" t="s">
        <v>150</v>
      </c>
      <c r="BE197" s="54" t="s">
        <v>150</v>
      </c>
      <c r="BF197" s="54" t="s">
        <v>150</v>
      </c>
    </row>
    <row r="198" spans="2:58" s="37" customFormat="1" ht="12.75" customHeight="1" x14ac:dyDescent="0.45">
      <c r="B198" s="52" t="s">
        <v>152</v>
      </c>
      <c r="C198" s="53">
        <f>C196+0.5%</f>
        <v>9.1000000000000011E-2</v>
      </c>
      <c r="D198" s="53">
        <f>D196+0.5%</f>
        <v>9.2250000000000013E-2</v>
      </c>
      <c r="E198" s="53">
        <f>E196+0.5%</f>
        <v>9.3500000000000014E-2</v>
      </c>
      <c r="F198" s="53">
        <f>F196+0.5%</f>
        <v>9.4750000000000015E-2</v>
      </c>
      <c r="G198" s="53">
        <f>G196+0.5%</f>
        <v>9.6000000000000016E-2</v>
      </c>
      <c r="H198" s="54" t="s">
        <v>150</v>
      </c>
      <c r="J198" s="38"/>
      <c r="L198" s="52" t="s">
        <v>152</v>
      </c>
      <c r="M198" s="53">
        <f>M196+0.25%</f>
        <v>0.11</v>
      </c>
      <c r="N198" s="53">
        <f>N196+0.25%</f>
        <v>0.1125</v>
      </c>
      <c r="O198" s="54" t="s">
        <v>150</v>
      </c>
      <c r="P198" s="54" t="s">
        <v>150</v>
      </c>
      <c r="Q198" s="54" t="s">
        <v>150</v>
      </c>
      <c r="R198" s="54" t="s">
        <v>150</v>
      </c>
      <c r="S198" s="55"/>
      <c r="T198" s="56"/>
      <c r="U198" s="41"/>
      <c r="V198" s="52" t="str">
        <f t="shared" si="168"/>
        <v>FICO 660-699</v>
      </c>
      <c r="W198" s="53">
        <f>W196+0.5%</f>
        <v>9.2250000000000013E-2</v>
      </c>
      <c r="X198" s="53">
        <f>X196+0.5%</f>
        <v>9.3500000000000014E-2</v>
      </c>
      <c r="Y198" s="53">
        <f>Y196+0.5%</f>
        <v>9.4750000000000015E-2</v>
      </c>
      <c r="Z198" s="53">
        <f>Z196+0.5%</f>
        <v>9.6000000000000016E-2</v>
      </c>
      <c r="AA198" s="53">
        <f>AA196+0.5%</f>
        <v>9.7250000000000017E-2</v>
      </c>
      <c r="AB198" s="54" t="s">
        <v>150</v>
      </c>
      <c r="AD198" s="38"/>
      <c r="AF198" s="52" t="str">
        <f t="shared" si="169"/>
        <v>FICO 660-699</v>
      </c>
      <c r="AG198" s="54" t="s">
        <v>150</v>
      </c>
      <c r="AH198" s="54" t="s">
        <v>150</v>
      </c>
      <c r="AI198" s="54" t="s">
        <v>150</v>
      </c>
      <c r="AJ198" s="54" t="s">
        <v>150</v>
      </c>
      <c r="AK198" s="54" t="s">
        <v>150</v>
      </c>
      <c r="AL198" s="54" t="s">
        <v>150</v>
      </c>
      <c r="AM198" s="55"/>
      <c r="AN198" s="56"/>
      <c r="AO198" s="41"/>
      <c r="AP198" s="52" t="str">
        <f t="shared" si="170"/>
        <v>FICO 660-699</v>
      </c>
      <c r="AQ198" s="53">
        <f>AQ196+0.5%</f>
        <v>9.3500000000000014E-2</v>
      </c>
      <c r="AR198" s="53">
        <f>AR196+0.5%</f>
        <v>9.4750000000000015E-2</v>
      </c>
      <c r="AS198" s="53">
        <f>AS196+0.5%</f>
        <v>9.6000000000000016E-2</v>
      </c>
      <c r="AT198" s="53">
        <f>AT196+0.5%</f>
        <v>9.7250000000000017E-2</v>
      </c>
      <c r="AU198" s="53">
        <f>AU196+0.5%</f>
        <v>9.8500000000000018E-2</v>
      </c>
      <c r="AV198" s="54" t="s">
        <v>150</v>
      </c>
      <c r="AX198" s="38"/>
      <c r="AZ198" s="52" t="str">
        <f t="shared" si="171"/>
        <v>FICO 660-699</v>
      </c>
      <c r="BA198" s="54" t="s">
        <v>150</v>
      </c>
      <c r="BB198" s="54" t="s">
        <v>150</v>
      </c>
      <c r="BC198" s="54" t="s">
        <v>150</v>
      </c>
      <c r="BD198" s="54" t="s">
        <v>150</v>
      </c>
      <c r="BE198" s="54" t="s">
        <v>150</v>
      </c>
      <c r="BF198" s="54" t="s">
        <v>150</v>
      </c>
    </row>
    <row r="199" spans="2:58" s="37" customFormat="1" ht="12.75" customHeight="1" x14ac:dyDescent="0.45">
      <c r="B199" s="57" t="s">
        <v>153</v>
      </c>
      <c r="C199" s="59" t="s">
        <v>150</v>
      </c>
      <c r="D199" s="59" t="s">
        <v>150</v>
      </c>
      <c r="E199" s="59" t="s">
        <v>150</v>
      </c>
      <c r="F199" s="59" t="s">
        <v>150</v>
      </c>
      <c r="G199" s="59" t="s">
        <v>150</v>
      </c>
      <c r="H199" s="59" t="s">
        <v>150</v>
      </c>
      <c r="J199" s="38"/>
      <c r="L199" s="57" t="s">
        <v>153</v>
      </c>
      <c r="M199" s="59" t="s">
        <v>150</v>
      </c>
      <c r="N199" s="59" t="s">
        <v>150</v>
      </c>
      <c r="O199" s="59" t="s">
        <v>150</v>
      </c>
      <c r="P199" s="59" t="s">
        <v>150</v>
      </c>
      <c r="Q199" s="59" t="s">
        <v>150</v>
      </c>
      <c r="R199" s="59" t="s">
        <v>150</v>
      </c>
      <c r="S199" s="55"/>
      <c r="T199" s="56"/>
      <c r="U199" s="41"/>
      <c r="V199" s="57" t="str">
        <f t="shared" si="168"/>
        <v>FICO 640-659</v>
      </c>
      <c r="W199" s="59" t="s">
        <v>150</v>
      </c>
      <c r="X199" s="59" t="s">
        <v>150</v>
      </c>
      <c r="Y199" s="59" t="s">
        <v>150</v>
      </c>
      <c r="Z199" s="59" t="s">
        <v>150</v>
      </c>
      <c r="AA199" s="59" t="s">
        <v>150</v>
      </c>
      <c r="AB199" s="59" t="s">
        <v>150</v>
      </c>
      <c r="AD199" s="38"/>
      <c r="AF199" s="57" t="str">
        <f t="shared" si="169"/>
        <v>FICO 640-659</v>
      </c>
      <c r="AG199" s="59" t="s">
        <v>150</v>
      </c>
      <c r="AH199" s="59" t="s">
        <v>150</v>
      </c>
      <c r="AI199" s="59" t="s">
        <v>150</v>
      </c>
      <c r="AJ199" s="59" t="s">
        <v>150</v>
      </c>
      <c r="AK199" s="59" t="s">
        <v>150</v>
      </c>
      <c r="AL199" s="59" t="s">
        <v>150</v>
      </c>
      <c r="AM199" s="55"/>
      <c r="AN199" s="56"/>
      <c r="AO199" s="41"/>
      <c r="AP199" s="57" t="str">
        <f t="shared" si="170"/>
        <v>FICO 640-659</v>
      </c>
      <c r="AQ199" s="59" t="s">
        <v>150</v>
      </c>
      <c r="AR199" s="59" t="s">
        <v>150</v>
      </c>
      <c r="AS199" s="59" t="s">
        <v>150</v>
      </c>
      <c r="AT199" s="59" t="s">
        <v>150</v>
      </c>
      <c r="AU199" s="59" t="s">
        <v>150</v>
      </c>
      <c r="AV199" s="59" t="s">
        <v>150</v>
      </c>
      <c r="AX199" s="38"/>
      <c r="AZ199" s="57" t="str">
        <f t="shared" si="171"/>
        <v>FICO 640-659</v>
      </c>
      <c r="BA199" s="59" t="s">
        <v>150</v>
      </c>
      <c r="BB199" s="59" t="s">
        <v>150</v>
      </c>
      <c r="BC199" s="59" t="s">
        <v>150</v>
      </c>
      <c r="BD199" s="59" t="s">
        <v>150</v>
      </c>
      <c r="BE199" s="59" t="s">
        <v>150</v>
      </c>
      <c r="BF199" s="59" t="s">
        <v>150</v>
      </c>
    </row>
    <row r="200" spans="2:58" s="37" customFormat="1" ht="12.75" customHeight="1" x14ac:dyDescent="0.45">
      <c r="B200" s="60" t="s">
        <v>155</v>
      </c>
      <c r="C200" s="61">
        <v>8.3500000000000005E-2</v>
      </c>
      <c r="D200" s="48">
        <f>C200+0.125%</f>
        <v>8.4750000000000006E-2</v>
      </c>
      <c r="E200" s="48">
        <f>D200+0.125%</f>
        <v>8.6000000000000007E-2</v>
      </c>
      <c r="F200" s="48">
        <f>E200+0.125%</f>
        <v>8.7250000000000008E-2</v>
      </c>
      <c r="G200" s="48">
        <f>F200+0.125%</f>
        <v>8.8500000000000009E-2</v>
      </c>
      <c r="H200" s="48">
        <f>G200</f>
        <v>8.8500000000000009E-2</v>
      </c>
      <c r="J200" s="38"/>
      <c r="L200" s="60" t="s">
        <v>155</v>
      </c>
      <c r="M200" s="61">
        <v>0.105</v>
      </c>
      <c r="N200" s="48">
        <f>M200+0.25%</f>
        <v>0.1075</v>
      </c>
      <c r="O200" s="49" t="s">
        <v>150</v>
      </c>
      <c r="P200" s="49" t="s">
        <v>150</v>
      </c>
      <c r="Q200" s="49" t="s">
        <v>150</v>
      </c>
      <c r="R200" s="49" t="s">
        <v>150</v>
      </c>
      <c r="S200" s="50"/>
      <c r="T200" s="51"/>
      <c r="U200" s="41"/>
      <c r="V200" s="60" t="str">
        <f t="shared" si="168"/>
        <v>&lt;64.99%</v>
      </c>
      <c r="W200" s="62">
        <f>C200+0.125%</f>
        <v>8.4750000000000006E-2</v>
      </c>
      <c r="X200" s="48">
        <f>W200+0.125%</f>
        <v>8.6000000000000007E-2</v>
      </c>
      <c r="Y200" s="48">
        <f>X200+0.125%</f>
        <v>8.7250000000000008E-2</v>
      </c>
      <c r="Z200" s="48">
        <f>Y200+0.125%</f>
        <v>8.8500000000000009E-2</v>
      </c>
      <c r="AA200" s="48">
        <f>Z200+0.125%</f>
        <v>8.975000000000001E-2</v>
      </c>
      <c r="AB200" s="48">
        <f>AA200</f>
        <v>8.975000000000001E-2</v>
      </c>
      <c r="AD200" s="38"/>
      <c r="AF200" s="60" t="str">
        <f t="shared" si="169"/>
        <v>&lt;64.99%</v>
      </c>
      <c r="AG200" s="49" t="s">
        <v>150</v>
      </c>
      <c r="AH200" s="49" t="s">
        <v>150</v>
      </c>
      <c r="AI200" s="49" t="s">
        <v>150</v>
      </c>
      <c r="AJ200" s="49" t="s">
        <v>150</v>
      </c>
      <c r="AK200" s="49" t="s">
        <v>150</v>
      </c>
      <c r="AL200" s="49" t="s">
        <v>150</v>
      </c>
      <c r="AM200" s="50"/>
      <c r="AN200" s="51"/>
      <c r="AO200" s="41"/>
      <c r="AP200" s="60" t="str">
        <f t="shared" si="170"/>
        <v>&lt;64.99%</v>
      </c>
      <c r="AQ200" s="62">
        <f>W200+0.125%</f>
        <v>8.6000000000000007E-2</v>
      </c>
      <c r="AR200" s="48">
        <f>AQ200+0.125%</f>
        <v>8.7250000000000008E-2</v>
      </c>
      <c r="AS200" s="48">
        <f>AR200+0.125%</f>
        <v>8.8500000000000009E-2</v>
      </c>
      <c r="AT200" s="48">
        <f>AS200+0.125%</f>
        <v>8.975000000000001E-2</v>
      </c>
      <c r="AU200" s="48">
        <f>AT200+0.125%</f>
        <v>9.1000000000000011E-2</v>
      </c>
      <c r="AV200" s="48">
        <f>AU200</f>
        <v>9.1000000000000011E-2</v>
      </c>
      <c r="AX200" s="38"/>
      <c r="AZ200" s="60" t="str">
        <f t="shared" si="171"/>
        <v>&lt;64.99%</v>
      </c>
      <c r="BA200" s="49" t="s">
        <v>150</v>
      </c>
      <c r="BB200" s="49" t="s">
        <v>150</v>
      </c>
      <c r="BC200" s="49" t="s">
        <v>150</v>
      </c>
      <c r="BD200" s="49" t="s">
        <v>150</v>
      </c>
      <c r="BE200" s="49" t="s">
        <v>150</v>
      </c>
      <c r="BF200" s="49" t="s">
        <v>150</v>
      </c>
    </row>
    <row r="201" spans="2:58" s="37" customFormat="1" ht="12.75" customHeight="1" x14ac:dyDescent="0.45">
      <c r="B201" s="52" t="s">
        <v>151</v>
      </c>
      <c r="C201" s="53">
        <f t="shared" ref="C201:H201" si="175">C200+0</f>
        <v>8.3500000000000005E-2</v>
      </c>
      <c r="D201" s="53">
        <f t="shared" si="175"/>
        <v>8.4750000000000006E-2</v>
      </c>
      <c r="E201" s="53">
        <f t="shared" si="175"/>
        <v>8.6000000000000007E-2</v>
      </c>
      <c r="F201" s="53">
        <f t="shared" si="175"/>
        <v>8.7250000000000008E-2</v>
      </c>
      <c r="G201" s="53">
        <f t="shared" si="175"/>
        <v>8.8500000000000009E-2</v>
      </c>
      <c r="H201" s="53">
        <f t="shared" si="175"/>
        <v>8.8500000000000009E-2</v>
      </c>
      <c r="J201" s="38"/>
      <c r="L201" s="52" t="s">
        <v>151</v>
      </c>
      <c r="M201" s="53">
        <f>M200+0</f>
        <v>0.105</v>
      </c>
      <c r="N201" s="53">
        <f>N200+0</f>
        <v>0.1075</v>
      </c>
      <c r="O201" s="54" t="s">
        <v>150</v>
      </c>
      <c r="P201" s="54" t="s">
        <v>150</v>
      </c>
      <c r="Q201" s="54" t="s">
        <v>150</v>
      </c>
      <c r="R201" s="54" t="s">
        <v>150</v>
      </c>
      <c r="S201" s="55"/>
      <c r="T201" s="56"/>
      <c r="U201" s="41"/>
      <c r="V201" s="52" t="str">
        <f t="shared" si="168"/>
        <v>FICO 700+</v>
      </c>
      <c r="W201" s="53">
        <f t="shared" ref="W201:AB201" si="176">W200+0</f>
        <v>8.4750000000000006E-2</v>
      </c>
      <c r="X201" s="53">
        <f t="shared" si="176"/>
        <v>8.6000000000000007E-2</v>
      </c>
      <c r="Y201" s="53">
        <f t="shared" si="176"/>
        <v>8.7250000000000008E-2</v>
      </c>
      <c r="Z201" s="53">
        <f t="shared" si="176"/>
        <v>8.8500000000000009E-2</v>
      </c>
      <c r="AA201" s="53">
        <f t="shared" si="176"/>
        <v>8.975000000000001E-2</v>
      </c>
      <c r="AB201" s="53">
        <f t="shared" si="176"/>
        <v>8.975000000000001E-2</v>
      </c>
      <c r="AD201" s="38"/>
      <c r="AF201" s="52" t="str">
        <f t="shared" si="169"/>
        <v>FICO 700+</v>
      </c>
      <c r="AG201" s="54" t="s">
        <v>150</v>
      </c>
      <c r="AH201" s="54" t="s">
        <v>150</v>
      </c>
      <c r="AI201" s="54" t="s">
        <v>150</v>
      </c>
      <c r="AJ201" s="54" t="s">
        <v>150</v>
      </c>
      <c r="AK201" s="54" t="s">
        <v>150</v>
      </c>
      <c r="AL201" s="54" t="s">
        <v>150</v>
      </c>
      <c r="AM201" s="55"/>
      <c r="AN201" s="56"/>
      <c r="AO201" s="41"/>
      <c r="AP201" s="52" t="str">
        <f t="shared" si="170"/>
        <v>FICO 700+</v>
      </c>
      <c r="AQ201" s="53">
        <f t="shared" ref="AQ201:AV201" si="177">AQ200+0</f>
        <v>8.6000000000000007E-2</v>
      </c>
      <c r="AR201" s="53">
        <f t="shared" si="177"/>
        <v>8.7250000000000008E-2</v>
      </c>
      <c r="AS201" s="53">
        <f t="shared" si="177"/>
        <v>8.8500000000000009E-2</v>
      </c>
      <c r="AT201" s="53">
        <f t="shared" si="177"/>
        <v>8.975000000000001E-2</v>
      </c>
      <c r="AU201" s="53">
        <f t="shared" si="177"/>
        <v>9.1000000000000011E-2</v>
      </c>
      <c r="AV201" s="53">
        <f t="shared" si="177"/>
        <v>9.1000000000000011E-2</v>
      </c>
      <c r="AX201" s="38"/>
      <c r="AZ201" s="52" t="str">
        <f t="shared" si="171"/>
        <v>FICO 700+</v>
      </c>
      <c r="BA201" s="54" t="s">
        <v>150</v>
      </c>
      <c r="BB201" s="54" t="s">
        <v>150</v>
      </c>
      <c r="BC201" s="54" t="s">
        <v>150</v>
      </c>
      <c r="BD201" s="54" t="s">
        <v>150</v>
      </c>
      <c r="BE201" s="54" t="s">
        <v>150</v>
      </c>
      <c r="BF201" s="54" t="s">
        <v>150</v>
      </c>
    </row>
    <row r="202" spans="2:58" s="37" customFormat="1" ht="12.75" customHeight="1" x14ac:dyDescent="0.45">
      <c r="B202" s="52" t="s">
        <v>152</v>
      </c>
      <c r="C202" s="53">
        <f t="shared" ref="C202:H202" si="178">C200+0.5%</f>
        <v>8.8500000000000009E-2</v>
      </c>
      <c r="D202" s="53">
        <f t="shared" si="178"/>
        <v>8.975000000000001E-2</v>
      </c>
      <c r="E202" s="53">
        <f t="shared" si="178"/>
        <v>9.1000000000000011E-2</v>
      </c>
      <c r="F202" s="53">
        <f t="shared" si="178"/>
        <v>9.2250000000000013E-2</v>
      </c>
      <c r="G202" s="53">
        <f t="shared" si="178"/>
        <v>9.3500000000000014E-2</v>
      </c>
      <c r="H202" s="53">
        <f t="shared" si="178"/>
        <v>9.3500000000000014E-2</v>
      </c>
      <c r="J202" s="38"/>
      <c r="L202" s="52" t="s">
        <v>152</v>
      </c>
      <c r="M202" s="53">
        <f>M200+0.25%</f>
        <v>0.1075</v>
      </c>
      <c r="N202" s="53">
        <f>N200+0.25%</f>
        <v>0.11</v>
      </c>
      <c r="O202" s="54" t="s">
        <v>150</v>
      </c>
      <c r="P202" s="54" t="s">
        <v>150</v>
      </c>
      <c r="Q202" s="54" t="s">
        <v>150</v>
      </c>
      <c r="R202" s="54" t="s">
        <v>150</v>
      </c>
      <c r="S202" s="55"/>
      <c r="T202" s="56"/>
      <c r="U202" s="41"/>
      <c r="V202" s="52" t="str">
        <f t="shared" si="168"/>
        <v>FICO 660-699</v>
      </c>
      <c r="W202" s="53">
        <f t="shared" ref="W202:AB202" si="179">W200+0.5%</f>
        <v>8.975000000000001E-2</v>
      </c>
      <c r="X202" s="53">
        <f t="shared" si="179"/>
        <v>9.1000000000000011E-2</v>
      </c>
      <c r="Y202" s="53">
        <f t="shared" si="179"/>
        <v>9.2250000000000013E-2</v>
      </c>
      <c r="Z202" s="53">
        <f t="shared" si="179"/>
        <v>9.3500000000000014E-2</v>
      </c>
      <c r="AA202" s="53">
        <f t="shared" si="179"/>
        <v>9.4750000000000015E-2</v>
      </c>
      <c r="AB202" s="53">
        <f t="shared" si="179"/>
        <v>9.4750000000000015E-2</v>
      </c>
      <c r="AD202" s="38"/>
      <c r="AF202" s="52" t="str">
        <f t="shared" si="169"/>
        <v>FICO 660-699</v>
      </c>
      <c r="AG202" s="54" t="s">
        <v>150</v>
      </c>
      <c r="AH202" s="54" t="s">
        <v>150</v>
      </c>
      <c r="AI202" s="54" t="s">
        <v>150</v>
      </c>
      <c r="AJ202" s="54" t="s">
        <v>150</v>
      </c>
      <c r="AK202" s="54" t="s">
        <v>150</v>
      </c>
      <c r="AL202" s="54" t="s">
        <v>150</v>
      </c>
      <c r="AM202" s="55"/>
      <c r="AN202" s="56"/>
      <c r="AO202" s="41"/>
      <c r="AP202" s="52" t="str">
        <f t="shared" si="170"/>
        <v>FICO 660-699</v>
      </c>
      <c r="AQ202" s="53">
        <f t="shared" ref="AQ202:AV202" si="180">AQ200+0.5%</f>
        <v>9.1000000000000011E-2</v>
      </c>
      <c r="AR202" s="53">
        <f t="shared" si="180"/>
        <v>9.2250000000000013E-2</v>
      </c>
      <c r="AS202" s="53">
        <f t="shared" si="180"/>
        <v>9.3500000000000014E-2</v>
      </c>
      <c r="AT202" s="53">
        <f t="shared" si="180"/>
        <v>9.4750000000000015E-2</v>
      </c>
      <c r="AU202" s="53">
        <f t="shared" si="180"/>
        <v>9.6000000000000016E-2</v>
      </c>
      <c r="AV202" s="53">
        <f t="shared" si="180"/>
        <v>9.6000000000000016E-2</v>
      </c>
      <c r="AX202" s="38"/>
      <c r="AZ202" s="52" t="str">
        <f t="shared" si="171"/>
        <v>FICO 660-699</v>
      </c>
      <c r="BA202" s="54" t="s">
        <v>150</v>
      </c>
      <c r="BB202" s="54" t="s">
        <v>150</v>
      </c>
      <c r="BC202" s="54" t="s">
        <v>150</v>
      </c>
      <c r="BD202" s="54" t="s">
        <v>150</v>
      </c>
      <c r="BE202" s="54" t="s">
        <v>150</v>
      </c>
      <c r="BF202" s="54" t="s">
        <v>150</v>
      </c>
    </row>
    <row r="203" spans="2:58" s="37" customFormat="1" ht="12.75" customHeight="1" x14ac:dyDescent="0.45">
      <c r="B203" s="52" t="s">
        <v>153</v>
      </c>
      <c r="C203" s="54" t="s">
        <v>150</v>
      </c>
      <c r="D203" s="54" t="s">
        <v>150</v>
      </c>
      <c r="E203" s="54" t="s">
        <v>150</v>
      </c>
      <c r="F203" s="54" t="s">
        <v>150</v>
      </c>
      <c r="G203" s="54" t="s">
        <v>150</v>
      </c>
      <c r="H203" s="54" t="s">
        <v>150</v>
      </c>
      <c r="J203" s="38"/>
      <c r="L203" s="52" t="s">
        <v>153</v>
      </c>
      <c r="M203" s="54" t="s">
        <v>150</v>
      </c>
      <c r="N203" s="54" t="s">
        <v>150</v>
      </c>
      <c r="O203" s="54" t="s">
        <v>150</v>
      </c>
      <c r="P203" s="54" t="s">
        <v>150</v>
      </c>
      <c r="Q203" s="54" t="s">
        <v>150</v>
      </c>
      <c r="R203" s="54" t="s">
        <v>150</v>
      </c>
      <c r="S203" s="55"/>
      <c r="T203" s="56"/>
      <c r="U203" s="41"/>
      <c r="V203" s="52" t="str">
        <f t="shared" si="168"/>
        <v>FICO 640-659</v>
      </c>
      <c r="W203" s="54" t="s">
        <v>150</v>
      </c>
      <c r="X203" s="54" t="s">
        <v>150</v>
      </c>
      <c r="Y203" s="54" t="s">
        <v>150</v>
      </c>
      <c r="Z203" s="54" t="s">
        <v>150</v>
      </c>
      <c r="AA203" s="54" t="s">
        <v>150</v>
      </c>
      <c r="AB203" s="54" t="s">
        <v>150</v>
      </c>
      <c r="AD203" s="38"/>
      <c r="AF203" s="52" t="str">
        <f t="shared" si="169"/>
        <v>FICO 640-659</v>
      </c>
      <c r="AG203" s="54" t="s">
        <v>150</v>
      </c>
      <c r="AH203" s="54" t="s">
        <v>150</v>
      </c>
      <c r="AI203" s="54" t="s">
        <v>150</v>
      </c>
      <c r="AJ203" s="54" t="s">
        <v>150</v>
      </c>
      <c r="AK203" s="54" t="s">
        <v>150</v>
      </c>
      <c r="AL203" s="54" t="s">
        <v>150</v>
      </c>
      <c r="AM203" s="55"/>
      <c r="AN203" s="56"/>
      <c r="AO203" s="41"/>
      <c r="AP203" s="52" t="str">
        <f t="shared" si="170"/>
        <v>FICO 640-659</v>
      </c>
      <c r="AQ203" s="54" t="s">
        <v>150</v>
      </c>
      <c r="AR203" s="54" t="s">
        <v>150</v>
      </c>
      <c r="AS203" s="54" t="s">
        <v>150</v>
      </c>
      <c r="AT203" s="54" t="s">
        <v>150</v>
      </c>
      <c r="AU203" s="54" t="s">
        <v>150</v>
      </c>
      <c r="AV203" s="54" t="s">
        <v>150</v>
      </c>
      <c r="AX203" s="38"/>
      <c r="AZ203" s="52" t="str">
        <f t="shared" si="171"/>
        <v>FICO 640-659</v>
      </c>
      <c r="BA203" s="54" t="s">
        <v>150</v>
      </c>
      <c r="BB203" s="54" t="s">
        <v>150</v>
      </c>
      <c r="BC203" s="54" t="s">
        <v>150</v>
      </c>
      <c r="BD203" s="54" t="s">
        <v>150</v>
      </c>
      <c r="BE203" s="54" t="s">
        <v>150</v>
      </c>
      <c r="BF203" s="54" t="s">
        <v>150</v>
      </c>
    </row>
    <row r="204" spans="2:58" s="37" customFormat="1" ht="12.75" customHeight="1" x14ac:dyDescent="0.45">
      <c r="C204" s="63"/>
      <c r="D204" s="63"/>
      <c r="E204" s="63"/>
      <c r="F204" s="63"/>
      <c r="G204" s="63"/>
      <c r="H204" s="63"/>
      <c r="J204" s="38"/>
      <c r="M204" s="63"/>
      <c r="N204" s="63"/>
      <c r="O204" s="63"/>
      <c r="P204" s="63"/>
      <c r="Q204" s="63"/>
      <c r="R204" s="63"/>
      <c r="S204" s="55"/>
      <c r="T204" s="56"/>
      <c r="U204" s="41"/>
      <c r="W204" s="63"/>
      <c r="X204" s="63"/>
      <c r="Y204" s="63"/>
      <c r="Z204" s="63"/>
      <c r="AA204" s="63"/>
      <c r="AB204" s="63"/>
      <c r="AD204" s="38"/>
      <c r="AG204" s="63"/>
      <c r="AH204" s="63"/>
      <c r="AI204" s="63"/>
      <c r="AJ204" s="63"/>
      <c r="AK204" s="63"/>
      <c r="AL204" s="63"/>
      <c r="AM204" s="55"/>
      <c r="AN204" s="56"/>
      <c r="AO204" s="41"/>
      <c r="AQ204" s="63"/>
      <c r="AR204" s="63"/>
      <c r="AS204" s="63"/>
      <c r="AT204" s="63"/>
      <c r="AU204" s="63"/>
      <c r="AV204" s="63"/>
      <c r="AX204" s="38"/>
      <c r="BA204" s="63"/>
      <c r="BB204" s="63"/>
      <c r="BC204" s="63"/>
      <c r="BD204" s="63"/>
      <c r="BE204" s="63"/>
      <c r="BF204" s="63"/>
    </row>
    <row r="205" spans="2:58" s="37" customFormat="1" ht="15.75" customHeight="1" x14ac:dyDescent="0.45">
      <c r="B205" s="94" t="s">
        <v>168</v>
      </c>
      <c r="C205" s="94"/>
      <c r="D205" s="94"/>
      <c r="E205" s="94"/>
      <c r="F205" s="94"/>
      <c r="G205" s="94"/>
      <c r="H205" s="94"/>
      <c r="J205" s="38"/>
      <c r="L205" s="94" t="s">
        <v>168</v>
      </c>
      <c r="M205" s="94"/>
      <c r="N205" s="94"/>
      <c r="O205" s="94"/>
      <c r="P205" s="94"/>
      <c r="Q205" s="94"/>
      <c r="R205" s="94"/>
      <c r="S205" s="39"/>
      <c r="T205" s="40"/>
      <c r="U205" s="41"/>
      <c r="V205" s="94" t="s">
        <v>168</v>
      </c>
      <c r="W205" s="94"/>
      <c r="X205" s="94"/>
      <c r="Y205" s="94"/>
      <c r="Z205" s="94"/>
      <c r="AA205" s="94"/>
      <c r="AB205" s="94"/>
      <c r="AD205" s="38"/>
      <c r="AF205" s="94" t="s">
        <v>168</v>
      </c>
      <c r="AG205" s="94"/>
      <c r="AH205" s="94"/>
      <c r="AI205" s="94"/>
      <c r="AJ205" s="94"/>
      <c r="AK205" s="94"/>
      <c r="AL205" s="94"/>
      <c r="AM205" s="39"/>
      <c r="AN205" s="40"/>
      <c r="AO205" s="41"/>
      <c r="AP205" s="94" t="s">
        <v>168</v>
      </c>
      <c r="AQ205" s="94"/>
      <c r="AR205" s="94"/>
      <c r="AS205" s="94"/>
      <c r="AT205" s="94"/>
      <c r="AU205" s="94"/>
      <c r="AV205" s="94"/>
      <c r="AX205" s="38"/>
      <c r="AZ205" s="94" t="s">
        <v>168</v>
      </c>
      <c r="BA205" s="94"/>
      <c r="BB205" s="94"/>
      <c r="BC205" s="94"/>
      <c r="BD205" s="94"/>
      <c r="BE205" s="94"/>
      <c r="BF205" s="94"/>
    </row>
    <row r="206" spans="2:58" s="37" customFormat="1" ht="12.75" customHeight="1" x14ac:dyDescent="0.45">
      <c r="B206" s="42"/>
      <c r="C206" s="95" t="s">
        <v>50</v>
      </c>
      <c r="D206" s="95"/>
      <c r="E206" s="95"/>
      <c r="F206" s="95"/>
      <c r="G206" s="95"/>
      <c r="H206" s="95"/>
      <c r="J206" s="38"/>
      <c r="L206" s="42"/>
      <c r="M206" s="95" t="s">
        <v>50</v>
      </c>
      <c r="N206" s="95"/>
      <c r="O206" s="95"/>
      <c r="P206" s="95"/>
      <c r="Q206" s="95"/>
      <c r="R206" s="95"/>
      <c r="S206" s="41"/>
      <c r="T206" s="43"/>
      <c r="U206" s="41"/>
      <c r="V206" s="42"/>
      <c r="W206" s="95" t="str">
        <f>C206</f>
        <v>LTC</v>
      </c>
      <c r="X206" s="95"/>
      <c r="Y206" s="95"/>
      <c r="Z206" s="95"/>
      <c r="AA206" s="95"/>
      <c r="AB206" s="95"/>
      <c r="AD206" s="38"/>
      <c r="AF206" s="42"/>
      <c r="AG206" s="95" t="str">
        <f>W206</f>
        <v>LTC</v>
      </c>
      <c r="AH206" s="95"/>
      <c r="AI206" s="95"/>
      <c r="AJ206" s="95"/>
      <c r="AK206" s="95"/>
      <c r="AL206" s="95"/>
      <c r="AM206" s="41"/>
      <c r="AN206" s="43"/>
      <c r="AO206" s="41"/>
      <c r="AP206" s="42"/>
      <c r="AQ206" s="95" t="str">
        <f>C206</f>
        <v>LTC</v>
      </c>
      <c r="AR206" s="95"/>
      <c r="AS206" s="95"/>
      <c r="AT206" s="95"/>
      <c r="AU206" s="95"/>
      <c r="AV206" s="95"/>
      <c r="AX206" s="38"/>
      <c r="AZ206" s="42"/>
      <c r="BA206" s="95" t="str">
        <f>C206</f>
        <v>LTC</v>
      </c>
      <c r="BB206" s="95"/>
      <c r="BC206" s="95"/>
      <c r="BD206" s="95"/>
      <c r="BE206" s="95"/>
      <c r="BF206" s="95"/>
    </row>
    <row r="207" spans="2:58" s="37" customFormat="1" ht="12.75" customHeight="1" x14ac:dyDescent="0.45">
      <c r="B207" s="44" t="s">
        <v>52</v>
      </c>
      <c r="C207" s="45" t="s">
        <v>143</v>
      </c>
      <c r="D207" s="45" t="s">
        <v>144</v>
      </c>
      <c r="E207" s="45" t="s">
        <v>145</v>
      </c>
      <c r="F207" s="45" t="s">
        <v>146</v>
      </c>
      <c r="G207" s="45" t="s">
        <v>147</v>
      </c>
      <c r="H207" s="45" t="s">
        <v>148</v>
      </c>
      <c r="J207" s="38"/>
      <c r="L207" s="44" t="s">
        <v>52</v>
      </c>
      <c r="M207" s="45" t="s">
        <v>143</v>
      </c>
      <c r="N207" s="45" t="s">
        <v>144</v>
      </c>
      <c r="O207" s="45" t="s">
        <v>145</v>
      </c>
      <c r="P207" s="45" t="s">
        <v>146</v>
      </c>
      <c r="Q207" s="45" t="s">
        <v>147</v>
      </c>
      <c r="R207" s="45" t="s">
        <v>148</v>
      </c>
      <c r="S207" s="41"/>
      <c r="T207" s="43"/>
      <c r="U207" s="41"/>
      <c r="V207" s="44" t="str">
        <f t="shared" ref="V207:V219" si="181">B207</f>
        <v>AR-LTV</v>
      </c>
      <c r="W207" s="45" t="str">
        <f>C207</f>
        <v>&lt;74.99%</v>
      </c>
      <c r="X207" s="45" t="str">
        <f>D207</f>
        <v>75.00%-80.00%</v>
      </c>
      <c r="Y207" s="45" t="str">
        <f>E207</f>
        <v>80.01%-85.00%</v>
      </c>
      <c r="Z207" s="45" t="str">
        <f>F207</f>
        <v>85.01%-87.50%</v>
      </c>
      <c r="AA207" s="45" t="str">
        <f>G207</f>
        <v>87.51%-89.99%</v>
      </c>
      <c r="AB207" s="45" t="str">
        <f>H207</f>
        <v>90.00%-92.50%</v>
      </c>
      <c r="AD207" s="38"/>
      <c r="AF207" s="44" t="str">
        <f t="shared" ref="AF207:AF219" si="182">V207</f>
        <v>AR-LTV</v>
      </c>
      <c r="AG207" s="45" t="str">
        <f>W207</f>
        <v>&lt;74.99%</v>
      </c>
      <c r="AH207" s="45" t="str">
        <f>X207</f>
        <v>75.00%-80.00%</v>
      </c>
      <c r="AI207" s="45" t="str">
        <f>Y207</f>
        <v>80.01%-85.00%</v>
      </c>
      <c r="AJ207" s="45" t="str">
        <f>Z207</f>
        <v>85.01%-87.50%</v>
      </c>
      <c r="AK207" s="45" t="str">
        <f>AA207</f>
        <v>87.51%-89.99%</v>
      </c>
      <c r="AL207" s="45" t="str">
        <f>AB207</f>
        <v>90.00%-92.50%</v>
      </c>
      <c r="AM207" s="41"/>
      <c r="AN207" s="43"/>
      <c r="AO207" s="41"/>
      <c r="AP207" s="44" t="str">
        <f t="shared" ref="AP207:AP219" si="183">B207</f>
        <v>AR-LTV</v>
      </c>
      <c r="AQ207" s="45" t="str">
        <f>C207</f>
        <v>&lt;74.99%</v>
      </c>
      <c r="AR207" s="45" t="str">
        <f>D207</f>
        <v>75.00%-80.00%</v>
      </c>
      <c r="AS207" s="45" t="str">
        <f>E207</f>
        <v>80.01%-85.00%</v>
      </c>
      <c r="AT207" s="45" t="str">
        <f>F207</f>
        <v>85.01%-87.50%</v>
      </c>
      <c r="AU207" s="45" t="str">
        <f>G207</f>
        <v>87.51%-89.99%</v>
      </c>
      <c r="AV207" s="45" t="str">
        <f>H207</f>
        <v>90.00%-92.50%</v>
      </c>
      <c r="AX207" s="38"/>
      <c r="AZ207" s="44" t="str">
        <f t="shared" ref="AZ207:AZ219" si="184">B207</f>
        <v>AR-LTV</v>
      </c>
      <c r="BA207" s="45" t="str">
        <f>C207</f>
        <v>&lt;74.99%</v>
      </c>
      <c r="BB207" s="45" t="str">
        <f>D207</f>
        <v>75.00%-80.00%</v>
      </c>
      <c r="BC207" s="45" t="str">
        <f>E207</f>
        <v>80.01%-85.00%</v>
      </c>
      <c r="BD207" s="45" t="str">
        <f>F207</f>
        <v>85.01%-87.50%</v>
      </c>
      <c r="BE207" s="45" t="str">
        <f>G207</f>
        <v>87.51%-89.99%</v>
      </c>
      <c r="BF207" s="45" t="str">
        <f>H207</f>
        <v>90.00%-92.50%</v>
      </c>
    </row>
    <row r="208" spans="2:58" s="37" customFormat="1" ht="12.75" customHeight="1" x14ac:dyDescent="0.45">
      <c r="B208" s="46" t="s">
        <v>149</v>
      </c>
      <c r="C208" s="49" t="s">
        <v>150</v>
      </c>
      <c r="D208" s="49" t="s">
        <v>150</v>
      </c>
      <c r="E208" s="49" t="s">
        <v>150</v>
      </c>
      <c r="F208" s="49" t="s">
        <v>150</v>
      </c>
      <c r="G208" s="49" t="s">
        <v>150</v>
      </c>
      <c r="H208" s="49" t="s">
        <v>150</v>
      </c>
      <c r="J208" s="38"/>
      <c r="L208" s="46" t="s">
        <v>149</v>
      </c>
      <c r="M208" s="49" t="s">
        <v>150</v>
      </c>
      <c r="N208" s="49" t="s">
        <v>150</v>
      </c>
      <c r="O208" s="49" t="s">
        <v>150</v>
      </c>
      <c r="P208" s="49" t="s">
        <v>150</v>
      </c>
      <c r="Q208" s="49" t="s">
        <v>150</v>
      </c>
      <c r="R208" s="49" t="s">
        <v>150</v>
      </c>
      <c r="S208" s="50"/>
      <c r="T208" s="51"/>
      <c r="U208" s="41"/>
      <c r="V208" s="46" t="str">
        <f t="shared" si="181"/>
        <v>70.01%-75.00%</v>
      </c>
      <c r="W208" s="49" t="s">
        <v>150</v>
      </c>
      <c r="X208" s="49" t="s">
        <v>150</v>
      </c>
      <c r="Y208" s="49" t="s">
        <v>150</v>
      </c>
      <c r="Z208" s="49" t="s">
        <v>150</v>
      </c>
      <c r="AA208" s="49" t="s">
        <v>150</v>
      </c>
      <c r="AB208" s="49" t="s">
        <v>150</v>
      </c>
      <c r="AD208" s="38"/>
      <c r="AF208" s="46" t="str">
        <f t="shared" si="182"/>
        <v>70.01%-75.00%</v>
      </c>
      <c r="AG208" s="49" t="s">
        <v>150</v>
      </c>
      <c r="AH208" s="49" t="s">
        <v>150</v>
      </c>
      <c r="AI208" s="49" t="s">
        <v>150</v>
      </c>
      <c r="AJ208" s="49" t="s">
        <v>150</v>
      </c>
      <c r="AK208" s="49" t="s">
        <v>150</v>
      </c>
      <c r="AL208" s="49" t="s">
        <v>150</v>
      </c>
      <c r="AM208" s="50"/>
      <c r="AN208" s="51"/>
      <c r="AO208" s="41"/>
      <c r="AP208" s="46" t="str">
        <f t="shared" si="183"/>
        <v>70.01%-75.00%</v>
      </c>
      <c r="AQ208" s="49" t="s">
        <v>150</v>
      </c>
      <c r="AR208" s="49" t="s">
        <v>150</v>
      </c>
      <c r="AS208" s="49" t="s">
        <v>150</v>
      </c>
      <c r="AT208" s="49" t="s">
        <v>150</v>
      </c>
      <c r="AU208" s="49" t="s">
        <v>150</v>
      </c>
      <c r="AV208" s="49" t="s">
        <v>150</v>
      </c>
      <c r="AX208" s="38"/>
      <c r="AZ208" s="46" t="str">
        <f t="shared" si="184"/>
        <v>70.01%-75.00%</v>
      </c>
      <c r="BA208" s="49" t="s">
        <v>150</v>
      </c>
      <c r="BB208" s="49" t="s">
        <v>150</v>
      </c>
      <c r="BC208" s="49" t="s">
        <v>150</v>
      </c>
      <c r="BD208" s="49" t="s">
        <v>150</v>
      </c>
      <c r="BE208" s="49" t="s">
        <v>150</v>
      </c>
      <c r="BF208" s="49" t="s">
        <v>150</v>
      </c>
    </row>
    <row r="209" spans="2:58" s="37" customFormat="1" ht="12.75" customHeight="1" x14ac:dyDescent="0.45">
      <c r="B209" s="52" t="s">
        <v>151</v>
      </c>
      <c r="C209" s="54" t="s">
        <v>150</v>
      </c>
      <c r="D209" s="54" t="s">
        <v>150</v>
      </c>
      <c r="E209" s="54" t="s">
        <v>150</v>
      </c>
      <c r="F209" s="54" t="s">
        <v>150</v>
      </c>
      <c r="G209" s="54" t="s">
        <v>150</v>
      </c>
      <c r="H209" s="54" t="s">
        <v>150</v>
      </c>
      <c r="J209" s="38"/>
      <c r="L209" s="52" t="s">
        <v>151</v>
      </c>
      <c r="M209" s="54" t="s">
        <v>150</v>
      </c>
      <c r="N209" s="54" t="s">
        <v>150</v>
      </c>
      <c r="O209" s="54" t="s">
        <v>150</v>
      </c>
      <c r="P209" s="54" t="s">
        <v>150</v>
      </c>
      <c r="Q209" s="54" t="s">
        <v>150</v>
      </c>
      <c r="R209" s="54" t="s">
        <v>150</v>
      </c>
      <c r="S209" s="55"/>
      <c r="T209" s="56"/>
      <c r="U209" s="41"/>
      <c r="V209" s="52" t="str">
        <f t="shared" si="181"/>
        <v>FICO 700+</v>
      </c>
      <c r="W209" s="54" t="s">
        <v>150</v>
      </c>
      <c r="X209" s="54" t="s">
        <v>150</v>
      </c>
      <c r="Y209" s="54" t="s">
        <v>150</v>
      </c>
      <c r="Z209" s="54" t="s">
        <v>150</v>
      </c>
      <c r="AA209" s="54" t="s">
        <v>150</v>
      </c>
      <c r="AB209" s="54" t="s">
        <v>150</v>
      </c>
      <c r="AD209" s="38"/>
      <c r="AF209" s="52" t="str">
        <f t="shared" si="182"/>
        <v>FICO 700+</v>
      </c>
      <c r="AG209" s="54" t="s">
        <v>150</v>
      </c>
      <c r="AH209" s="54" t="s">
        <v>150</v>
      </c>
      <c r="AI209" s="54" t="s">
        <v>150</v>
      </c>
      <c r="AJ209" s="54" t="s">
        <v>150</v>
      </c>
      <c r="AK209" s="54" t="s">
        <v>150</v>
      </c>
      <c r="AL209" s="54" t="s">
        <v>150</v>
      </c>
      <c r="AM209" s="55"/>
      <c r="AN209" s="56"/>
      <c r="AO209" s="41"/>
      <c r="AP209" s="52" t="str">
        <f t="shared" si="183"/>
        <v>FICO 700+</v>
      </c>
      <c r="AQ209" s="54" t="s">
        <v>150</v>
      </c>
      <c r="AR209" s="54" t="s">
        <v>150</v>
      </c>
      <c r="AS209" s="54" t="s">
        <v>150</v>
      </c>
      <c r="AT209" s="54" t="s">
        <v>150</v>
      </c>
      <c r="AU209" s="54" t="s">
        <v>150</v>
      </c>
      <c r="AV209" s="54" t="s">
        <v>150</v>
      </c>
      <c r="AX209" s="38"/>
      <c r="AZ209" s="52" t="str">
        <f t="shared" si="184"/>
        <v>FICO 700+</v>
      </c>
      <c r="BA209" s="54" t="s">
        <v>150</v>
      </c>
      <c r="BB209" s="54" t="s">
        <v>150</v>
      </c>
      <c r="BC209" s="54" t="s">
        <v>150</v>
      </c>
      <c r="BD209" s="54" t="s">
        <v>150</v>
      </c>
      <c r="BE209" s="54" t="s">
        <v>150</v>
      </c>
      <c r="BF209" s="54" t="s">
        <v>150</v>
      </c>
    </row>
    <row r="210" spans="2:58" s="37" customFormat="1" ht="12.75" customHeight="1" x14ac:dyDescent="0.45">
      <c r="B210" s="52" t="s">
        <v>158</v>
      </c>
      <c r="C210" s="54" t="s">
        <v>150</v>
      </c>
      <c r="D210" s="54" t="s">
        <v>150</v>
      </c>
      <c r="E210" s="54" t="s">
        <v>150</v>
      </c>
      <c r="F210" s="54" t="s">
        <v>150</v>
      </c>
      <c r="G210" s="54" t="s">
        <v>150</v>
      </c>
      <c r="H210" s="54" t="s">
        <v>150</v>
      </c>
      <c r="J210" s="38"/>
      <c r="L210" s="52" t="s">
        <v>158</v>
      </c>
      <c r="M210" s="54" t="s">
        <v>150</v>
      </c>
      <c r="N210" s="54" t="s">
        <v>150</v>
      </c>
      <c r="O210" s="54" t="s">
        <v>150</v>
      </c>
      <c r="P210" s="54" t="s">
        <v>150</v>
      </c>
      <c r="Q210" s="54" t="s">
        <v>150</v>
      </c>
      <c r="R210" s="54" t="s">
        <v>150</v>
      </c>
      <c r="S210" s="55"/>
      <c r="T210" s="56"/>
      <c r="U210" s="41"/>
      <c r="V210" s="52" t="str">
        <f t="shared" si="181"/>
        <v>FICO 680-699</v>
      </c>
      <c r="W210" s="54" t="s">
        <v>150</v>
      </c>
      <c r="X210" s="54" t="s">
        <v>150</v>
      </c>
      <c r="Y210" s="54" t="s">
        <v>150</v>
      </c>
      <c r="Z210" s="54" t="s">
        <v>150</v>
      </c>
      <c r="AA210" s="54" t="s">
        <v>150</v>
      </c>
      <c r="AB210" s="54" t="s">
        <v>150</v>
      </c>
      <c r="AD210" s="38"/>
      <c r="AF210" s="52" t="str">
        <f t="shared" si="182"/>
        <v>FICO 680-699</v>
      </c>
      <c r="AG210" s="54" t="s">
        <v>150</v>
      </c>
      <c r="AH210" s="54" t="s">
        <v>150</v>
      </c>
      <c r="AI210" s="54" t="s">
        <v>150</v>
      </c>
      <c r="AJ210" s="54" t="s">
        <v>150</v>
      </c>
      <c r="AK210" s="54" t="s">
        <v>150</v>
      </c>
      <c r="AL210" s="54" t="s">
        <v>150</v>
      </c>
      <c r="AM210" s="55"/>
      <c r="AN210" s="56"/>
      <c r="AO210" s="41"/>
      <c r="AP210" s="52" t="str">
        <f t="shared" si="183"/>
        <v>FICO 680-699</v>
      </c>
      <c r="AQ210" s="54" t="s">
        <v>150</v>
      </c>
      <c r="AR210" s="54" t="s">
        <v>150</v>
      </c>
      <c r="AS210" s="54" t="s">
        <v>150</v>
      </c>
      <c r="AT210" s="54" t="s">
        <v>150</v>
      </c>
      <c r="AU210" s="54" t="s">
        <v>150</v>
      </c>
      <c r="AV210" s="54" t="s">
        <v>150</v>
      </c>
      <c r="AX210" s="38"/>
      <c r="AZ210" s="52" t="str">
        <f t="shared" si="184"/>
        <v>FICO 680-699</v>
      </c>
      <c r="BA210" s="54" t="s">
        <v>150</v>
      </c>
      <c r="BB210" s="54" t="s">
        <v>150</v>
      </c>
      <c r="BC210" s="54" t="s">
        <v>150</v>
      </c>
      <c r="BD210" s="54" t="s">
        <v>150</v>
      </c>
      <c r="BE210" s="54" t="s">
        <v>150</v>
      </c>
      <c r="BF210" s="54" t="s">
        <v>150</v>
      </c>
    </row>
    <row r="211" spans="2:58" s="37" customFormat="1" ht="12.75" customHeight="1" x14ac:dyDescent="0.45">
      <c r="B211" s="57" t="s">
        <v>159</v>
      </c>
      <c r="C211" s="59" t="s">
        <v>150</v>
      </c>
      <c r="D211" s="59" t="s">
        <v>150</v>
      </c>
      <c r="E211" s="59" t="s">
        <v>150</v>
      </c>
      <c r="F211" s="59" t="s">
        <v>150</v>
      </c>
      <c r="G211" s="59" t="s">
        <v>150</v>
      </c>
      <c r="H211" s="59" t="s">
        <v>150</v>
      </c>
      <c r="J211" s="38"/>
      <c r="L211" s="57" t="s">
        <v>159</v>
      </c>
      <c r="M211" s="59" t="s">
        <v>150</v>
      </c>
      <c r="N211" s="59" t="s">
        <v>150</v>
      </c>
      <c r="O211" s="59" t="s">
        <v>150</v>
      </c>
      <c r="P211" s="59" t="s">
        <v>150</v>
      </c>
      <c r="Q211" s="59" t="s">
        <v>150</v>
      </c>
      <c r="R211" s="59" t="s">
        <v>150</v>
      </c>
      <c r="S211" s="55"/>
      <c r="T211" s="56"/>
      <c r="U211" s="41"/>
      <c r="V211" s="57" t="str">
        <f t="shared" si="181"/>
        <v>FICO 640-679</v>
      </c>
      <c r="W211" s="59" t="s">
        <v>150</v>
      </c>
      <c r="X211" s="59" t="s">
        <v>150</v>
      </c>
      <c r="Y211" s="59" t="s">
        <v>150</v>
      </c>
      <c r="Z211" s="59" t="s">
        <v>150</v>
      </c>
      <c r="AA211" s="59" t="s">
        <v>150</v>
      </c>
      <c r="AB211" s="59" t="s">
        <v>150</v>
      </c>
      <c r="AD211" s="38"/>
      <c r="AF211" s="57" t="str">
        <f t="shared" si="182"/>
        <v>FICO 640-679</v>
      </c>
      <c r="AG211" s="59" t="s">
        <v>150</v>
      </c>
      <c r="AH211" s="59" t="s">
        <v>150</v>
      </c>
      <c r="AI211" s="59" t="s">
        <v>150</v>
      </c>
      <c r="AJ211" s="59" t="s">
        <v>150</v>
      </c>
      <c r="AK211" s="59" t="s">
        <v>150</v>
      </c>
      <c r="AL211" s="59" t="s">
        <v>150</v>
      </c>
      <c r="AM211" s="55"/>
      <c r="AN211" s="56"/>
      <c r="AO211" s="41"/>
      <c r="AP211" s="57" t="str">
        <f t="shared" si="183"/>
        <v>FICO 640-679</v>
      </c>
      <c r="AQ211" s="59" t="s">
        <v>150</v>
      </c>
      <c r="AR211" s="59" t="s">
        <v>150</v>
      </c>
      <c r="AS211" s="59" t="s">
        <v>150</v>
      </c>
      <c r="AT211" s="59" t="s">
        <v>150</v>
      </c>
      <c r="AU211" s="59" t="s">
        <v>150</v>
      </c>
      <c r="AV211" s="59" t="s">
        <v>150</v>
      </c>
      <c r="AX211" s="38"/>
      <c r="AZ211" s="57" t="str">
        <f t="shared" si="184"/>
        <v>FICO 640-679</v>
      </c>
      <c r="BA211" s="59" t="s">
        <v>150</v>
      </c>
      <c r="BB211" s="59" t="s">
        <v>150</v>
      </c>
      <c r="BC211" s="59" t="s">
        <v>150</v>
      </c>
      <c r="BD211" s="59" t="s">
        <v>150</v>
      </c>
      <c r="BE211" s="59" t="s">
        <v>150</v>
      </c>
      <c r="BF211" s="59" t="s">
        <v>150</v>
      </c>
    </row>
    <row r="212" spans="2:58" s="37" customFormat="1" ht="12.75" customHeight="1" x14ac:dyDescent="0.45">
      <c r="B212" s="60" t="s">
        <v>154</v>
      </c>
      <c r="C212" s="64" t="s">
        <v>150</v>
      </c>
      <c r="D212" s="64" t="s">
        <v>150</v>
      </c>
      <c r="E212" s="64" t="s">
        <v>150</v>
      </c>
      <c r="F212" s="64" t="s">
        <v>150</v>
      </c>
      <c r="G212" s="64" t="s">
        <v>150</v>
      </c>
      <c r="H212" s="64" t="s">
        <v>150</v>
      </c>
      <c r="J212" s="38"/>
      <c r="L212" s="60" t="s">
        <v>154</v>
      </c>
      <c r="M212" s="64" t="s">
        <v>150</v>
      </c>
      <c r="N212" s="64" t="s">
        <v>150</v>
      </c>
      <c r="O212" s="64" t="s">
        <v>150</v>
      </c>
      <c r="P212" s="64" t="s">
        <v>150</v>
      </c>
      <c r="Q212" s="64" t="s">
        <v>150</v>
      </c>
      <c r="R212" s="64" t="s">
        <v>150</v>
      </c>
      <c r="S212" s="50"/>
      <c r="T212" s="51"/>
      <c r="U212" s="41"/>
      <c r="V212" s="60" t="str">
        <f t="shared" si="181"/>
        <v>65.00%-70.00%</v>
      </c>
      <c r="W212" s="64" t="s">
        <v>150</v>
      </c>
      <c r="X212" s="64" t="s">
        <v>150</v>
      </c>
      <c r="Y212" s="64" t="s">
        <v>150</v>
      </c>
      <c r="Z212" s="64" t="s">
        <v>150</v>
      </c>
      <c r="AA212" s="64" t="s">
        <v>150</v>
      </c>
      <c r="AB212" s="64" t="s">
        <v>150</v>
      </c>
      <c r="AD212" s="38"/>
      <c r="AF212" s="60" t="str">
        <f t="shared" si="182"/>
        <v>65.00%-70.00%</v>
      </c>
      <c r="AG212" s="64" t="s">
        <v>150</v>
      </c>
      <c r="AH212" s="64" t="s">
        <v>150</v>
      </c>
      <c r="AI212" s="64" t="s">
        <v>150</v>
      </c>
      <c r="AJ212" s="64" t="s">
        <v>150</v>
      </c>
      <c r="AK212" s="64" t="s">
        <v>150</v>
      </c>
      <c r="AL212" s="64" t="s">
        <v>150</v>
      </c>
      <c r="AM212" s="50"/>
      <c r="AN212" s="51"/>
      <c r="AO212" s="41"/>
      <c r="AP212" s="60" t="str">
        <f t="shared" si="183"/>
        <v>65.00%-70.00%</v>
      </c>
      <c r="AQ212" s="64" t="s">
        <v>150</v>
      </c>
      <c r="AR212" s="64" t="s">
        <v>150</v>
      </c>
      <c r="AS212" s="64" t="s">
        <v>150</v>
      </c>
      <c r="AT212" s="64" t="s">
        <v>150</v>
      </c>
      <c r="AU212" s="64" t="s">
        <v>150</v>
      </c>
      <c r="AV212" s="64" t="s">
        <v>150</v>
      </c>
      <c r="AX212" s="38"/>
      <c r="AZ212" s="60" t="str">
        <f t="shared" si="184"/>
        <v>65.00%-70.00%</v>
      </c>
      <c r="BA212" s="64" t="s">
        <v>150</v>
      </c>
      <c r="BB212" s="64" t="s">
        <v>150</v>
      </c>
      <c r="BC212" s="64" t="s">
        <v>150</v>
      </c>
      <c r="BD212" s="64" t="s">
        <v>150</v>
      </c>
      <c r="BE212" s="64" t="s">
        <v>150</v>
      </c>
      <c r="BF212" s="64" t="s">
        <v>150</v>
      </c>
    </row>
    <row r="213" spans="2:58" s="37" customFormat="1" ht="12.75" customHeight="1" x14ac:dyDescent="0.45">
      <c r="B213" s="52" t="s">
        <v>151</v>
      </c>
      <c r="C213" s="54" t="s">
        <v>150</v>
      </c>
      <c r="D213" s="54" t="s">
        <v>150</v>
      </c>
      <c r="E213" s="54" t="s">
        <v>150</v>
      </c>
      <c r="F213" s="54" t="s">
        <v>150</v>
      </c>
      <c r="G213" s="54" t="s">
        <v>150</v>
      </c>
      <c r="H213" s="54" t="s">
        <v>150</v>
      </c>
      <c r="J213" s="38"/>
      <c r="L213" s="52" t="s">
        <v>151</v>
      </c>
      <c r="M213" s="54" t="s">
        <v>150</v>
      </c>
      <c r="N213" s="54" t="s">
        <v>150</v>
      </c>
      <c r="O213" s="54" t="s">
        <v>150</v>
      </c>
      <c r="P213" s="54" t="s">
        <v>150</v>
      </c>
      <c r="Q213" s="54" t="s">
        <v>150</v>
      </c>
      <c r="R213" s="54" t="s">
        <v>150</v>
      </c>
      <c r="S213" s="55"/>
      <c r="T213" s="56"/>
      <c r="U213" s="41"/>
      <c r="V213" s="52" t="str">
        <f t="shared" si="181"/>
        <v>FICO 700+</v>
      </c>
      <c r="W213" s="54" t="s">
        <v>150</v>
      </c>
      <c r="X213" s="54" t="s">
        <v>150</v>
      </c>
      <c r="Y213" s="54" t="s">
        <v>150</v>
      </c>
      <c r="Z213" s="54" t="s">
        <v>150</v>
      </c>
      <c r="AA213" s="54" t="s">
        <v>150</v>
      </c>
      <c r="AB213" s="54" t="s">
        <v>150</v>
      </c>
      <c r="AD213" s="38"/>
      <c r="AF213" s="52" t="str">
        <f t="shared" si="182"/>
        <v>FICO 700+</v>
      </c>
      <c r="AG213" s="54" t="s">
        <v>150</v>
      </c>
      <c r="AH213" s="54" t="s">
        <v>150</v>
      </c>
      <c r="AI213" s="54" t="s">
        <v>150</v>
      </c>
      <c r="AJ213" s="54" t="s">
        <v>150</v>
      </c>
      <c r="AK213" s="54" t="s">
        <v>150</v>
      </c>
      <c r="AL213" s="54" t="s">
        <v>150</v>
      </c>
      <c r="AM213" s="55"/>
      <c r="AN213" s="56"/>
      <c r="AO213" s="41"/>
      <c r="AP213" s="52" t="str">
        <f t="shared" si="183"/>
        <v>FICO 700+</v>
      </c>
      <c r="AQ213" s="54" t="s">
        <v>150</v>
      </c>
      <c r="AR213" s="54" t="s">
        <v>150</v>
      </c>
      <c r="AS213" s="54" t="s">
        <v>150</v>
      </c>
      <c r="AT213" s="54" t="s">
        <v>150</v>
      </c>
      <c r="AU213" s="54" t="s">
        <v>150</v>
      </c>
      <c r="AV213" s="54" t="s">
        <v>150</v>
      </c>
      <c r="AX213" s="38"/>
      <c r="AZ213" s="52" t="str">
        <f t="shared" si="184"/>
        <v>FICO 700+</v>
      </c>
      <c r="BA213" s="54" t="s">
        <v>150</v>
      </c>
      <c r="BB213" s="54" t="s">
        <v>150</v>
      </c>
      <c r="BC213" s="54" t="s">
        <v>150</v>
      </c>
      <c r="BD213" s="54" t="s">
        <v>150</v>
      </c>
      <c r="BE213" s="54" t="s">
        <v>150</v>
      </c>
      <c r="BF213" s="54" t="s">
        <v>150</v>
      </c>
    </row>
    <row r="214" spans="2:58" s="37" customFormat="1" ht="12.75" customHeight="1" x14ac:dyDescent="0.45">
      <c r="B214" s="52" t="s">
        <v>158</v>
      </c>
      <c r="C214" s="54" t="s">
        <v>150</v>
      </c>
      <c r="D214" s="54" t="s">
        <v>150</v>
      </c>
      <c r="E214" s="54" t="s">
        <v>150</v>
      </c>
      <c r="F214" s="54" t="s">
        <v>150</v>
      </c>
      <c r="G214" s="54" t="s">
        <v>150</v>
      </c>
      <c r="H214" s="54" t="s">
        <v>150</v>
      </c>
      <c r="J214" s="38"/>
      <c r="L214" s="52" t="s">
        <v>158</v>
      </c>
      <c r="M214" s="54" t="s">
        <v>150</v>
      </c>
      <c r="N214" s="54" t="s">
        <v>150</v>
      </c>
      <c r="O214" s="54" t="s">
        <v>150</v>
      </c>
      <c r="P214" s="54" t="s">
        <v>150</v>
      </c>
      <c r="Q214" s="54" t="s">
        <v>150</v>
      </c>
      <c r="R214" s="54" t="s">
        <v>150</v>
      </c>
      <c r="S214" s="55"/>
      <c r="T214" s="56"/>
      <c r="U214" s="41"/>
      <c r="V214" s="52" t="str">
        <f t="shared" si="181"/>
        <v>FICO 680-699</v>
      </c>
      <c r="W214" s="54" t="s">
        <v>150</v>
      </c>
      <c r="X214" s="54" t="s">
        <v>150</v>
      </c>
      <c r="Y214" s="54" t="s">
        <v>150</v>
      </c>
      <c r="Z214" s="54" t="s">
        <v>150</v>
      </c>
      <c r="AA214" s="54" t="s">
        <v>150</v>
      </c>
      <c r="AB214" s="54" t="s">
        <v>150</v>
      </c>
      <c r="AD214" s="38"/>
      <c r="AF214" s="52" t="str">
        <f t="shared" si="182"/>
        <v>FICO 680-699</v>
      </c>
      <c r="AG214" s="54" t="s">
        <v>150</v>
      </c>
      <c r="AH214" s="54" t="s">
        <v>150</v>
      </c>
      <c r="AI214" s="54" t="s">
        <v>150</v>
      </c>
      <c r="AJ214" s="54" t="s">
        <v>150</v>
      </c>
      <c r="AK214" s="54" t="s">
        <v>150</v>
      </c>
      <c r="AL214" s="54" t="s">
        <v>150</v>
      </c>
      <c r="AM214" s="55"/>
      <c r="AN214" s="56"/>
      <c r="AO214" s="41"/>
      <c r="AP214" s="52" t="str">
        <f t="shared" si="183"/>
        <v>FICO 680-699</v>
      </c>
      <c r="AQ214" s="54" t="s">
        <v>150</v>
      </c>
      <c r="AR214" s="54" t="s">
        <v>150</v>
      </c>
      <c r="AS214" s="54" t="s">
        <v>150</v>
      </c>
      <c r="AT214" s="54" t="s">
        <v>150</v>
      </c>
      <c r="AU214" s="54" t="s">
        <v>150</v>
      </c>
      <c r="AV214" s="54" t="s">
        <v>150</v>
      </c>
      <c r="AX214" s="38"/>
      <c r="AZ214" s="52" t="str">
        <f t="shared" si="184"/>
        <v>FICO 680-699</v>
      </c>
      <c r="BA214" s="54" t="s">
        <v>150</v>
      </c>
      <c r="BB214" s="54" t="s">
        <v>150</v>
      </c>
      <c r="BC214" s="54" t="s">
        <v>150</v>
      </c>
      <c r="BD214" s="54" t="s">
        <v>150</v>
      </c>
      <c r="BE214" s="54" t="s">
        <v>150</v>
      </c>
      <c r="BF214" s="54" t="s">
        <v>150</v>
      </c>
    </row>
    <row r="215" spans="2:58" s="37" customFormat="1" ht="12.75" customHeight="1" x14ac:dyDescent="0.45">
      <c r="B215" s="57" t="s">
        <v>159</v>
      </c>
      <c r="C215" s="59" t="s">
        <v>150</v>
      </c>
      <c r="D215" s="59" t="s">
        <v>150</v>
      </c>
      <c r="E215" s="59" t="s">
        <v>150</v>
      </c>
      <c r="F215" s="59" t="s">
        <v>150</v>
      </c>
      <c r="G215" s="59" t="s">
        <v>150</v>
      </c>
      <c r="H215" s="59" t="s">
        <v>150</v>
      </c>
      <c r="J215" s="38"/>
      <c r="L215" s="57" t="s">
        <v>159</v>
      </c>
      <c r="M215" s="59" t="s">
        <v>150</v>
      </c>
      <c r="N215" s="59" t="s">
        <v>150</v>
      </c>
      <c r="O215" s="59" t="s">
        <v>150</v>
      </c>
      <c r="P215" s="59" t="s">
        <v>150</v>
      </c>
      <c r="Q215" s="59" t="s">
        <v>150</v>
      </c>
      <c r="R215" s="59" t="s">
        <v>150</v>
      </c>
      <c r="S215" s="55"/>
      <c r="T215" s="56"/>
      <c r="U215" s="41"/>
      <c r="V215" s="57" t="str">
        <f t="shared" si="181"/>
        <v>FICO 640-679</v>
      </c>
      <c r="W215" s="59" t="s">
        <v>150</v>
      </c>
      <c r="X215" s="59" t="s">
        <v>150</v>
      </c>
      <c r="Y215" s="59" t="s">
        <v>150</v>
      </c>
      <c r="Z215" s="59" t="s">
        <v>150</v>
      </c>
      <c r="AA215" s="59" t="s">
        <v>150</v>
      </c>
      <c r="AB215" s="59" t="s">
        <v>150</v>
      </c>
      <c r="AD215" s="38"/>
      <c r="AF215" s="57" t="str">
        <f t="shared" si="182"/>
        <v>FICO 640-679</v>
      </c>
      <c r="AG215" s="59" t="s">
        <v>150</v>
      </c>
      <c r="AH215" s="59" t="s">
        <v>150</v>
      </c>
      <c r="AI215" s="59" t="s">
        <v>150</v>
      </c>
      <c r="AJ215" s="59" t="s">
        <v>150</v>
      </c>
      <c r="AK215" s="59" t="s">
        <v>150</v>
      </c>
      <c r="AL215" s="59" t="s">
        <v>150</v>
      </c>
      <c r="AM215" s="55"/>
      <c r="AN215" s="56"/>
      <c r="AO215" s="41"/>
      <c r="AP215" s="57" t="str">
        <f t="shared" si="183"/>
        <v>FICO 640-679</v>
      </c>
      <c r="AQ215" s="59" t="s">
        <v>150</v>
      </c>
      <c r="AR215" s="59" t="s">
        <v>150</v>
      </c>
      <c r="AS215" s="59" t="s">
        <v>150</v>
      </c>
      <c r="AT215" s="59" t="s">
        <v>150</v>
      </c>
      <c r="AU215" s="59" t="s">
        <v>150</v>
      </c>
      <c r="AV215" s="59" t="s">
        <v>150</v>
      </c>
      <c r="AX215" s="38"/>
      <c r="AZ215" s="57" t="str">
        <f t="shared" si="184"/>
        <v>FICO 640-679</v>
      </c>
      <c r="BA215" s="59" t="s">
        <v>150</v>
      </c>
      <c r="BB215" s="59" t="s">
        <v>150</v>
      </c>
      <c r="BC215" s="59" t="s">
        <v>150</v>
      </c>
      <c r="BD215" s="59" t="s">
        <v>150</v>
      </c>
      <c r="BE215" s="59" t="s">
        <v>150</v>
      </c>
      <c r="BF215" s="59" t="s">
        <v>150</v>
      </c>
    </row>
    <row r="216" spans="2:58" s="37" customFormat="1" ht="12.75" customHeight="1" x14ac:dyDescent="0.45">
      <c r="B216" s="46" t="s">
        <v>155</v>
      </c>
      <c r="C216" s="64" t="s">
        <v>150</v>
      </c>
      <c r="D216" s="64" t="s">
        <v>150</v>
      </c>
      <c r="E216" s="64" t="s">
        <v>150</v>
      </c>
      <c r="F216" s="64" t="s">
        <v>150</v>
      </c>
      <c r="G216" s="64" t="s">
        <v>150</v>
      </c>
      <c r="H216" s="64" t="s">
        <v>150</v>
      </c>
      <c r="J216" s="38"/>
      <c r="L216" s="60" t="s">
        <v>155</v>
      </c>
      <c r="M216" s="49" t="s">
        <v>150</v>
      </c>
      <c r="N216" s="49" t="s">
        <v>150</v>
      </c>
      <c r="O216" s="49" t="s">
        <v>150</v>
      </c>
      <c r="P216" s="49" t="s">
        <v>150</v>
      </c>
      <c r="Q216" s="49" t="s">
        <v>150</v>
      </c>
      <c r="R216" s="49" t="s">
        <v>150</v>
      </c>
      <c r="S216" s="50"/>
      <c r="T216" s="51"/>
      <c r="U216" s="41"/>
      <c r="V216" s="60" t="str">
        <f t="shared" si="181"/>
        <v>&lt;64.99%</v>
      </c>
      <c r="W216" s="64" t="s">
        <v>150</v>
      </c>
      <c r="X216" s="64" t="s">
        <v>150</v>
      </c>
      <c r="Y216" s="64" t="s">
        <v>150</v>
      </c>
      <c r="Z216" s="64" t="s">
        <v>150</v>
      </c>
      <c r="AA216" s="64" t="s">
        <v>150</v>
      </c>
      <c r="AB216" s="64" t="s">
        <v>150</v>
      </c>
      <c r="AD216" s="38"/>
      <c r="AF216" s="60" t="str">
        <f t="shared" si="182"/>
        <v>&lt;64.99%</v>
      </c>
      <c r="AG216" s="49" t="s">
        <v>150</v>
      </c>
      <c r="AH216" s="49" t="s">
        <v>150</v>
      </c>
      <c r="AI216" s="49" t="s">
        <v>150</v>
      </c>
      <c r="AJ216" s="49" t="s">
        <v>150</v>
      </c>
      <c r="AK216" s="49" t="s">
        <v>150</v>
      </c>
      <c r="AL216" s="49" t="s">
        <v>150</v>
      </c>
      <c r="AM216" s="50"/>
      <c r="AN216" s="51"/>
      <c r="AO216" s="41"/>
      <c r="AP216" s="60" t="str">
        <f t="shared" si="183"/>
        <v>&lt;64.99%</v>
      </c>
      <c r="AQ216" s="64" t="s">
        <v>150</v>
      </c>
      <c r="AR216" s="64" t="s">
        <v>150</v>
      </c>
      <c r="AS216" s="64" t="s">
        <v>150</v>
      </c>
      <c r="AT216" s="64" t="s">
        <v>150</v>
      </c>
      <c r="AU216" s="64" t="s">
        <v>150</v>
      </c>
      <c r="AV216" s="64" t="s">
        <v>150</v>
      </c>
      <c r="AX216" s="38"/>
      <c r="AZ216" s="60" t="str">
        <f t="shared" si="184"/>
        <v>&lt;64.99%</v>
      </c>
      <c r="BA216" s="49" t="s">
        <v>150</v>
      </c>
      <c r="BB216" s="49" t="s">
        <v>150</v>
      </c>
      <c r="BC216" s="49" t="s">
        <v>150</v>
      </c>
      <c r="BD216" s="49" t="s">
        <v>150</v>
      </c>
      <c r="BE216" s="49" t="s">
        <v>150</v>
      </c>
      <c r="BF216" s="49" t="s">
        <v>150</v>
      </c>
    </row>
    <row r="217" spans="2:58" s="37" customFormat="1" ht="12.75" customHeight="1" x14ac:dyDescent="0.45">
      <c r="B217" s="52" t="s">
        <v>151</v>
      </c>
      <c r="C217" s="54" t="s">
        <v>150</v>
      </c>
      <c r="D217" s="54" t="s">
        <v>150</v>
      </c>
      <c r="E217" s="54" t="s">
        <v>150</v>
      </c>
      <c r="F217" s="54" t="s">
        <v>150</v>
      </c>
      <c r="G217" s="54" t="s">
        <v>150</v>
      </c>
      <c r="H217" s="54" t="s">
        <v>150</v>
      </c>
      <c r="J217" s="38"/>
      <c r="L217" s="52" t="s">
        <v>151</v>
      </c>
      <c r="M217" s="54" t="s">
        <v>150</v>
      </c>
      <c r="N217" s="54" t="s">
        <v>150</v>
      </c>
      <c r="O217" s="54" t="s">
        <v>150</v>
      </c>
      <c r="P217" s="54" t="s">
        <v>150</v>
      </c>
      <c r="Q217" s="54" t="s">
        <v>150</v>
      </c>
      <c r="R217" s="54" t="s">
        <v>150</v>
      </c>
      <c r="S217" s="55"/>
      <c r="T217" s="56"/>
      <c r="U217" s="41"/>
      <c r="V217" s="52" t="str">
        <f t="shared" si="181"/>
        <v>FICO 700+</v>
      </c>
      <c r="W217" s="54" t="s">
        <v>150</v>
      </c>
      <c r="X217" s="54" t="s">
        <v>150</v>
      </c>
      <c r="Y217" s="54" t="s">
        <v>150</v>
      </c>
      <c r="Z217" s="54" t="s">
        <v>150</v>
      </c>
      <c r="AA217" s="54" t="s">
        <v>150</v>
      </c>
      <c r="AB217" s="54" t="s">
        <v>150</v>
      </c>
      <c r="AD217" s="38"/>
      <c r="AF217" s="52" t="str">
        <f t="shared" si="182"/>
        <v>FICO 700+</v>
      </c>
      <c r="AG217" s="54" t="s">
        <v>150</v>
      </c>
      <c r="AH217" s="54" t="s">
        <v>150</v>
      </c>
      <c r="AI217" s="54" t="s">
        <v>150</v>
      </c>
      <c r="AJ217" s="54" t="s">
        <v>150</v>
      </c>
      <c r="AK217" s="54" t="s">
        <v>150</v>
      </c>
      <c r="AL217" s="54" t="s">
        <v>150</v>
      </c>
      <c r="AM217" s="55"/>
      <c r="AN217" s="56"/>
      <c r="AO217" s="41"/>
      <c r="AP217" s="52" t="str">
        <f t="shared" si="183"/>
        <v>FICO 700+</v>
      </c>
      <c r="AQ217" s="54" t="s">
        <v>150</v>
      </c>
      <c r="AR217" s="54" t="s">
        <v>150</v>
      </c>
      <c r="AS217" s="54" t="s">
        <v>150</v>
      </c>
      <c r="AT217" s="54" t="s">
        <v>150</v>
      </c>
      <c r="AU217" s="54" t="s">
        <v>150</v>
      </c>
      <c r="AV217" s="54" t="s">
        <v>150</v>
      </c>
      <c r="AX217" s="38"/>
      <c r="AZ217" s="52" t="str">
        <f t="shared" si="184"/>
        <v>FICO 700+</v>
      </c>
      <c r="BA217" s="54" t="s">
        <v>150</v>
      </c>
      <c r="BB217" s="54" t="s">
        <v>150</v>
      </c>
      <c r="BC217" s="54" t="s">
        <v>150</v>
      </c>
      <c r="BD217" s="54" t="s">
        <v>150</v>
      </c>
      <c r="BE217" s="54" t="s">
        <v>150</v>
      </c>
      <c r="BF217" s="54" t="s">
        <v>150</v>
      </c>
    </row>
    <row r="218" spans="2:58" s="37" customFormat="1" ht="12.75" customHeight="1" x14ac:dyDescent="0.45">
      <c r="B218" s="52" t="s">
        <v>158</v>
      </c>
      <c r="C218" s="54" t="s">
        <v>150</v>
      </c>
      <c r="D218" s="54" t="s">
        <v>150</v>
      </c>
      <c r="E218" s="54" t="s">
        <v>150</v>
      </c>
      <c r="F218" s="54" t="s">
        <v>150</v>
      </c>
      <c r="G218" s="54" t="s">
        <v>150</v>
      </c>
      <c r="H218" s="54" t="s">
        <v>150</v>
      </c>
      <c r="J218" s="38"/>
      <c r="L218" s="52" t="s">
        <v>158</v>
      </c>
      <c r="M218" s="54" t="s">
        <v>150</v>
      </c>
      <c r="N218" s="54" t="s">
        <v>150</v>
      </c>
      <c r="O218" s="54" t="s">
        <v>150</v>
      </c>
      <c r="P218" s="54" t="s">
        <v>150</v>
      </c>
      <c r="Q218" s="54" t="s">
        <v>150</v>
      </c>
      <c r="R218" s="54" t="s">
        <v>150</v>
      </c>
      <c r="S218" s="55"/>
      <c r="T218" s="56"/>
      <c r="U218" s="41"/>
      <c r="V218" s="52" t="str">
        <f t="shared" si="181"/>
        <v>FICO 680-699</v>
      </c>
      <c r="W218" s="54" t="s">
        <v>150</v>
      </c>
      <c r="X218" s="54" t="s">
        <v>150</v>
      </c>
      <c r="Y218" s="54" t="s">
        <v>150</v>
      </c>
      <c r="Z218" s="54" t="s">
        <v>150</v>
      </c>
      <c r="AA218" s="54" t="s">
        <v>150</v>
      </c>
      <c r="AB218" s="54" t="s">
        <v>150</v>
      </c>
      <c r="AD218" s="38"/>
      <c r="AF218" s="52" t="str">
        <f t="shared" si="182"/>
        <v>FICO 680-699</v>
      </c>
      <c r="AG218" s="54" t="s">
        <v>150</v>
      </c>
      <c r="AH218" s="54" t="s">
        <v>150</v>
      </c>
      <c r="AI218" s="54" t="s">
        <v>150</v>
      </c>
      <c r="AJ218" s="54" t="s">
        <v>150</v>
      </c>
      <c r="AK218" s="54" t="s">
        <v>150</v>
      </c>
      <c r="AL218" s="54" t="s">
        <v>150</v>
      </c>
      <c r="AM218" s="55"/>
      <c r="AN218" s="56"/>
      <c r="AO218" s="41"/>
      <c r="AP218" s="52" t="str">
        <f t="shared" si="183"/>
        <v>FICO 680-699</v>
      </c>
      <c r="AQ218" s="54" t="s">
        <v>150</v>
      </c>
      <c r="AR218" s="54" t="s">
        <v>150</v>
      </c>
      <c r="AS218" s="54" t="s">
        <v>150</v>
      </c>
      <c r="AT218" s="54" t="s">
        <v>150</v>
      </c>
      <c r="AU218" s="54" t="s">
        <v>150</v>
      </c>
      <c r="AV218" s="54" t="s">
        <v>150</v>
      </c>
      <c r="AX218" s="38"/>
      <c r="AZ218" s="52" t="str">
        <f t="shared" si="184"/>
        <v>FICO 680-699</v>
      </c>
      <c r="BA218" s="54" t="s">
        <v>150</v>
      </c>
      <c r="BB218" s="54" t="s">
        <v>150</v>
      </c>
      <c r="BC218" s="54" t="s">
        <v>150</v>
      </c>
      <c r="BD218" s="54" t="s">
        <v>150</v>
      </c>
      <c r="BE218" s="54" t="s">
        <v>150</v>
      </c>
      <c r="BF218" s="54" t="s">
        <v>150</v>
      </c>
    </row>
    <row r="219" spans="2:58" s="37" customFormat="1" ht="12.75" customHeight="1" x14ac:dyDescent="0.45">
      <c r="B219" s="52" t="s">
        <v>159</v>
      </c>
      <c r="C219" s="54" t="s">
        <v>150</v>
      </c>
      <c r="D219" s="54" t="s">
        <v>150</v>
      </c>
      <c r="E219" s="54" t="s">
        <v>150</v>
      </c>
      <c r="F219" s="54" t="s">
        <v>150</v>
      </c>
      <c r="G219" s="54" t="s">
        <v>150</v>
      </c>
      <c r="H219" s="54" t="s">
        <v>150</v>
      </c>
      <c r="J219" s="38"/>
      <c r="L219" s="52" t="s">
        <v>159</v>
      </c>
      <c r="M219" s="54" t="s">
        <v>150</v>
      </c>
      <c r="N219" s="54" t="s">
        <v>150</v>
      </c>
      <c r="O219" s="54" t="s">
        <v>150</v>
      </c>
      <c r="P219" s="54" t="s">
        <v>150</v>
      </c>
      <c r="Q219" s="54" t="s">
        <v>150</v>
      </c>
      <c r="R219" s="54" t="s">
        <v>150</v>
      </c>
      <c r="S219" s="55"/>
      <c r="T219" s="56"/>
      <c r="U219" s="41"/>
      <c r="V219" s="52" t="str">
        <f t="shared" si="181"/>
        <v>FICO 640-679</v>
      </c>
      <c r="W219" s="54" t="s">
        <v>150</v>
      </c>
      <c r="X219" s="54" t="s">
        <v>150</v>
      </c>
      <c r="Y219" s="54" t="s">
        <v>150</v>
      </c>
      <c r="Z219" s="54" t="s">
        <v>150</v>
      </c>
      <c r="AA219" s="54" t="s">
        <v>150</v>
      </c>
      <c r="AB219" s="54" t="s">
        <v>150</v>
      </c>
      <c r="AD219" s="38"/>
      <c r="AF219" s="52" t="str">
        <f t="shared" si="182"/>
        <v>FICO 640-679</v>
      </c>
      <c r="AG219" s="54" t="s">
        <v>150</v>
      </c>
      <c r="AH219" s="54" t="s">
        <v>150</v>
      </c>
      <c r="AI219" s="54" t="s">
        <v>150</v>
      </c>
      <c r="AJ219" s="54" t="s">
        <v>150</v>
      </c>
      <c r="AK219" s="54" t="s">
        <v>150</v>
      </c>
      <c r="AL219" s="54" t="s">
        <v>150</v>
      </c>
      <c r="AM219" s="55"/>
      <c r="AN219" s="56"/>
      <c r="AO219" s="41"/>
      <c r="AP219" s="52" t="str">
        <f t="shared" si="183"/>
        <v>FICO 640-679</v>
      </c>
      <c r="AQ219" s="54" t="s">
        <v>150</v>
      </c>
      <c r="AR219" s="54" t="s">
        <v>150</v>
      </c>
      <c r="AS219" s="54" t="s">
        <v>150</v>
      </c>
      <c r="AT219" s="54" t="s">
        <v>150</v>
      </c>
      <c r="AU219" s="54" t="s">
        <v>150</v>
      </c>
      <c r="AV219" s="54" t="s">
        <v>150</v>
      </c>
      <c r="AX219" s="38"/>
      <c r="AZ219" s="52" t="str">
        <f t="shared" si="184"/>
        <v>FICO 640-679</v>
      </c>
      <c r="BA219" s="54" t="s">
        <v>150</v>
      </c>
      <c r="BB219" s="54" t="s">
        <v>150</v>
      </c>
      <c r="BC219" s="54" t="s">
        <v>150</v>
      </c>
      <c r="BD219" s="54" t="s">
        <v>150</v>
      </c>
      <c r="BE219" s="54" t="s">
        <v>150</v>
      </c>
      <c r="BF219" s="54" t="s">
        <v>150</v>
      </c>
    </row>
    <row r="220" spans="2:58" s="37" customFormat="1" ht="12.75" customHeight="1" x14ac:dyDescent="0.45">
      <c r="C220" s="63"/>
      <c r="D220" s="63"/>
      <c r="E220" s="63"/>
      <c r="F220" s="63"/>
      <c r="G220" s="63"/>
      <c r="H220" s="63"/>
      <c r="J220" s="38"/>
      <c r="S220" s="41"/>
      <c r="T220" s="43"/>
      <c r="U220" s="41"/>
      <c r="W220" s="63"/>
      <c r="X220" s="63"/>
      <c r="Y220" s="63"/>
      <c r="Z220" s="63"/>
      <c r="AA220" s="63"/>
      <c r="AB220" s="63"/>
      <c r="AD220" s="38"/>
      <c r="AM220" s="41"/>
      <c r="AN220" s="43"/>
      <c r="AO220" s="41"/>
      <c r="AQ220" s="63"/>
      <c r="AR220" s="63"/>
      <c r="AS220" s="63"/>
      <c r="AT220" s="63"/>
      <c r="AU220" s="63"/>
      <c r="AV220" s="63"/>
      <c r="AX220" s="38"/>
    </row>
    <row r="221" spans="2:58" s="38" customFormat="1" ht="4.5" customHeight="1" x14ac:dyDescent="0.45">
      <c r="C221" s="65"/>
      <c r="D221" s="65"/>
      <c r="E221" s="65"/>
      <c r="F221" s="65"/>
      <c r="G221" s="65"/>
      <c r="H221" s="65"/>
      <c r="S221" s="41"/>
      <c r="T221" s="43"/>
      <c r="U221" s="41"/>
      <c r="W221" s="65"/>
      <c r="X221" s="65"/>
      <c r="Y221" s="65"/>
      <c r="Z221" s="65"/>
      <c r="AA221" s="65"/>
      <c r="AB221" s="65"/>
      <c r="AM221" s="41"/>
      <c r="AN221" s="43"/>
      <c r="AO221" s="41"/>
      <c r="AQ221" s="65"/>
      <c r="AR221" s="65"/>
      <c r="AS221" s="65"/>
      <c r="AT221" s="65"/>
      <c r="AU221" s="65"/>
      <c r="AV221" s="65"/>
    </row>
    <row r="223" spans="2:58" ht="15" customHeight="1" x14ac:dyDescent="0.45">
      <c r="B223" s="96" t="s">
        <v>160</v>
      </c>
      <c r="C223" s="96"/>
      <c r="D223" s="96"/>
      <c r="E223" s="96"/>
      <c r="F223" s="96"/>
      <c r="G223" s="96"/>
      <c r="H223" s="96"/>
      <c r="L223" s="96" t="s">
        <v>161</v>
      </c>
      <c r="M223" s="96"/>
      <c r="N223" s="96"/>
      <c r="O223" s="96"/>
      <c r="P223" s="96"/>
      <c r="Q223" s="96"/>
      <c r="R223" s="96"/>
      <c r="S223" s="35"/>
      <c r="T223" s="36"/>
      <c r="V223" s="96" t="s">
        <v>160</v>
      </c>
      <c r="W223" s="96"/>
      <c r="X223" s="96"/>
      <c r="Y223" s="96"/>
      <c r="Z223" s="96"/>
      <c r="AA223" s="96"/>
      <c r="AB223" s="96"/>
      <c r="AF223" s="96" t="s">
        <v>161</v>
      </c>
      <c r="AG223" s="96"/>
      <c r="AH223" s="96"/>
      <c r="AI223" s="96"/>
      <c r="AJ223" s="96"/>
      <c r="AK223" s="96"/>
      <c r="AL223" s="96"/>
      <c r="AM223" s="35"/>
      <c r="AN223" s="36"/>
      <c r="AP223" s="96" t="s">
        <v>160</v>
      </c>
      <c r="AQ223" s="96"/>
      <c r="AR223" s="96"/>
      <c r="AS223" s="96"/>
      <c r="AT223" s="96"/>
      <c r="AU223" s="96"/>
      <c r="AV223" s="96"/>
      <c r="AZ223" s="96" t="s">
        <v>161</v>
      </c>
      <c r="BA223" s="96"/>
      <c r="BB223" s="96"/>
      <c r="BC223" s="96"/>
      <c r="BD223" s="96"/>
      <c r="BE223" s="96"/>
      <c r="BF223" s="96"/>
    </row>
    <row r="224" spans="2:58" ht="15.75" customHeight="1" x14ac:dyDescent="0.45">
      <c r="B224" s="94" t="s">
        <v>166</v>
      </c>
      <c r="C224" s="94"/>
      <c r="D224" s="94"/>
      <c r="E224" s="94"/>
      <c r="F224" s="94"/>
      <c r="G224" s="94"/>
      <c r="H224" s="94"/>
      <c r="L224" s="94" t="s">
        <v>166</v>
      </c>
      <c r="M224" s="94"/>
      <c r="N224" s="94"/>
      <c r="O224" s="94"/>
      <c r="P224" s="94"/>
      <c r="Q224" s="94"/>
      <c r="R224" s="94"/>
      <c r="S224" s="39"/>
      <c r="T224" s="40"/>
      <c r="V224" s="94" t="s">
        <v>166</v>
      </c>
      <c r="W224" s="94"/>
      <c r="X224" s="94"/>
      <c r="Y224" s="94"/>
      <c r="Z224" s="94"/>
      <c r="AA224" s="94"/>
      <c r="AB224" s="94"/>
      <c r="AF224" s="94" t="s">
        <v>166</v>
      </c>
      <c r="AG224" s="94"/>
      <c r="AH224" s="94"/>
      <c r="AI224" s="94"/>
      <c r="AJ224" s="94"/>
      <c r="AK224" s="94"/>
      <c r="AL224" s="94"/>
      <c r="AM224" s="39"/>
      <c r="AN224" s="40"/>
      <c r="AP224" s="94" t="s">
        <v>166</v>
      </c>
      <c r="AQ224" s="94"/>
      <c r="AR224" s="94"/>
      <c r="AS224" s="94"/>
      <c r="AT224" s="94"/>
      <c r="AU224" s="94"/>
      <c r="AV224" s="94"/>
      <c r="AZ224" s="94" t="s">
        <v>166</v>
      </c>
      <c r="BA224" s="94"/>
      <c r="BB224" s="94"/>
      <c r="BC224" s="94"/>
      <c r="BD224" s="94"/>
      <c r="BE224" s="94"/>
      <c r="BF224" s="94"/>
    </row>
    <row r="225" spans="2:58" ht="15" customHeight="1" x14ac:dyDescent="0.45">
      <c r="B225" s="42"/>
      <c r="C225" s="95" t="s">
        <v>50</v>
      </c>
      <c r="D225" s="95"/>
      <c r="E225" s="95"/>
      <c r="F225" s="95"/>
      <c r="G225" s="95"/>
      <c r="H225" s="95"/>
      <c r="L225" s="42"/>
      <c r="M225" s="95" t="s">
        <v>50</v>
      </c>
      <c r="N225" s="95"/>
      <c r="O225" s="95"/>
      <c r="P225" s="95"/>
      <c r="Q225" s="95"/>
      <c r="R225" s="95"/>
      <c r="S225" s="41"/>
      <c r="T225" s="43"/>
      <c r="V225" s="42"/>
      <c r="W225" s="95" t="str">
        <f>C225</f>
        <v>LTC</v>
      </c>
      <c r="X225" s="95"/>
      <c r="Y225" s="95"/>
      <c r="Z225" s="95"/>
      <c r="AA225" s="95"/>
      <c r="AB225" s="95"/>
      <c r="AF225" s="42"/>
      <c r="AG225" s="95" t="str">
        <f t="shared" ref="AG225:AG238" si="185">W225</f>
        <v>LTC</v>
      </c>
      <c r="AH225" s="95"/>
      <c r="AI225" s="95"/>
      <c r="AJ225" s="95"/>
      <c r="AK225" s="95"/>
      <c r="AL225" s="95"/>
      <c r="AM225" s="41"/>
      <c r="AN225" s="43"/>
      <c r="AP225" s="42"/>
      <c r="AQ225" s="95" t="str">
        <f>C225</f>
        <v>LTC</v>
      </c>
      <c r="AR225" s="95"/>
      <c r="AS225" s="95"/>
      <c r="AT225" s="95"/>
      <c r="AU225" s="95"/>
      <c r="AV225" s="95"/>
      <c r="AZ225" s="42"/>
      <c r="BA225" s="95" t="str">
        <f>C225</f>
        <v>LTC</v>
      </c>
      <c r="BB225" s="95"/>
      <c r="BC225" s="95"/>
      <c r="BD225" s="95"/>
      <c r="BE225" s="95"/>
      <c r="BF225" s="95"/>
    </row>
    <row r="226" spans="2:58" ht="15" customHeight="1" x14ac:dyDescent="0.45">
      <c r="B226" s="44" t="s">
        <v>52</v>
      </c>
      <c r="C226" s="45" t="s">
        <v>143</v>
      </c>
      <c r="D226" s="45" t="s">
        <v>144</v>
      </c>
      <c r="E226" s="45" t="s">
        <v>145</v>
      </c>
      <c r="F226" s="45" t="s">
        <v>146</v>
      </c>
      <c r="G226" s="45" t="s">
        <v>147</v>
      </c>
      <c r="H226" s="45" t="s">
        <v>148</v>
      </c>
      <c r="L226" s="44" t="s">
        <v>52</v>
      </c>
      <c r="M226" s="45" t="s">
        <v>143</v>
      </c>
      <c r="N226" s="45" t="s">
        <v>144</v>
      </c>
      <c r="O226" s="45" t="s">
        <v>145</v>
      </c>
      <c r="P226" s="45" t="s">
        <v>146</v>
      </c>
      <c r="Q226" s="45" t="s">
        <v>147</v>
      </c>
      <c r="R226" s="45" t="s">
        <v>148</v>
      </c>
      <c r="S226" s="41"/>
      <c r="T226" s="43"/>
      <c r="V226" s="44" t="str">
        <f t="shared" ref="V226:V238" si="186">B226</f>
        <v>AR-LTV</v>
      </c>
      <c r="W226" s="45" t="str">
        <f>C226</f>
        <v>&lt;74.99%</v>
      </c>
      <c r="X226" s="45" t="str">
        <f>D226</f>
        <v>75.00%-80.00%</v>
      </c>
      <c r="Y226" s="45" t="str">
        <f>E226</f>
        <v>80.01%-85.00%</v>
      </c>
      <c r="Z226" s="45" t="str">
        <f>F226</f>
        <v>85.01%-87.50%</v>
      </c>
      <c r="AA226" s="45" t="str">
        <f>G226</f>
        <v>87.51%-89.99%</v>
      </c>
      <c r="AB226" s="45" t="str">
        <f>H226</f>
        <v>90.00%-92.50%</v>
      </c>
      <c r="AF226" s="44" t="str">
        <f t="shared" ref="AF226:AF238" si="187">V226</f>
        <v>AR-LTV</v>
      </c>
      <c r="AG226" s="45" t="str">
        <f t="shared" si="185"/>
        <v>&lt;74.99%</v>
      </c>
      <c r="AH226" s="45" t="str">
        <f t="shared" ref="AH226:AL232" si="188">X226</f>
        <v>75.00%-80.00%</v>
      </c>
      <c r="AI226" s="45" t="str">
        <f t="shared" si="188"/>
        <v>80.01%-85.00%</v>
      </c>
      <c r="AJ226" s="45" t="str">
        <f t="shared" si="188"/>
        <v>85.01%-87.50%</v>
      </c>
      <c r="AK226" s="45" t="str">
        <f t="shared" si="188"/>
        <v>87.51%-89.99%</v>
      </c>
      <c r="AL226" s="45" t="str">
        <f t="shared" si="188"/>
        <v>90.00%-92.50%</v>
      </c>
      <c r="AM226" s="41"/>
      <c r="AN226" s="43"/>
      <c r="AP226" s="44" t="str">
        <f t="shared" ref="AP226:AP238" si="189">B226</f>
        <v>AR-LTV</v>
      </c>
      <c r="AQ226" s="45" t="str">
        <f>C226</f>
        <v>&lt;74.99%</v>
      </c>
      <c r="AR226" s="45" t="str">
        <f>D226</f>
        <v>75.00%-80.00%</v>
      </c>
      <c r="AS226" s="45" t="str">
        <f>E226</f>
        <v>80.01%-85.00%</v>
      </c>
      <c r="AT226" s="45" t="str">
        <f>F226</f>
        <v>85.01%-87.50%</v>
      </c>
      <c r="AU226" s="45" t="str">
        <f>G226</f>
        <v>87.51%-89.99%</v>
      </c>
      <c r="AV226" s="45" t="str">
        <f>H226</f>
        <v>90.00%-92.50%</v>
      </c>
      <c r="AZ226" s="44" t="str">
        <f t="shared" ref="AZ226:AZ238" si="190">B226</f>
        <v>AR-LTV</v>
      </c>
      <c r="BA226" s="45" t="str">
        <f>C226</f>
        <v>&lt;74.99%</v>
      </c>
      <c r="BB226" s="45" t="str">
        <f>D226</f>
        <v>75.00%-80.00%</v>
      </c>
      <c r="BC226" s="45" t="str">
        <f>E226</f>
        <v>80.01%-85.00%</v>
      </c>
      <c r="BD226" s="45" t="str">
        <f>F226</f>
        <v>85.01%-87.50%</v>
      </c>
      <c r="BE226" s="45" t="str">
        <f>G226</f>
        <v>87.51%-89.99%</v>
      </c>
      <c r="BF226" s="45" t="str">
        <f>H226</f>
        <v>90.00%-92.50%</v>
      </c>
    </row>
    <row r="227" spans="2:58" ht="15" customHeight="1" x14ac:dyDescent="0.45">
      <c r="B227" s="46" t="s">
        <v>149</v>
      </c>
      <c r="C227" s="47">
        <f>C235+0.25%</f>
        <v>8.5000000000000006E-2</v>
      </c>
      <c r="D227" s="47">
        <f>C227+0.25%</f>
        <v>8.7500000000000008E-2</v>
      </c>
      <c r="E227" s="47">
        <f>D227</f>
        <v>8.7500000000000008E-2</v>
      </c>
      <c r="F227" s="47">
        <f>E227+0.25%</f>
        <v>9.0000000000000011E-2</v>
      </c>
      <c r="G227" s="47">
        <f>F227+0.25%</f>
        <v>9.2500000000000013E-2</v>
      </c>
      <c r="H227" s="47">
        <f>G227+0.25%</f>
        <v>9.5000000000000015E-2</v>
      </c>
      <c r="L227" s="46" t="s">
        <v>149</v>
      </c>
      <c r="M227" s="47">
        <f t="shared" ref="M227:R232" si="191">C227</f>
        <v>8.5000000000000006E-2</v>
      </c>
      <c r="N227" s="47">
        <f t="shared" si="191"/>
        <v>8.7500000000000008E-2</v>
      </c>
      <c r="O227" s="47">
        <f t="shared" si="191"/>
        <v>8.7500000000000008E-2</v>
      </c>
      <c r="P227" s="47">
        <f t="shared" si="191"/>
        <v>9.0000000000000011E-2</v>
      </c>
      <c r="Q227" s="47">
        <f t="shared" si="191"/>
        <v>9.2500000000000013E-2</v>
      </c>
      <c r="R227" s="47">
        <f t="shared" si="191"/>
        <v>9.5000000000000015E-2</v>
      </c>
      <c r="S227" s="66"/>
      <c r="T227" s="67"/>
      <c r="V227" s="46" t="str">
        <f t="shared" si="186"/>
        <v>70.01%-75.00%</v>
      </c>
      <c r="W227" s="47">
        <f>W235+0.25%</f>
        <v>8.6250000000000007E-2</v>
      </c>
      <c r="X227" s="47">
        <f>W227+0.25%</f>
        <v>8.8750000000000009E-2</v>
      </c>
      <c r="Y227" s="47">
        <f>X227</f>
        <v>8.8750000000000009E-2</v>
      </c>
      <c r="Z227" s="47">
        <f>Y227+0.25%</f>
        <v>9.1250000000000012E-2</v>
      </c>
      <c r="AA227" s="47">
        <f>Z227+0.25%</f>
        <v>9.3750000000000014E-2</v>
      </c>
      <c r="AB227" s="47">
        <f>AA227+0.25%</f>
        <v>9.6250000000000016E-2</v>
      </c>
      <c r="AF227" s="46" t="str">
        <f t="shared" si="187"/>
        <v>70.01%-75.00%</v>
      </c>
      <c r="AG227" s="47">
        <f t="shared" si="185"/>
        <v>8.6250000000000007E-2</v>
      </c>
      <c r="AH227" s="47">
        <f t="shared" si="188"/>
        <v>8.8750000000000009E-2</v>
      </c>
      <c r="AI227" s="47">
        <f t="shared" si="188"/>
        <v>8.8750000000000009E-2</v>
      </c>
      <c r="AJ227" s="47">
        <f t="shared" si="188"/>
        <v>9.1250000000000012E-2</v>
      </c>
      <c r="AK227" s="47">
        <f t="shared" si="188"/>
        <v>9.3750000000000014E-2</v>
      </c>
      <c r="AL227" s="47">
        <f t="shared" si="188"/>
        <v>9.6250000000000016E-2</v>
      </c>
      <c r="AM227" s="66"/>
      <c r="AN227" s="67"/>
      <c r="AP227" s="46" t="str">
        <f t="shared" si="189"/>
        <v>70.01%-75.00%</v>
      </c>
      <c r="AQ227" s="47">
        <f>AQ235+0.5%</f>
        <v>9.0000000000000011E-2</v>
      </c>
      <c r="AR227" s="47">
        <f>AQ227+0.25%</f>
        <v>9.2500000000000013E-2</v>
      </c>
      <c r="AS227" s="47">
        <f>AR227</f>
        <v>9.2500000000000013E-2</v>
      </c>
      <c r="AT227" s="47">
        <f>AS227+0.25%</f>
        <v>9.5000000000000015E-2</v>
      </c>
      <c r="AU227" s="47">
        <f>AT227+0.25%</f>
        <v>9.7500000000000017E-2</v>
      </c>
      <c r="AV227" s="47">
        <f>AU227+0.25%</f>
        <v>0.10000000000000002</v>
      </c>
      <c r="AZ227" s="46" t="str">
        <f t="shared" si="190"/>
        <v>70.01%-75.00%</v>
      </c>
      <c r="BA227" s="47">
        <f t="shared" ref="BA227:BF232" si="192">AQ227</f>
        <v>9.0000000000000011E-2</v>
      </c>
      <c r="BB227" s="47">
        <f t="shared" si="192"/>
        <v>9.2500000000000013E-2</v>
      </c>
      <c r="BC227" s="47">
        <f t="shared" si="192"/>
        <v>9.2500000000000013E-2</v>
      </c>
      <c r="BD227" s="47">
        <f t="shared" si="192"/>
        <v>9.5000000000000015E-2</v>
      </c>
      <c r="BE227" s="47">
        <f t="shared" si="192"/>
        <v>9.7500000000000017E-2</v>
      </c>
      <c r="BF227" s="47">
        <f t="shared" si="192"/>
        <v>0.10000000000000002</v>
      </c>
    </row>
    <row r="228" spans="2:58" ht="15" customHeight="1" x14ac:dyDescent="0.45">
      <c r="B228" s="52" t="s">
        <v>151</v>
      </c>
      <c r="C228" s="53">
        <f t="shared" ref="C228:H228" si="193">C227+0</f>
        <v>8.5000000000000006E-2</v>
      </c>
      <c r="D228" s="53">
        <f t="shared" si="193"/>
        <v>8.7500000000000008E-2</v>
      </c>
      <c r="E228" s="53">
        <f t="shared" si="193"/>
        <v>8.7500000000000008E-2</v>
      </c>
      <c r="F228" s="53">
        <f t="shared" si="193"/>
        <v>9.0000000000000011E-2</v>
      </c>
      <c r="G228" s="53">
        <f t="shared" si="193"/>
        <v>9.2500000000000013E-2</v>
      </c>
      <c r="H228" s="53">
        <f t="shared" si="193"/>
        <v>9.5000000000000015E-2</v>
      </c>
      <c r="L228" s="52" t="s">
        <v>151</v>
      </c>
      <c r="M228" s="53">
        <f t="shared" si="191"/>
        <v>8.5000000000000006E-2</v>
      </c>
      <c r="N228" s="53">
        <f t="shared" si="191"/>
        <v>8.7500000000000008E-2</v>
      </c>
      <c r="O228" s="53">
        <f t="shared" si="191"/>
        <v>8.7500000000000008E-2</v>
      </c>
      <c r="P228" s="53">
        <f t="shared" si="191"/>
        <v>9.0000000000000011E-2</v>
      </c>
      <c r="Q228" s="53">
        <f t="shared" si="191"/>
        <v>9.2500000000000013E-2</v>
      </c>
      <c r="R228" s="53">
        <f t="shared" si="191"/>
        <v>9.5000000000000015E-2</v>
      </c>
      <c r="S228" s="68"/>
      <c r="T228" s="69"/>
      <c r="V228" s="52" t="str">
        <f t="shared" si="186"/>
        <v>FICO 700+</v>
      </c>
      <c r="W228" s="53">
        <f t="shared" ref="W228:AB228" si="194">W227+0</f>
        <v>8.6250000000000007E-2</v>
      </c>
      <c r="X228" s="53">
        <f t="shared" si="194"/>
        <v>8.8750000000000009E-2</v>
      </c>
      <c r="Y228" s="53">
        <f t="shared" si="194"/>
        <v>8.8750000000000009E-2</v>
      </c>
      <c r="Z228" s="53">
        <f t="shared" si="194"/>
        <v>9.1250000000000012E-2</v>
      </c>
      <c r="AA228" s="53">
        <f t="shared" si="194"/>
        <v>9.3750000000000014E-2</v>
      </c>
      <c r="AB228" s="53">
        <f t="shared" si="194"/>
        <v>9.6250000000000016E-2</v>
      </c>
      <c r="AF228" s="52" t="str">
        <f t="shared" si="187"/>
        <v>FICO 700+</v>
      </c>
      <c r="AG228" s="53">
        <f t="shared" si="185"/>
        <v>8.6250000000000007E-2</v>
      </c>
      <c r="AH228" s="53">
        <f t="shared" si="188"/>
        <v>8.8750000000000009E-2</v>
      </c>
      <c r="AI228" s="53">
        <f t="shared" si="188"/>
        <v>8.8750000000000009E-2</v>
      </c>
      <c r="AJ228" s="53">
        <f t="shared" si="188"/>
        <v>9.1250000000000012E-2</v>
      </c>
      <c r="AK228" s="53">
        <f t="shared" si="188"/>
        <v>9.3750000000000014E-2</v>
      </c>
      <c r="AL228" s="53">
        <f t="shared" si="188"/>
        <v>9.6250000000000016E-2</v>
      </c>
      <c r="AM228" s="68"/>
      <c r="AN228" s="69"/>
      <c r="AP228" s="52" t="str">
        <f t="shared" si="189"/>
        <v>FICO 700+</v>
      </c>
      <c r="AQ228" s="53">
        <f t="shared" ref="AQ228:AV228" si="195">AQ227+0</f>
        <v>9.0000000000000011E-2</v>
      </c>
      <c r="AR228" s="53">
        <f t="shared" si="195"/>
        <v>9.2500000000000013E-2</v>
      </c>
      <c r="AS228" s="53">
        <f t="shared" si="195"/>
        <v>9.2500000000000013E-2</v>
      </c>
      <c r="AT228" s="53">
        <f t="shared" si="195"/>
        <v>9.5000000000000015E-2</v>
      </c>
      <c r="AU228" s="53">
        <f t="shared" si="195"/>
        <v>9.7500000000000017E-2</v>
      </c>
      <c r="AV228" s="53">
        <f t="shared" si="195"/>
        <v>0.10000000000000002</v>
      </c>
      <c r="AZ228" s="52" t="str">
        <f t="shared" si="190"/>
        <v>FICO 700+</v>
      </c>
      <c r="BA228" s="53">
        <f t="shared" si="192"/>
        <v>9.0000000000000011E-2</v>
      </c>
      <c r="BB228" s="53">
        <f t="shared" si="192"/>
        <v>9.2500000000000013E-2</v>
      </c>
      <c r="BC228" s="53">
        <f t="shared" si="192"/>
        <v>9.2500000000000013E-2</v>
      </c>
      <c r="BD228" s="53">
        <f t="shared" si="192"/>
        <v>9.5000000000000015E-2</v>
      </c>
      <c r="BE228" s="53">
        <f t="shared" si="192"/>
        <v>9.7500000000000017E-2</v>
      </c>
      <c r="BF228" s="53">
        <f t="shared" si="192"/>
        <v>0.10000000000000002</v>
      </c>
    </row>
    <row r="229" spans="2:58" ht="15" customHeight="1" x14ac:dyDescent="0.45">
      <c r="B229" s="52" t="s">
        <v>152</v>
      </c>
      <c r="C229" s="53">
        <f>C227+0.5%</f>
        <v>9.0000000000000011E-2</v>
      </c>
      <c r="D229" s="53">
        <f>D227+0.5%</f>
        <v>9.2500000000000013E-2</v>
      </c>
      <c r="E229" s="53">
        <f>E227+0.5%</f>
        <v>9.2500000000000013E-2</v>
      </c>
      <c r="F229" s="53">
        <f>F227+0.5%</f>
        <v>9.5000000000000015E-2</v>
      </c>
      <c r="G229" s="53">
        <f>G227+0.5%</f>
        <v>9.7500000000000017E-2</v>
      </c>
      <c r="H229" s="54" t="s">
        <v>150</v>
      </c>
      <c r="L229" s="52" t="s">
        <v>152</v>
      </c>
      <c r="M229" s="53">
        <f t="shared" si="191"/>
        <v>9.0000000000000011E-2</v>
      </c>
      <c r="N229" s="53">
        <f t="shared" si="191"/>
        <v>9.2500000000000013E-2</v>
      </c>
      <c r="O229" s="53">
        <f t="shared" si="191"/>
        <v>9.2500000000000013E-2</v>
      </c>
      <c r="P229" s="53">
        <f t="shared" si="191"/>
        <v>9.5000000000000015E-2</v>
      </c>
      <c r="Q229" s="53">
        <f t="shared" si="191"/>
        <v>9.7500000000000017E-2</v>
      </c>
      <c r="R229" s="75" t="str">
        <f t="shared" si="191"/>
        <v>NA</v>
      </c>
      <c r="S229" s="68"/>
      <c r="T229" s="69"/>
      <c r="V229" s="52" t="str">
        <f t="shared" si="186"/>
        <v>FICO 660-699</v>
      </c>
      <c r="W229" s="53">
        <f>W227+0.5%</f>
        <v>9.1250000000000012E-2</v>
      </c>
      <c r="X229" s="53">
        <f>X227+0.5%</f>
        <v>9.3750000000000014E-2</v>
      </c>
      <c r="Y229" s="53">
        <f>Y227+0.5%</f>
        <v>9.3750000000000014E-2</v>
      </c>
      <c r="Z229" s="53">
        <f>Z227+0.5%</f>
        <v>9.6250000000000016E-2</v>
      </c>
      <c r="AA229" s="53">
        <f>AA227+0.5%</f>
        <v>9.8750000000000018E-2</v>
      </c>
      <c r="AB229" s="75" t="str">
        <f>R229</f>
        <v>NA</v>
      </c>
      <c r="AF229" s="52" t="str">
        <f t="shared" si="187"/>
        <v>FICO 660-699</v>
      </c>
      <c r="AG229" s="53">
        <f t="shared" si="185"/>
        <v>9.1250000000000012E-2</v>
      </c>
      <c r="AH229" s="53">
        <f t="shared" si="188"/>
        <v>9.3750000000000014E-2</v>
      </c>
      <c r="AI229" s="53">
        <f t="shared" si="188"/>
        <v>9.3750000000000014E-2</v>
      </c>
      <c r="AJ229" s="53">
        <f t="shared" si="188"/>
        <v>9.6250000000000016E-2</v>
      </c>
      <c r="AK229" s="53">
        <f t="shared" si="188"/>
        <v>9.8750000000000018E-2</v>
      </c>
      <c r="AL229" s="75" t="str">
        <f t="shared" si="188"/>
        <v>NA</v>
      </c>
      <c r="AM229" s="68"/>
      <c r="AN229" s="69"/>
      <c r="AP229" s="52" t="str">
        <f t="shared" si="189"/>
        <v>FICO 660-699</v>
      </c>
      <c r="AQ229" s="53">
        <f>AQ227+0.5%</f>
        <v>9.5000000000000015E-2</v>
      </c>
      <c r="AR229" s="53">
        <f>AR227+0.5%</f>
        <v>9.7500000000000017E-2</v>
      </c>
      <c r="AS229" s="53">
        <f>AS227+0.5%</f>
        <v>9.7500000000000017E-2</v>
      </c>
      <c r="AT229" s="53">
        <f>AT227+0.5%</f>
        <v>0.10000000000000002</v>
      </c>
      <c r="AU229" s="53">
        <f>AU227+0.5%</f>
        <v>0.10250000000000002</v>
      </c>
      <c r="AV229" s="75" t="str">
        <f>AL229</f>
        <v>NA</v>
      </c>
      <c r="AZ229" s="52" t="str">
        <f t="shared" si="190"/>
        <v>FICO 660-699</v>
      </c>
      <c r="BA229" s="53">
        <f t="shared" si="192"/>
        <v>9.5000000000000015E-2</v>
      </c>
      <c r="BB229" s="53">
        <f t="shared" si="192"/>
        <v>9.7500000000000017E-2</v>
      </c>
      <c r="BC229" s="53">
        <f t="shared" si="192"/>
        <v>9.7500000000000017E-2</v>
      </c>
      <c r="BD229" s="53">
        <f t="shared" si="192"/>
        <v>0.10000000000000002</v>
      </c>
      <c r="BE229" s="53">
        <f t="shared" si="192"/>
        <v>0.10250000000000002</v>
      </c>
      <c r="BF229" s="75" t="str">
        <f t="shared" si="192"/>
        <v>NA</v>
      </c>
    </row>
    <row r="230" spans="2:58" ht="15" customHeight="1" x14ac:dyDescent="0.45">
      <c r="B230" s="57" t="s">
        <v>153</v>
      </c>
      <c r="C230" s="59" t="s">
        <v>150</v>
      </c>
      <c r="D230" s="59" t="s">
        <v>150</v>
      </c>
      <c r="E230" s="59" t="s">
        <v>150</v>
      </c>
      <c r="F230" s="59" t="s">
        <v>150</v>
      </c>
      <c r="G230" s="59" t="s">
        <v>150</v>
      </c>
      <c r="H230" s="59" t="s">
        <v>150</v>
      </c>
      <c r="L230" s="57" t="s">
        <v>153</v>
      </c>
      <c r="M230" s="59" t="str">
        <f t="shared" si="191"/>
        <v>NA</v>
      </c>
      <c r="N230" s="59" t="str">
        <f t="shared" si="191"/>
        <v>NA</v>
      </c>
      <c r="O230" s="59" t="str">
        <f t="shared" si="191"/>
        <v>NA</v>
      </c>
      <c r="P230" s="59" t="str">
        <f t="shared" si="191"/>
        <v>NA</v>
      </c>
      <c r="Q230" s="59" t="str">
        <f t="shared" si="191"/>
        <v>NA</v>
      </c>
      <c r="R230" s="59" t="str">
        <f t="shared" si="191"/>
        <v>NA</v>
      </c>
      <c r="S230" s="68"/>
      <c r="T230" s="69"/>
      <c r="V230" s="57" t="str">
        <f t="shared" si="186"/>
        <v>FICO 640-659</v>
      </c>
      <c r="W230" s="59" t="str">
        <f>M230</f>
        <v>NA</v>
      </c>
      <c r="X230" s="59" t="str">
        <f>N230</f>
        <v>NA</v>
      </c>
      <c r="Y230" s="59" t="str">
        <f>O230</f>
        <v>NA</v>
      </c>
      <c r="Z230" s="59" t="str">
        <f>P230</f>
        <v>NA</v>
      </c>
      <c r="AA230" s="59" t="str">
        <f>Q230</f>
        <v>NA</v>
      </c>
      <c r="AB230" s="59" t="str">
        <f>R230</f>
        <v>NA</v>
      </c>
      <c r="AF230" s="57" t="str">
        <f t="shared" si="187"/>
        <v>FICO 640-659</v>
      </c>
      <c r="AG230" s="59" t="str">
        <f t="shared" si="185"/>
        <v>NA</v>
      </c>
      <c r="AH230" s="59" t="str">
        <f t="shared" si="188"/>
        <v>NA</v>
      </c>
      <c r="AI230" s="59" t="str">
        <f t="shared" si="188"/>
        <v>NA</v>
      </c>
      <c r="AJ230" s="59" t="str">
        <f t="shared" si="188"/>
        <v>NA</v>
      </c>
      <c r="AK230" s="59" t="str">
        <f t="shared" si="188"/>
        <v>NA</v>
      </c>
      <c r="AL230" s="59" t="str">
        <f t="shared" si="188"/>
        <v>NA</v>
      </c>
      <c r="AM230" s="68"/>
      <c r="AN230" s="69"/>
      <c r="AP230" s="57" t="str">
        <f t="shared" si="189"/>
        <v>FICO 640-659</v>
      </c>
      <c r="AQ230" s="59" t="str">
        <f>AG230</f>
        <v>NA</v>
      </c>
      <c r="AR230" s="59" t="str">
        <f>AH230</f>
        <v>NA</v>
      </c>
      <c r="AS230" s="59" t="str">
        <f>AI230</f>
        <v>NA</v>
      </c>
      <c r="AT230" s="59" t="str">
        <f>AJ230</f>
        <v>NA</v>
      </c>
      <c r="AU230" s="59" t="str">
        <f>AK230</f>
        <v>NA</v>
      </c>
      <c r="AV230" s="59" t="str">
        <f>AL230</f>
        <v>NA</v>
      </c>
      <c r="AZ230" s="57" t="str">
        <f t="shared" si="190"/>
        <v>FICO 640-659</v>
      </c>
      <c r="BA230" s="59" t="str">
        <f t="shared" si="192"/>
        <v>NA</v>
      </c>
      <c r="BB230" s="59" t="str">
        <f t="shared" si="192"/>
        <v>NA</v>
      </c>
      <c r="BC230" s="59" t="str">
        <f t="shared" si="192"/>
        <v>NA</v>
      </c>
      <c r="BD230" s="59" t="str">
        <f t="shared" si="192"/>
        <v>NA</v>
      </c>
      <c r="BE230" s="59" t="str">
        <f t="shared" si="192"/>
        <v>NA</v>
      </c>
      <c r="BF230" s="59" t="str">
        <f t="shared" si="192"/>
        <v>NA</v>
      </c>
    </row>
    <row r="231" spans="2:58" ht="15" customHeight="1" x14ac:dyDescent="0.45">
      <c r="B231" s="60" t="s">
        <v>154</v>
      </c>
      <c r="C231" s="48">
        <f>C235+0.125%</f>
        <v>8.3750000000000005E-2</v>
      </c>
      <c r="D231" s="48">
        <f>D235+0.125%</f>
        <v>8.5000000000000006E-2</v>
      </c>
      <c r="E231" s="47">
        <f>D231</f>
        <v>8.5000000000000006E-2</v>
      </c>
      <c r="F231" s="48">
        <f>E231+0.125%</f>
        <v>8.6250000000000007E-2</v>
      </c>
      <c r="G231" s="48">
        <f>F231+0.125%</f>
        <v>8.7500000000000008E-2</v>
      </c>
      <c r="H231" s="48">
        <f>G231+0.125%</f>
        <v>8.8750000000000009E-2</v>
      </c>
      <c r="L231" s="60" t="s">
        <v>154</v>
      </c>
      <c r="M231" s="48">
        <f t="shared" si="191"/>
        <v>8.3750000000000005E-2</v>
      </c>
      <c r="N231" s="48">
        <f t="shared" si="191"/>
        <v>8.5000000000000006E-2</v>
      </c>
      <c r="O231" s="47">
        <f t="shared" si="191"/>
        <v>8.5000000000000006E-2</v>
      </c>
      <c r="P231" s="48">
        <f t="shared" si="191"/>
        <v>8.6250000000000007E-2</v>
      </c>
      <c r="Q231" s="48">
        <f t="shared" si="191"/>
        <v>8.7500000000000008E-2</v>
      </c>
      <c r="R231" s="48">
        <f t="shared" si="191"/>
        <v>8.8750000000000009E-2</v>
      </c>
      <c r="S231" s="66"/>
      <c r="T231" s="67"/>
      <c r="V231" s="60" t="str">
        <f t="shared" si="186"/>
        <v>65.00%-70.00%</v>
      </c>
      <c r="W231" s="48">
        <f>W235+0.125%</f>
        <v>8.5000000000000006E-2</v>
      </c>
      <c r="X231" s="48">
        <f>W231+0.125%</f>
        <v>8.6250000000000007E-2</v>
      </c>
      <c r="Y231" s="47">
        <f>X231</f>
        <v>8.6250000000000007E-2</v>
      </c>
      <c r="Z231" s="48">
        <f>Y231+0.125%</f>
        <v>8.7500000000000008E-2</v>
      </c>
      <c r="AA231" s="48">
        <f>Z231+0.125%</f>
        <v>8.8750000000000009E-2</v>
      </c>
      <c r="AB231" s="48">
        <f>AA231+0.125%</f>
        <v>9.0000000000000011E-2</v>
      </c>
      <c r="AF231" s="60" t="str">
        <f t="shared" si="187"/>
        <v>65.00%-70.00%</v>
      </c>
      <c r="AG231" s="48">
        <f t="shared" si="185"/>
        <v>8.5000000000000006E-2</v>
      </c>
      <c r="AH231" s="48">
        <f t="shared" si="188"/>
        <v>8.6250000000000007E-2</v>
      </c>
      <c r="AI231" s="47">
        <f t="shared" si="188"/>
        <v>8.6250000000000007E-2</v>
      </c>
      <c r="AJ231" s="48">
        <f t="shared" si="188"/>
        <v>8.7500000000000008E-2</v>
      </c>
      <c r="AK231" s="48">
        <f t="shared" si="188"/>
        <v>8.8750000000000009E-2</v>
      </c>
      <c r="AL231" s="48">
        <f t="shared" si="188"/>
        <v>9.0000000000000011E-2</v>
      </c>
      <c r="AM231" s="66"/>
      <c r="AN231" s="67"/>
      <c r="AP231" s="60" t="str">
        <f t="shared" si="189"/>
        <v>65.00%-70.00%</v>
      </c>
      <c r="AQ231" s="48">
        <f>AQ235+0.25%</f>
        <v>8.7500000000000008E-2</v>
      </c>
      <c r="AR231" s="48">
        <f>AQ231+0.25%</f>
        <v>9.0000000000000011E-2</v>
      </c>
      <c r="AS231" s="47">
        <f>AR231</f>
        <v>9.0000000000000011E-2</v>
      </c>
      <c r="AT231" s="48">
        <f>AS231+0.25%</f>
        <v>9.2500000000000013E-2</v>
      </c>
      <c r="AU231" s="48">
        <f>AT231+0.25%</f>
        <v>9.5000000000000015E-2</v>
      </c>
      <c r="AV231" s="48">
        <f>AU231+0.25%</f>
        <v>9.7500000000000017E-2</v>
      </c>
      <c r="AZ231" s="60" t="str">
        <f t="shared" si="190"/>
        <v>65.00%-70.00%</v>
      </c>
      <c r="BA231" s="48">
        <f t="shared" si="192"/>
        <v>8.7500000000000008E-2</v>
      </c>
      <c r="BB231" s="48">
        <f t="shared" si="192"/>
        <v>9.0000000000000011E-2</v>
      </c>
      <c r="BC231" s="47">
        <f t="shared" si="192"/>
        <v>9.0000000000000011E-2</v>
      </c>
      <c r="BD231" s="48">
        <f t="shared" si="192"/>
        <v>9.2500000000000013E-2</v>
      </c>
      <c r="BE231" s="48">
        <f t="shared" si="192"/>
        <v>9.5000000000000015E-2</v>
      </c>
      <c r="BF231" s="48">
        <f t="shared" si="192"/>
        <v>9.7500000000000017E-2</v>
      </c>
    </row>
    <row r="232" spans="2:58" ht="15" customHeight="1" x14ac:dyDescent="0.45">
      <c r="B232" s="52" t="s">
        <v>151</v>
      </c>
      <c r="C232" s="53">
        <f t="shared" ref="C232:H232" si="196">C231+0</f>
        <v>8.3750000000000005E-2</v>
      </c>
      <c r="D232" s="53">
        <f t="shared" si="196"/>
        <v>8.5000000000000006E-2</v>
      </c>
      <c r="E232" s="53">
        <f t="shared" si="196"/>
        <v>8.5000000000000006E-2</v>
      </c>
      <c r="F232" s="53">
        <f t="shared" si="196"/>
        <v>8.6250000000000007E-2</v>
      </c>
      <c r="G232" s="53">
        <f t="shared" si="196"/>
        <v>8.7500000000000008E-2</v>
      </c>
      <c r="H232" s="53">
        <f t="shared" si="196"/>
        <v>8.8750000000000009E-2</v>
      </c>
      <c r="L232" s="52" t="s">
        <v>151</v>
      </c>
      <c r="M232" s="53">
        <f t="shared" si="191"/>
        <v>8.3750000000000005E-2</v>
      </c>
      <c r="N232" s="53">
        <f t="shared" si="191"/>
        <v>8.5000000000000006E-2</v>
      </c>
      <c r="O232" s="53">
        <f t="shared" si="191"/>
        <v>8.5000000000000006E-2</v>
      </c>
      <c r="P232" s="53">
        <f t="shared" si="191"/>
        <v>8.6250000000000007E-2</v>
      </c>
      <c r="Q232" s="53">
        <f t="shared" si="191"/>
        <v>8.7500000000000008E-2</v>
      </c>
      <c r="R232" s="53">
        <f t="shared" si="191"/>
        <v>8.8750000000000009E-2</v>
      </c>
      <c r="S232" s="68"/>
      <c r="T232" s="69"/>
      <c r="V232" s="52" t="str">
        <f t="shared" si="186"/>
        <v>FICO 700+</v>
      </c>
      <c r="W232" s="53">
        <f t="shared" ref="W232:AB232" si="197">W231+0</f>
        <v>8.5000000000000006E-2</v>
      </c>
      <c r="X232" s="53">
        <f t="shared" si="197"/>
        <v>8.6250000000000007E-2</v>
      </c>
      <c r="Y232" s="53">
        <f t="shared" si="197"/>
        <v>8.6250000000000007E-2</v>
      </c>
      <c r="Z232" s="53">
        <f t="shared" si="197"/>
        <v>8.7500000000000008E-2</v>
      </c>
      <c r="AA232" s="53">
        <f t="shared" si="197"/>
        <v>8.8750000000000009E-2</v>
      </c>
      <c r="AB232" s="53">
        <f t="shared" si="197"/>
        <v>9.0000000000000011E-2</v>
      </c>
      <c r="AF232" s="52" t="str">
        <f t="shared" si="187"/>
        <v>FICO 700+</v>
      </c>
      <c r="AG232" s="53">
        <f t="shared" si="185"/>
        <v>8.5000000000000006E-2</v>
      </c>
      <c r="AH232" s="53">
        <f t="shared" si="188"/>
        <v>8.6250000000000007E-2</v>
      </c>
      <c r="AI232" s="53">
        <f t="shared" si="188"/>
        <v>8.6250000000000007E-2</v>
      </c>
      <c r="AJ232" s="53">
        <f t="shared" si="188"/>
        <v>8.7500000000000008E-2</v>
      </c>
      <c r="AK232" s="53">
        <f t="shared" si="188"/>
        <v>8.8750000000000009E-2</v>
      </c>
      <c r="AL232" s="53">
        <f t="shared" si="188"/>
        <v>9.0000000000000011E-2</v>
      </c>
      <c r="AM232" s="68"/>
      <c r="AN232" s="69"/>
      <c r="AP232" s="52" t="str">
        <f t="shared" si="189"/>
        <v>FICO 700+</v>
      </c>
      <c r="AQ232" s="53">
        <f t="shared" ref="AQ232:AV232" si="198">AQ231+0</f>
        <v>8.7500000000000008E-2</v>
      </c>
      <c r="AR232" s="53">
        <f t="shared" si="198"/>
        <v>9.0000000000000011E-2</v>
      </c>
      <c r="AS232" s="53">
        <f t="shared" si="198"/>
        <v>9.0000000000000011E-2</v>
      </c>
      <c r="AT232" s="53">
        <f t="shared" si="198"/>
        <v>9.2500000000000013E-2</v>
      </c>
      <c r="AU232" s="53">
        <f t="shared" si="198"/>
        <v>9.5000000000000015E-2</v>
      </c>
      <c r="AV232" s="53">
        <f t="shared" si="198"/>
        <v>9.7500000000000017E-2</v>
      </c>
      <c r="AZ232" s="52" t="str">
        <f t="shared" si="190"/>
        <v>FICO 700+</v>
      </c>
      <c r="BA232" s="53">
        <f t="shared" si="192"/>
        <v>8.7500000000000008E-2</v>
      </c>
      <c r="BB232" s="53">
        <f t="shared" si="192"/>
        <v>9.0000000000000011E-2</v>
      </c>
      <c r="BC232" s="53">
        <f t="shared" si="192"/>
        <v>9.0000000000000011E-2</v>
      </c>
      <c r="BD232" s="53">
        <f t="shared" si="192"/>
        <v>9.2500000000000013E-2</v>
      </c>
      <c r="BE232" s="53">
        <f t="shared" si="192"/>
        <v>9.5000000000000015E-2</v>
      </c>
      <c r="BF232" s="53">
        <f t="shared" si="192"/>
        <v>9.7500000000000017E-2</v>
      </c>
    </row>
    <row r="233" spans="2:58" ht="15" customHeight="1" x14ac:dyDescent="0.45">
      <c r="B233" s="52" t="s">
        <v>152</v>
      </c>
      <c r="C233" s="53">
        <f>C231+0.5%</f>
        <v>8.8750000000000009E-2</v>
      </c>
      <c r="D233" s="53">
        <f>D231+0.5%</f>
        <v>9.0000000000000011E-2</v>
      </c>
      <c r="E233" s="53">
        <f>E231+0.5%</f>
        <v>9.0000000000000011E-2</v>
      </c>
      <c r="F233" s="53">
        <f>F231+0.5%</f>
        <v>9.1250000000000012E-2</v>
      </c>
      <c r="G233" s="53">
        <f>G231+0.5%</f>
        <v>9.2500000000000013E-2</v>
      </c>
      <c r="H233" s="54" t="s">
        <v>150</v>
      </c>
      <c r="L233" s="52" t="s">
        <v>152</v>
      </c>
      <c r="M233" s="53">
        <f t="shared" ref="M233:Q238" si="199">C233</f>
        <v>8.8750000000000009E-2</v>
      </c>
      <c r="N233" s="53">
        <f t="shared" si="199"/>
        <v>9.0000000000000011E-2</v>
      </c>
      <c r="O233" s="53">
        <f t="shared" si="199"/>
        <v>9.0000000000000011E-2</v>
      </c>
      <c r="P233" s="53">
        <f t="shared" si="199"/>
        <v>9.1250000000000012E-2</v>
      </c>
      <c r="Q233" s="53">
        <f t="shared" si="199"/>
        <v>9.2500000000000013E-2</v>
      </c>
      <c r="R233" s="54" t="s">
        <v>150</v>
      </c>
      <c r="S233" s="68"/>
      <c r="T233" s="69"/>
      <c r="V233" s="52" t="str">
        <f t="shared" si="186"/>
        <v>FICO 660-699</v>
      </c>
      <c r="W233" s="53">
        <f>W231+0.5%</f>
        <v>9.0000000000000011E-2</v>
      </c>
      <c r="X233" s="53">
        <f>X231+0.5%</f>
        <v>9.1250000000000012E-2</v>
      </c>
      <c r="Y233" s="53">
        <f>Y231+0.5%</f>
        <v>9.1250000000000012E-2</v>
      </c>
      <c r="Z233" s="53">
        <f>Z231+0.5%</f>
        <v>9.2500000000000013E-2</v>
      </c>
      <c r="AA233" s="53">
        <f>AA231+0.5%</f>
        <v>9.3750000000000014E-2</v>
      </c>
      <c r="AB233" s="54" t="s">
        <v>150</v>
      </c>
      <c r="AF233" s="52" t="str">
        <f t="shared" si="187"/>
        <v>FICO 660-699</v>
      </c>
      <c r="AG233" s="53">
        <f t="shared" si="185"/>
        <v>9.0000000000000011E-2</v>
      </c>
      <c r="AH233" s="53">
        <f t="shared" ref="AH233:AK238" si="200">X233</f>
        <v>9.1250000000000012E-2</v>
      </c>
      <c r="AI233" s="53">
        <f t="shared" si="200"/>
        <v>9.1250000000000012E-2</v>
      </c>
      <c r="AJ233" s="53">
        <f t="shared" si="200"/>
        <v>9.2500000000000013E-2</v>
      </c>
      <c r="AK233" s="53">
        <f t="shared" si="200"/>
        <v>9.3750000000000014E-2</v>
      </c>
      <c r="AL233" s="54" t="s">
        <v>150</v>
      </c>
      <c r="AM233" s="68"/>
      <c r="AN233" s="69"/>
      <c r="AP233" s="52" t="str">
        <f t="shared" si="189"/>
        <v>FICO 660-699</v>
      </c>
      <c r="AQ233" s="53">
        <f>AQ231+0.5%</f>
        <v>9.2500000000000013E-2</v>
      </c>
      <c r="AR233" s="53">
        <f>AR231+0.5%</f>
        <v>9.5000000000000015E-2</v>
      </c>
      <c r="AS233" s="53">
        <f>AS231+0.5%</f>
        <v>9.5000000000000015E-2</v>
      </c>
      <c r="AT233" s="53">
        <f>AT231+0.5%</f>
        <v>9.7500000000000017E-2</v>
      </c>
      <c r="AU233" s="53">
        <f>AU231+0.5%</f>
        <v>0.10000000000000002</v>
      </c>
      <c r="AV233" s="54" t="s">
        <v>150</v>
      </c>
      <c r="AZ233" s="52" t="str">
        <f t="shared" si="190"/>
        <v>FICO 660-699</v>
      </c>
      <c r="BA233" s="53">
        <f t="shared" ref="BA233:BE238" si="201">AQ233</f>
        <v>9.2500000000000013E-2</v>
      </c>
      <c r="BB233" s="53">
        <f t="shared" si="201"/>
        <v>9.5000000000000015E-2</v>
      </c>
      <c r="BC233" s="53">
        <f t="shared" si="201"/>
        <v>9.5000000000000015E-2</v>
      </c>
      <c r="BD233" s="53">
        <f t="shared" si="201"/>
        <v>9.7500000000000017E-2</v>
      </c>
      <c r="BE233" s="53">
        <f t="shared" si="201"/>
        <v>0.10000000000000002</v>
      </c>
      <c r="BF233" s="54" t="s">
        <v>150</v>
      </c>
    </row>
    <row r="234" spans="2:58" ht="15" customHeight="1" x14ac:dyDescent="0.45">
      <c r="B234" s="57" t="s">
        <v>153</v>
      </c>
      <c r="C234" s="59" t="s">
        <v>150</v>
      </c>
      <c r="D234" s="59" t="s">
        <v>150</v>
      </c>
      <c r="E234" s="59" t="s">
        <v>150</v>
      </c>
      <c r="F234" s="59" t="s">
        <v>150</v>
      </c>
      <c r="G234" s="59" t="s">
        <v>150</v>
      </c>
      <c r="H234" s="59" t="s">
        <v>150</v>
      </c>
      <c r="L234" s="57" t="s">
        <v>153</v>
      </c>
      <c r="M234" s="59" t="str">
        <f t="shared" si="199"/>
        <v>NA</v>
      </c>
      <c r="N234" s="59" t="str">
        <f t="shared" si="199"/>
        <v>NA</v>
      </c>
      <c r="O234" s="59" t="str">
        <f t="shared" si="199"/>
        <v>NA</v>
      </c>
      <c r="P234" s="59" t="str">
        <f t="shared" si="199"/>
        <v>NA</v>
      </c>
      <c r="Q234" s="59" t="str">
        <f t="shared" si="199"/>
        <v>NA</v>
      </c>
      <c r="R234" s="59" t="str">
        <f>H234</f>
        <v>NA</v>
      </c>
      <c r="S234" s="68"/>
      <c r="T234" s="69"/>
      <c r="V234" s="57" t="str">
        <f t="shared" si="186"/>
        <v>FICO 640-659</v>
      </c>
      <c r="W234" s="59" t="str">
        <f t="shared" ref="W234:AB234" si="202">M234</f>
        <v>NA</v>
      </c>
      <c r="X234" s="59" t="str">
        <f t="shared" si="202"/>
        <v>NA</v>
      </c>
      <c r="Y234" s="59" t="str">
        <f t="shared" si="202"/>
        <v>NA</v>
      </c>
      <c r="Z234" s="59" t="str">
        <f t="shared" si="202"/>
        <v>NA</v>
      </c>
      <c r="AA234" s="59" t="str">
        <f t="shared" si="202"/>
        <v>NA</v>
      </c>
      <c r="AB234" s="59" t="str">
        <f t="shared" si="202"/>
        <v>NA</v>
      </c>
      <c r="AF234" s="57" t="str">
        <f t="shared" si="187"/>
        <v>FICO 640-659</v>
      </c>
      <c r="AG234" s="59" t="str">
        <f t="shared" si="185"/>
        <v>NA</v>
      </c>
      <c r="AH234" s="59" t="str">
        <f t="shared" si="200"/>
        <v>NA</v>
      </c>
      <c r="AI234" s="59" t="str">
        <f t="shared" si="200"/>
        <v>NA</v>
      </c>
      <c r="AJ234" s="59" t="str">
        <f t="shared" si="200"/>
        <v>NA</v>
      </c>
      <c r="AK234" s="59" t="str">
        <f t="shared" si="200"/>
        <v>NA</v>
      </c>
      <c r="AL234" s="59" t="str">
        <f>AB234</f>
        <v>NA</v>
      </c>
      <c r="AM234" s="68"/>
      <c r="AN234" s="69"/>
      <c r="AP234" s="57" t="str">
        <f t="shared" si="189"/>
        <v>FICO 640-659</v>
      </c>
      <c r="AQ234" s="59" t="str">
        <f t="shared" ref="AQ234:AV234" si="203">AG234</f>
        <v>NA</v>
      </c>
      <c r="AR234" s="59" t="str">
        <f t="shared" si="203"/>
        <v>NA</v>
      </c>
      <c r="AS234" s="59" t="str">
        <f t="shared" si="203"/>
        <v>NA</v>
      </c>
      <c r="AT234" s="59" t="str">
        <f t="shared" si="203"/>
        <v>NA</v>
      </c>
      <c r="AU234" s="59" t="str">
        <f t="shared" si="203"/>
        <v>NA</v>
      </c>
      <c r="AV234" s="59" t="str">
        <f t="shared" si="203"/>
        <v>NA</v>
      </c>
      <c r="AZ234" s="57" t="str">
        <f t="shared" si="190"/>
        <v>FICO 640-659</v>
      </c>
      <c r="BA234" s="59" t="str">
        <f t="shared" si="201"/>
        <v>NA</v>
      </c>
      <c r="BB234" s="59" t="str">
        <f t="shared" si="201"/>
        <v>NA</v>
      </c>
      <c r="BC234" s="59" t="str">
        <f t="shared" si="201"/>
        <v>NA</v>
      </c>
      <c r="BD234" s="59" t="str">
        <f t="shared" si="201"/>
        <v>NA</v>
      </c>
      <c r="BE234" s="59" t="str">
        <f t="shared" si="201"/>
        <v>NA</v>
      </c>
      <c r="BF234" s="59" t="str">
        <f>AV234</f>
        <v>NA</v>
      </c>
    </row>
    <row r="235" spans="2:58" ht="15" customHeight="1" x14ac:dyDescent="0.45">
      <c r="B235" s="46" t="s">
        <v>155</v>
      </c>
      <c r="C235" s="61">
        <v>8.2500000000000004E-2</v>
      </c>
      <c r="D235" s="48">
        <f>C235+0.125%</f>
        <v>8.3750000000000005E-2</v>
      </c>
      <c r="E235" s="47">
        <f>D235</f>
        <v>8.3750000000000005E-2</v>
      </c>
      <c r="F235" s="48">
        <f>E235+0.125%</f>
        <v>8.5000000000000006E-2</v>
      </c>
      <c r="G235" s="48">
        <f>F235+0.125%</f>
        <v>8.6250000000000007E-2</v>
      </c>
      <c r="H235" s="48">
        <f>G235+0.125%</f>
        <v>8.7500000000000008E-2</v>
      </c>
      <c r="L235" s="60" t="s">
        <v>155</v>
      </c>
      <c r="M235" s="62">
        <f t="shared" si="199"/>
        <v>8.2500000000000004E-2</v>
      </c>
      <c r="N235" s="48">
        <f t="shared" si="199"/>
        <v>8.3750000000000005E-2</v>
      </c>
      <c r="O235" s="47">
        <f t="shared" si="199"/>
        <v>8.3750000000000005E-2</v>
      </c>
      <c r="P235" s="48">
        <f t="shared" si="199"/>
        <v>8.5000000000000006E-2</v>
      </c>
      <c r="Q235" s="48">
        <f t="shared" si="199"/>
        <v>8.6250000000000007E-2</v>
      </c>
      <c r="R235" s="48">
        <f>H235</f>
        <v>8.7500000000000008E-2</v>
      </c>
      <c r="S235" s="66"/>
      <c r="T235" s="67"/>
      <c r="V235" s="60" t="str">
        <f t="shared" si="186"/>
        <v>&lt;64.99%</v>
      </c>
      <c r="W235" s="62">
        <f>C235+0.125%</f>
        <v>8.3750000000000005E-2</v>
      </c>
      <c r="X235" s="48">
        <f>W235+0.125%</f>
        <v>8.5000000000000006E-2</v>
      </c>
      <c r="Y235" s="47">
        <f>X235</f>
        <v>8.5000000000000006E-2</v>
      </c>
      <c r="Z235" s="48">
        <f>Y235+0.125%</f>
        <v>8.6250000000000007E-2</v>
      </c>
      <c r="AA235" s="48">
        <f>Z235+0.125%</f>
        <v>8.7500000000000008E-2</v>
      </c>
      <c r="AB235" s="48">
        <f>AA235+0.125%</f>
        <v>8.8750000000000009E-2</v>
      </c>
      <c r="AF235" s="60" t="str">
        <f t="shared" si="187"/>
        <v>&lt;64.99%</v>
      </c>
      <c r="AG235" s="62">
        <f t="shared" si="185"/>
        <v>8.3750000000000005E-2</v>
      </c>
      <c r="AH235" s="48">
        <f t="shared" si="200"/>
        <v>8.5000000000000006E-2</v>
      </c>
      <c r="AI235" s="47">
        <f t="shared" si="200"/>
        <v>8.5000000000000006E-2</v>
      </c>
      <c r="AJ235" s="48">
        <f t="shared" si="200"/>
        <v>8.6250000000000007E-2</v>
      </c>
      <c r="AK235" s="48">
        <f t="shared" si="200"/>
        <v>8.7500000000000008E-2</v>
      </c>
      <c r="AL235" s="48">
        <f>AB235</f>
        <v>8.8750000000000009E-2</v>
      </c>
      <c r="AM235" s="66"/>
      <c r="AN235" s="67"/>
      <c r="AP235" s="60" t="str">
        <f t="shared" si="189"/>
        <v>&lt;64.99%</v>
      </c>
      <c r="AQ235" s="62">
        <f>W235+0.125%</f>
        <v>8.5000000000000006E-2</v>
      </c>
      <c r="AR235" s="48">
        <f>AQ235+0.25%</f>
        <v>8.7500000000000008E-2</v>
      </c>
      <c r="AS235" s="47">
        <f>AR235</f>
        <v>8.7500000000000008E-2</v>
      </c>
      <c r="AT235" s="48">
        <f>AS235+0.25%</f>
        <v>9.0000000000000011E-2</v>
      </c>
      <c r="AU235" s="48">
        <f>AT235+0.25%</f>
        <v>9.2500000000000013E-2</v>
      </c>
      <c r="AV235" s="48">
        <f>AU235+0.25%</f>
        <v>9.5000000000000015E-2</v>
      </c>
      <c r="AZ235" s="60" t="str">
        <f t="shared" si="190"/>
        <v>&lt;64.99%</v>
      </c>
      <c r="BA235" s="62">
        <f t="shared" si="201"/>
        <v>8.5000000000000006E-2</v>
      </c>
      <c r="BB235" s="48">
        <f t="shared" si="201"/>
        <v>8.7500000000000008E-2</v>
      </c>
      <c r="BC235" s="47">
        <f t="shared" si="201"/>
        <v>8.7500000000000008E-2</v>
      </c>
      <c r="BD235" s="48">
        <f t="shared" si="201"/>
        <v>9.0000000000000011E-2</v>
      </c>
      <c r="BE235" s="48">
        <f t="shared" si="201"/>
        <v>9.2500000000000013E-2</v>
      </c>
      <c r="BF235" s="48">
        <f>AV235</f>
        <v>9.5000000000000015E-2</v>
      </c>
    </row>
    <row r="236" spans="2:58" ht="15" customHeight="1" x14ac:dyDescent="0.45">
      <c r="B236" s="52" t="s">
        <v>151</v>
      </c>
      <c r="C236" s="53">
        <f t="shared" ref="C236:H236" si="204">C235+0</f>
        <v>8.2500000000000004E-2</v>
      </c>
      <c r="D236" s="53">
        <f t="shared" si="204"/>
        <v>8.3750000000000005E-2</v>
      </c>
      <c r="E236" s="53">
        <f t="shared" si="204"/>
        <v>8.3750000000000005E-2</v>
      </c>
      <c r="F236" s="53">
        <f t="shared" si="204"/>
        <v>8.5000000000000006E-2</v>
      </c>
      <c r="G236" s="53">
        <f t="shared" si="204"/>
        <v>8.6250000000000007E-2</v>
      </c>
      <c r="H236" s="53">
        <f t="shared" si="204"/>
        <v>8.7500000000000008E-2</v>
      </c>
      <c r="L236" s="52" t="s">
        <v>151</v>
      </c>
      <c r="M236" s="53">
        <f t="shared" si="199"/>
        <v>8.2500000000000004E-2</v>
      </c>
      <c r="N236" s="53">
        <f t="shared" si="199"/>
        <v>8.3750000000000005E-2</v>
      </c>
      <c r="O236" s="53">
        <f t="shared" si="199"/>
        <v>8.3750000000000005E-2</v>
      </c>
      <c r="P236" s="53">
        <f t="shared" si="199"/>
        <v>8.5000000000000006E-2</v>
      </c>
      <c r="Q236" s="53">
        <f t="shared" si="199"/>
        <v>8.6250000000000007E-2</v>
      </c>
      <c r="R236" s="53">
        <f>H236</f>
        <v>8.7500000000000008E-2</v>
      </c>
      <c r="S236" s="68"/>
      <c r="T236" s="69"/>
      <c r="V236" s="52" t="str">
        <f t="shared" si="186"/>
        <v>FICO 700+</v>
      </c>
      <c r="W236" s="53">
        <f t="shared" ref="W236:AB236" si="205">W235+0</f>
        <v>8.3750000000000005E-2</v>
      </c>
      <c r="X236" s="53">
        <f t="shared" si="205"/>
        <v>8.5000000000000006E-2</v>
      </c>
      <c r="Y236" s="53">
        <f t="shared" si="205"/>
        <v>8.5000000000000006E-2</v>
      </c>
      <c r="Z236" s="53">
        <f t="shared" si="205"/>
        <v>8.6250000000000007E-2</v>
      </c>
      <c r="AA236" s="53">
        <f t="shared" si="205"/>
        <v>8.7500000000000008E-2</v>
      </c>
      <c r="AB236" s="53">
        <f t="shared" si="205"/>
        <v>8.8750000000000009E-2</v>
      </c>
      <c r="AF236" s="52" t="str">
        <f t="shared" si="187"/>
        <v>FICO 700+</v>
      </c>
      <c r="AG236" s="53">
        <f t="shared" si="185"/>
        <v>8.3750000000000005E-2</v>
      </c>
      <c r="AH236" s="53">
        <f t="shared" si="200"/>
        <v>8.5000000000000006E-2</v>
      </c>
      <c r="AI236" s="53">
        <f t="shared" si="200"/>
        <v>8.5000000000000006E-2</v>
      </c>
      <c r="AJ236" s="53">
        <f t="shared" si="200"/>
        <v>8.6250000000000007E-2</v>
      </c>
      <c r="AK236" s="53">
        <f t="shared" si="200"/>
        <v>8.7500000000000008E-2</v>
      </c>
      <c r="AL236" s="53">
        <f>AB236</f>
        <v>8.8750000000000009E-2</v>
      </c>
      <c r="AM236" s="68"/>
      <c r="AN236" s="69"/>
      <c r="AP236" s="52" t="str">
        <f t="shared" si="189"/>
        <v>FICO 700+</v>
      </c>
      <c r="AQ236" s="53">
        <f t="shared" ref="AQ236:AV236" si="206">AQ235+0</f>
        <v>8.5000000000000006E-2</v>
      </c>
      <c r="AR236" s="53">
        <f t="shared" si="206"/>
        <v>8.7500000000000008E-2</v>
      </c>
      <c r="AS236" s="53">
        <f t="shared" si="206"/>
        <v>8.7500000000000008E-2</v>
      </c>
      <c r="AT236" s="53">
        <f t="shared" si="206"/>
        <v>9.0000000000000011E-2</v>
      </c>
      <c r="AU236" s="53">
        <f t="shared" si="206"/>
        <v>9.2500000000000013E-2</v>
      </c>
      <c r="AV236" s="53">
        <f t="shared" si="206"/>
        <v>9.5000000000000015E-2</v>
      </c>
      <c r="AZ236" s="52" t="str">
        <f t="shared" si="190"/>
        <v>FICO 700+</v>
      </c>
      <c r="BA236" s="53">
        <f t="shared" si="201"/>
        <v>8.5000000000000006E-2</v>
      </c>
      <c r="BB236" s="53">
        <f t="shared" si="201"/>
        <v>8.7500000000000008E-2</v>
      </c>
      <c r="BC236" s="53">
        <f t="shared" si="201"/>
        <v>8.7500000000000008E-2</v>
      </c>
      <c r="BD236" s="53">
        <f t="shared" si="201"/>
        <v>9.0000000000000011E-2</v>
      </c>
      <c r="BE236" s="53">
        <f t="shared" si="201"/>
        <v>9.2500000000000013E-2</v>
      </c>
      <c r="BF236" s="53">
        <f>AV236</f>
        <v>9.5000000000000015E-2</v>
      </c>
    </row>
    <row r="237" spans="2:58" ht="15" customHeight="1" x14ac:dyDescent="0.45">
      <c r="B237" s="52" t="s">
        <v>152</v>
      </c>
      <c r="C237" s="53">
        <f t="shared" ref="C237:H237" si="207">C235+0.5%</f>
        <v>8.7500000000000008E-2</v>
      </c>
      <c r="D237" s="53">
        <f t="shared" si="207"/>
        <v>8.8750000000000009E-2</v>
      </c>
      <c r="E237" s="53">
        <f t="shared" si="207"/>
        <v>8.8750000000000009E-2</v>
      </c>
      <c r="F237" s="53">
        <f t="shared" si="207"/>
        <v>9.0000000000000011E-2</v>
      </c>
      <c r="G237" s="53">
        <f t="shared" si="207"/>
        <v>9.1250000000000012E-2</v>
      </c>
      <c r="H237" s="53">
        <f t="shared" si="207"/>
        <v>9.2500000000000013E-2</v>
      </c>
      <c r="L237" s="52" t="s">
        <v>152</v>
      </c>
      <c r="M237" s="53">
        <f t="shared" si="199"/>
        <v>8.7500000000000008E-2</v>
      </c>
      <c r="N237" s="53">
        <f t="shared" si="199"/>
        <v>8.8750000000000009E-2</v>
      </c>
      <c r="O237" s="53">
        <f t="shared" si="199"/>
        <v>8.8750000000000009E-2</v>
      </c>
      <c r="P237" s="53">
        <f t="shared" si="199"/>
        <v>9.0000000000000011E-2</v>
      </c>
      <c r="Q237" s="53">
        <f t="shared" si="199"/>
        <v>9.1250000000000012E-2</v>
      </c>
      <c r="R237" s="53">
        <f>H237</f>
        <v>9.2500000000000013E-2</v>
      </c>
      <c r="S237" s="68"/>
      <c r="T237" s="69"/>
      <c r="V237" s="52" t="str">
        <f t="shared" si="186"/>
        <v>FICO 660-699</v>
      </c>
      <c r="W237" s="53">
        <f t="shared" ref="W237:AB237" si="208">W235+0.5%</f>
        <v>8.8750000000000009E-2</v>
      </c>
      <c r="X237" s="53">
        <f t="shared" si="208"/>
        <v>9.0000000000000011E-2</v>
      </c>
      <c r="Y237" s="53">
        <f t="shared" si="208"/>
        <v>9.0000000000000011E-2</v>
      </c>
      <c r="Z237" s="53">
        <f t="shared" si="208"/>
        <v>9.1250000000000012E-2</v>
      </c>
      <c r="AA237" s="53">
        <f t="shared" si="208"/>
        <v>9.2500000000000013E-2</v>
      </c>
      <c r="AB237" s="53">
        <f t="shared" si="208"/>
        <v>9.3750000000000014E-2</v>
      </c>
      <c r="AF237" s="52" t="str">
        <f t="shared" si="187"/>
        <v>FICO 660-699</v>
      </c>
      <c r="AG237" s="53">
        <f t="shared" si="185"/>
        <v>8.8750000000000009E-2</v>
      </c>
      <c r="AH237" s="53">
        <f t="shared" si="200"/>
        <v>9.0000000000000011E-2</v>
      </c>
      <c r="AI237" s="53">
        <f t="shared" si="200"/>
        <v>9.0000000000000011E-2</v>
      </c>
      <c r="AJ237" s="53">
        <f t="shared" si="200"/>
        <v>9.1250000000000012E-2</v>
      </c>
      <c r="AK237" s="53">
        <f t="shared" si="200"/>
        <v>9.2500000000000013E-2</v>
      </c>
      <c r="AL237" s="53">
        <f>AB237</f>
        <v>9.3750000000000014E-2</v>
      </c>
      <c r="AM237" s="68"/>
      <c r="AN237" s="69"/>
      <c r="AP237" s="52" t="str">
        <f t="shared" si="189"/>
        <v>FICO 660-699</v>
      </c>
      <c r="AQ237" s="53">
        <f t="shared" ref="AQ237:AV237" si="209">AQ235+0.5%</f>
        <v>9.0000000000000011E-2</v>
      </c>
      <c r="AR237" s="53">
        <f t="shared" si="209"/>
        <v>9.2500000000000013E-2</v>
      </c>
      <c r="AS237" s="53">
        <f t="shared" si="209"/>
        <v>9.2500000000000013E-2</v>
      </c>
      <c r="AT237" s="53">
        <f t="shared" si="209"/>
        <v>9.5000000000000015E-2</v>
      </c>
      <c r="AU237" s="53">
        <f t="shared" si="209"/>
        <v>9.7500000000000017E-2</v>
      </c>
      <c r="AV237" s="53">
        <f t="shared" si="209"/>
        <v>0.10000000000000002</v>
      </c>
      <c r="AZ237" s="52" t="str">
        <f t="shared" si="190"/>
        <v>FICO 660-699</v>
      </c>
      <c r="BA237" s="53">
        <f t="shared" si="201"/>
        <v>9.0000000000000011E-2</v>
      </c>
      <c r="BB237" s="53">
        <f t="shared" si="201"/>
        <v>9.2500000000000013E-2</v>
      </c>
      <c r="BC237" s="53">
        <f t="shared" si="201"/>
        <v>9.2500000000000013E-2</v>
      </c>
      <c r="BD237" s="53">
        <f t="shared" si="201"/>
        <v>9.5000000000000015E-2</v>
      </c>
      <c r="BE237" s="53">
        <f t="shared" si="201"/>
        <v>9.7500000000000017E-2</v>
      </c>
      <c r="BF237" s="53">
        <f>AV237</f>
        <v>0.10000000000000002</v>
      </c>
    </row>
    <row r="238" spans="2:58" ht="15" customHeight="1" x14ac:dyDescent="0.45">
      <c r="B238" s="52" t="s">
        <v>153</v>
      </c>
      <c r="C238" s="54" t="s">
        <v>150</v>
      </c>
      <c r="D238" s="54" t="s">
        <v>150</v>
      </c>
      <c r="E238" s="54" t="s">
        <v>150</v>
      </c>
      <c r="F238" s="54" t="s">
        <v>150</v>
      </c>
      <c r="G238" s="54" t="s">
        <v>150</v>
      </c>
      <c r="H238" s="54" t="s">
        <v>150</v>
      </c>
      <c r="L238" s="52" t="s">
        <v>153</v>
      </c>
      <c r="M238" s="54" t="str">
        <f t="shared" si="199"/>
        <v>NA</v>
      </c>
      <c r="N238" s="54" t="str">
        <f t="shared" si="199"/>
        <v>NA</v>
      </c>
      <c r="O238" s="54" t="str">
        <f t="shared" si="199"/>
        <v>NA</v>
      </c>
      <c r="P238" s="54" t="str">
        <f t="shared" si="199"/>
        <v>NA</v>
      </c>
      <c r="Q238" s="54" t="str">
        <f t="shared" si="199"/>
        <v>NA</v>
      </c>
      <c r="R238" s="54" t="str">
        <f>H238</f>
        <v>NA</v>
      </c>
      <c r="S238" s="68"/>
      <c r="T238" s="69"/>
      <c r="V238" s="52" t="str">
        <f t="shared" si="186"/>
        <v>FICO 640-659</v>
      </c>
      <c r="W238" s="54" t="str">
        <f t="shared" ref="W238:AB238" si="210">M238</f>
        <v>NA</v>
      </c>
      <c r="X238" s="54" t="str">
        <f t="shared" si="210"/>
        <v>NA</v>
      </c>
      <c r="Y238" s="54" t="str">
        <f t="shared" si="210"/>
        <v>NA</v>
      </c>
      <c r="Z238" s="54" t="str">
        <f t="shared" si="210"/>
        <v>NA</v>
      </c>
      <c r="AA238" s="54" t="str">
        <f t="shared" si="210"/>
        <v>NA</v>
      </c>
      <c r="AB238" s="54" t="str">
        <f t="shared" si="210"/>
        <v>NA</v>
      </c>
      <c r="AF238" s="52" t="str">
        <f t="shared" si="187"/>
        <v>FICO 640-659</v>
      </c>
      <c r="AG238" s="54" t="str">
        <f t="shared" si="185"/>
        <v>NA</v>
      </c>
      <c r="AH238" s="54" t="str">
        <f t="shared" si="200"/>
        <v>NA</v>
      </c>
      <c r="AI238" s="54" t="str">
        <f t="shared" si="200"/>
        <v>NA</v>
      </c>
      <c r="AJ238" s="54" t="str">
        <f t="shared" si="200"/>
        <v>NA</v>
      </c>
      <c r="AK238" s="54" t="str">
        <f t="shared" si="200"/>
        <v>NA</v>
      </c>
      <c r="AL238" s="54" t="str">
        <f>AB238</f>
        <v>NA</v>
      </c>
      <c r="AM238" s="68"/>
      <c r="AN238" s="69"/>
      <c r="AP238" s="52" t="str">
        <f t="shared" si="189"/>
        <v>FICO 640-659</v>
      </c>
      <c r="AQ238" s="54" t="str">
        <f t="shared" ref="AQ238:AV238" si="211">AG238</f>
        <v>NA</v>
      </c>
      <c r="AR238" s="54" t="str">
        <f t="shared" si="211"/>
        <v>NA</v>
      </c>
      <c r="AS238" s="54" t="str">
        <f t="shared" si="211"/>
        <v>NA</v>
      </c>
      <c r="AT238" s="54" t="str">
        <f t="shared" si="211"/>
        <v>NA</v>
      </c>
      <c r="AU238" s="54" t="str">
        <f t="shared" si="211"/>
        <v>NA</v>
      </c>
      <c r="AV238" s="54" t="str">
        <f t="shared" si="211"/>
        <v>NA</v>
      </c>
      <c r="AZ238" s="52" t="str">
        <f t="shared" si="190"/>
        <v>FICO 640-659</v>
      </c>
      <c r="BA238" s="54" t="str">
        <f t="shared" si="201"/>
        <v>NA</v>
      </c>
      <c r="BB238" s="54" t="str">
        <f t="shared" si="201"/>
        <v>NA</v>
      </c>
      <c r="BC238" s="54" t="str">
        <f t="shared" si="201"/>
        <v>NA</v>
      </c>
      <c r="BD238" s="54" t="str">
        <f t="shared" si="201"/>
        <v>NA</v>
      </c>
      <c r="BE238" s="54" t="str">
        <f t="shared" si="201"/>
        <v>NA</v>
      </c>
      <c r="BF238" s="54" t="str">
        <f>AV238</f>
        <v>NA</v>
      </c>
    </row>
    <row r="239" spans="2:58" ht="15" customHeight="1" x14ac:dyDescent="0.45">
      <c r="B239" s="37"/>
      <c r="C239" s="63"/>
      <c r="D239" s="63"/>
      <c r="E239" s="63"/>
      <c r="F239" s="63"/>
      <c r="G239" s="63"/>
      <c r="H239" s="63"/>
      <c r="L239" s="37"/>
      <c r="M239" s="63"/>
      <c r="N239" s="63"/>
      <c r="O239" s="63"/>
      <c r="P239" s="63"/>
      <c r="Q239" s="63"/>
      <c r="R239" s="63"/>
      <c r="S239" s="55"/>
      <c r="T239" s="56"/>
      <c r="V239" s="37"/>
      <c r="W239" s="63"/>
      <c r="X239" s="63"/>
      <c r="Y239" s="63"/>
      <c r="Z239" s="63"/>
      <c r="AA239" s="63"/>
      <c r="AB239" s="63"/>
      <c r="AF239" s="37"/>
      <c r="AG239" s="63"/>
      <c r="AH239" s="63"/>
      <c r="AI239" s="63"/>
      <c r="AJ239" s="63"/>
      <c r="AK239" s="63"/>
      <c r="AL239" s="63"/>
      <c r="AM239" s="55"/>
      <c r="AN239" s="56"/>
      <c r="AP239" s="37"/>
      <c r="AQ239" s="63"/>
      <c r="AR239" s="63"/>
      <c r="AS239" s="63"/>
      <c r="AT239" s="63"/>
      <c r="AU239" s="63"/>
      <c r="AV239" s="63"/>
      <c r="AZ239" s="37"/>
      <c r="BA239" s="63"/>
      <c r="BB239" s="63"/>
      <c r="BC239" s="63"/>
      <c r="BD239" s="63"/>
      <c r="BE239" s="63"/>
      <c r="BF239" s="63"/>
    </row>
    <row r="240" spans="2:58" ht="15.75" customHeight="1" x14ac:dyDescent="0.45">
      <c r="B240" s="94" t="s">
        <v>167</v>
      </c>
      <c r="C240" s="94"/>
      <c r="D240" s="94"/>
      <c r="E240" s="94"/>
      <c r="F240" s="94"/>
      <c r="G240" s="94"/>
      <c r="H240" s="94"/>
      <c r="L240" s="94" t="s">
        <v>167</v>
      </c>
      <c r="M240" s="94"/>
      <c r="N240" s="94"/>
      <c r="O240" s="94"/>
      <c r="P240" s="94"/>
      <c r="Q240" s="94"/>
      <c r="R240" s="94"/>
      <c r="S240" s="39"/>
      <c r="T240" s="40"/>
      <c r="V240" s="94" t="s">
        <v>167</v>
      </c>
      <c r="W240" s="94"/>
      <c r="X240" s="94"/>
      <c r="Y240" s="94"/>
      <c r="Z240" s="94"/>
      <c r="AA240" s="94"/>
      <c r="AB240" s="94"/>
      <c r="AF240" s="94" t="s">
        <v>167</v>
      </c>
      <c r="AG240" s="94"/>
      <c r="AH240" s="94"/>
      <c r="AI240" s="94"/>
      <c r="AJ240" s="94"/>
      <c r="AK240" s="94"/>
      <c r="AL240" s="94"/>
      <c r="AM240" s="39"/>
      <c r="AN240" s="40"/>
      <c r="AP240" s="94" t="s">
        <v>167</v>
      </c>
      <c r="AQ240" s="94"/>
      <c r="AR240" s="94"/>
      <c r="AS240" s="94"/>
      <c r="AT240" s="94"/>
      <c r="AU240" s="94"/>
      <c r="AV240" s="94"/>
      <c r="AZ240" s="94" t="s">
        <v>167</v>
      </c>
      <c r="BA240" s="94"/>
      <c r="BB240" s="94"/>
      <c r="BC240" s="94"/>
      <c r="BD240" s="94"/>
      <c r="BE240" s="94"/>
      <c r="BF240" s="94"/>
    </row>
    <row r="241" spans="2:58" ht="15" customHeight="1" x14ac:dyDescent="0.45">
      <c r="B241" s="42"/>
      <c r="C241" s="95" t="s">
        <v>50</v>
      </c>
      <c r="D241" s="95"/>
      <c r="E241" s="95"/>
      <c r="F241" s="95"/>
      <c r="G241" s="95"/>
      <c r="H241" s="95"/>
      <c r="L241" s="42"/>
      <c r="M241" s="95" t="s">
        <v>50</v>
      </c>
      <c r="N241" s="95"/>
      <c r="O241" s="95"/>
      <c r="P241" s="95"/>
      <c r="Q241" s="95"/>
      <c r="R241" s="95"/>
      <c r="S241" s="41"/>
      <c r="T241" s="43"/>
      <c r="V241" s="42"/>
      <c r="W241" s="95" t="str">
        <f>C241</f>
        <v>LTC</v>
      </c>
      <c r="X241" s="95"/>
      <c r="Y241" s="95"/>
      <c r="Z241" s="95"/>
      <c r="AA241" s="95"/>
      <c r="AB241" s="95"/>
      <c r="AF241" s="42"/>
      <c r="AG241" s="95" t="str">
        <f t="shared" ref="AG241:AG254" si="212">W241</f>
        <v>LTC</v>
      </c>
      <c r="AH241" s="95"/>
      <c r="AI241" s="95"/>
      <c r="AJ241" s="95"/>
      <c r="AK241" s="95"/>
      <c r="AL241" s="95"/>
      <c r="AM241" s="41"/>
      <c r="AN241" s="43"/>
      <c r="AP241" s="42"/>
      <c r="AQ241" s="95" t="str">
        <f>C241</f>
        <v>LTC</v>
      </c>
      <c r="AR241" s="95"/>
      <c r="AS241" s="95"/>
      <c r="AT241" s="95"/>
      <c r="AU241" s="95"/>
      <c r="AV241" s="95"/>
      <c r="AZ241" s="42"/>
      <c r="BA241" s="95" t="str">
        <f>C241</f>
        <v>LTC</v>
      </c>
      <c r="BB241" s="95"/>
      <c r="BC241" s="95"/>
      <c r="BD241" s="95"/>
      <c r="BE241" s="95"/>
      <c r="BF241" s="95"/>
    </row>
    <row r="242" spans="2:58" ht="15" customHeight="1" x14ac:dyDescent="0.45">
      <c r="B242" s="44" t="s">
        <v>52</v>
      </c>
      <c r="C242" s="45" t="s">
        <v>143</v>
      </c>
      <c r="D242" s="45" t="s">
        <v>144</v>
      </c>
      <c r="E242" s="45" t="s">
        <v>145</v>
      </c>
      <c r="F242" s="45" t="s">
        <v>146</v>
      </c>
      <c r="G242" s="45" t="s">
        <v>147</v>
      </c>
      <c r="H242" s="45" t="s">
        <v>148</v>
      </c>
      <c r="L242" s="44" t="s">
        <v>52</v>
      </c>
      <c r="M242" s="70" t="s">
        <v>143</v>
      </c>
      <c r="N242" s="70" t="s">
        <v>144</v>
      </c>
      <c r="O242" s="70" t="s">
        <v>145</v>
      </c>
      <c r="P242" s="70" t="s">
        <v>146</v>
      </c>
      <c r="Q242" s="70" t="s">
        <v>147</v>
      </c>
      <c r="R242" s="70" t="s">
        <v>148</v>
      </c>
      <c r="S242" s="41"/>
      <c r="T242" s="43"/>
      <c r="V242" s="44" t="str">
        <f t="shared" ref="V242:V254" si="213">B242</f>
        <v>AR-LTV</v>
      </c>
      <c r="W242" s="45" t="str">
        <f>C242</f>
        <v>&lt;74.99%</v>
      </c>
      <c r="X242" s="45" t="str">
        <f>D242</f>
        <v>75.00%-80.00%</v>
      </c>
      <c r="Y242" s="45" t="str">
        <f>E242</f>
        <v>80.01%-85.00%</v>
      </c>
      <c r="Z242" s="45" t="str">
        <f>F242</f>
        <v>85.01%-87.50%</v>
      </c>
      <c r="AA242" s="45" t="str">
        <f>G242</f>
        <v>87.51%-89.99%</v>
      </c>
      <c r="AB242" s="45" t="str">
        <f>H242</f>
        <v>90.00%-92.50%</v>
      </c>
      <c r="AF242" s="44" t="str">
        <f t="shared" ref="AF242:AF254" si="214">V242</f>
        <v>AR-LTV</v>
      </c>
      <c r="AG242" s="45" t="str">
        <f t="shared" si="212"/>
        <v>&lt;74.99%</v>
      </c>
      <c r="AH242" s="45" t="str">
        <f t="shared" ref="AH242:AH254" si="215">X242</f>
        <v>75.00%-80.00%</v>
      </c>
      <c r="AI242" s="45" t="str">
        <f t="shared" ref="AI242:AI254" si="216">Y242</f>
        <v>80.01%-85.00%</v>
      </c>
      <c r="AJ242" s="45" t="str">
        <f t="shared" ref="AJ242:AJ254" si="217">Z242</f>
        <v>85.01%-87.50%</v>
      </c>
      <c r="AK242" s="45" t="str">
        <f t="shared" ref="AK242:AK254" si="218">AA242</f>
        <v>87.51%-89.99%</v>
      </c>
      <c r="AL242" s="45" t="str">
        <f t="shared" ref="AL242:AL254" si="219">AB242</f>
        <v>90.00%-92.50%</v>
      </c>
      <c r="AM242" s="41"/>
      <c r="AN242" s="43"/>
      <c r="AP242" s="44" t="str">
        <f t="shared" ref="AP242:AP254" si="220">B242</f>
        <v>AR-LTV</v>
      </c>
      <c r="AQ242" s="45" t="str">
        <f>C242</f>
        <v>&lt;74.99%</v>
      </c>
      <c r="AR242" s="45" t="str">
        <f>D242</f>
        <v>75.00%-80.00%</v>
      </c>
      <c r="AS242" s="45" t="str">
        <f>E242</f>
        <v>80.01%-85.00%</v>
      </c>
      <c r="AT242" s="45" t="str">
        <f>F242</f>
        <v>85.01%-87.50%</v>
      </c>
      <c r="AU242" s="45" t="str">
        <f>G242</f>
        <v>87.51%-89.99%</v>
      </c>
      <c r="AV242" s="45" t="str">
        <f>H242</f>
        <v>90.00%-92.50%</v>
      </c>
      <c r="AZ242" s="44" t="str">
        <f t="shared" ref="AZ242:AZ254" si="221">B242</f>
        <v>AR-LTV</v>
      </c>
      <c r="BA242" s="45" t="str">
        <f>C242</f>
        <v>&lt;74.99%</v>
      </c>
      <c r="BB242" s="45" t="str">
        <f>D242</f>
        <v>75.00%-80.00%</v>
      </c>
      <c r="BC242" s="45" t="str">
        <f>E242</f>
        <v>80.01%-85.00%</v>
      </c>
      <c r="BD242" s="45" t="str">
        <f>F242</f>
        <v>85.01%-87.50%</v>
      </c>
      <c r="BE242" s="45" t="str">
        <f>G242</f>
        <v>87.51%-89.99%</v>
      </c>
      <c r="BF242" s="45" t="str">
        <f>H242</f>
        <v>90.00%-92.50%</v>
      </c>
    </row>
    <row r="243" spans="2:58" ht="15" customHeight="1" x14ac:dyDescent="0.45">
      <c r="B243" s="46" t="s">
        <v>149</v>
      </c>
      <c r="C243" s="49" t="s">
        <v>150</v>
      </c>
      <c r="D243" s="49" t="s">
        <v>150</v>
      </c>
      <c r="E243" s="49" t="s">
        <v>150</v>
      </c>
      <c r="F243" s="49" t="s">
        <v>150</v>
      </c>
      <c r="G243" s="49" t="s">
        <v>150</v>
      </c>
      <c r="H243" s="49" t="s">
        <v>150</v>
      </c>
      <c r="L243" s="60" t="s">
        <v>149</v>
      </c>
      <c r="M243" s="64" t="str">
        <f t="shared" ref="M243:M254" si="222">C243</f>
        <v>NA</v>
      </c>
      <c r="N243" s="64" t="str">
        <f t="shared" ref="N243:N254" si="223">D243</f>
        <v>NA</v>
      </c>
      <c r="O243" s="64" t="str">
        <f t="shared" ref="O243:O254" si="224">E243</f>
        <v>NA</v>
      </c>
      <c r="P243" s="49" t="str">
        <f t="shared" ref="P243:P254" si="225">F243</f>
        <v>NA</v>
      </c>
      <c r="Q243" s="49" t="str">
        <f t="shared" ref="Q243:Q254" si="226">G243</f>
        <v>NA</v>
      </c>
      <c r="R243" s="49" t="str">
        <f t="shared" ref="R243:R254" si="227">H243</f>
        <v>NA</v>
      </c>
      <c r="S243" s="50"/>
      <c r="T243" s="51"/>
      <c r="V243" s="46" t="str">
        <f t="shared" si="213"/>
        <v>70.01%-75.00%</v>
      </c>
      <c r="W243" s="49" t="s">
        <v>150</v>
      </c>
      <c r="X243" s="49" t="s">
        <v>150</v>
      </c>
      <c r="Y243" s="49" t="s">
        <v>150</v>
      </c>
      <c r="Z243" s="49" t="s">
        <v>150</v>
      </c>
      <c r="AA243" s="49" t="s">
        <v>150</v>
      </c>
      <c r="AB243" s="49" t="s">
        <v>150</v>
      </c>
      <c r="AF243" s="46" t="str">
        <f t="shared" si="214"/>
        <v>70.01%-75.00%</v>
      </c>
      <c r="AG243" s="64" t="str">
        <f t="shared" si="212"/>
        <v>NA</v>
      </c>
      <c r="AH243" s="64" t="str">
        <f t="shared" si="215"/>
        <v>NA</v>
      </c>
      <c r="AI243" s="64" t="str">
        <f t="shared" si="216"/>
        <v>NA</v>
      </c>
      <c r="AJ243" s="49" t="str">
        <f t="shared" si="217"/>
        <v>NA</v>
      </c>
      <c r="AK243" s="49" t="str">
        <f t="shared" si="218"/>
        <v>NA</v>
      </c>
      <c r="AL243" s="49" t="str">
        <f t="shared" si="219"/>
        <v>NA</v>
      </c>
      <c r="AM243" s="50"/>
      <c r="AN243" s="51"/>
      <c r="AP243" s="46" t="str">
        <f t="shared" si="220"/>
        <v>70.01%-75.00%</v>
      </c>
      <c r="AQ243" s="49" t="s">
        <v>150</v>
      </c>
      <c r="AR243" s="49" t="s">
        <v>150</v>
      </c>
      <c r="AS243" s="49" t="s">
        <v>150</v>
      </c>
      <c r="AT243" s="49" t="s">
        <v>150</v>
      </c>
      <c r="AU243" s="49" t="s">
        <v>150</v>
      </c>
      <c r="AV243" s="49" t="s">
        <v>150</v>
      </c>
      <c r="AZ243" s="60" t="str">
        <f t="shared" si="221"/>
        <v>70.01%-75.00%</v>
      </c>
      <c r="BA243" s="64" t="str">
        <f t="shared" ref="BA243:BA254" si="228">AQ243</f>
        <v>NA</v>
      </c>
      <c r="BB243" s="64" t="str">
        <f t="shared" ref="BB243:BB254" si="229">AR243</f>
        <v>NA</v>
      </c>
      <c r="BC243" s="64" t="str">
        <f t="shared" ref="BC243:BC254" si="230">AS243</f>
        <v>NA</v>
      </c>
      <c r="BD243" s="49" t="str">
        <f t="shared" ref="BD243:BD254" si="231">AT243</f>
        <v>NA</v>
      </c>
      <c r="BE243" s="49" t="str">
        <f t="shared" ref="BE243:BE254" si="232">AU243</f>
        <v>NA</v>
      </c>
      <c r="BF243" s="49" t="str">
        <f t="shared" ref="BF243:BF254" si="233">AV243</f>
        <v>NA</v>
      </c>
    </row>
    <row r="244" spans="2:58" ht="15" customHeight="1" x14ac:dyDescent="0.45">
      <c r="B244" s="52" t="s">
        <v>151</v>
      </c>
      <c r="C244" s="54" t="s">
        <v>150</v>
      </c>
      <c r="D244" s="54" t="s">
        <v>150</v>
      </c>
      <c r="E244" s="54" t="s">
        <v>150</v>
      </c>
      <c r="F244" s="54" t="s">
        <v>150</v>
      </c>
      <c r="G244" s="54" t="s">
        <v>150</v>
      </c>
      <c r="H244" s="54" t="s">
        <v>150</v>
      </c>
      <c r="L244" s="52" t="s">
        <v>151</v>
      </c>
      <c r="M244" s="54" t="str">
        <f t="shared" si="222"/>
        <v>NA</v>
      </c>
      <c r="N244" s="54" t="str">
        <f t="shared" si="223"/>
        <v>NA</v>
      </c>
      <c r="O244" s="54" t="str">
        <f t="shared" si="224"/>
        <v>NA</v>
      </c>
      <c r="P244" s="54" t="str">
        <f t="shared" si="225"/>
        <v>NA</v>
      </c>
      <c r="Q244" s="54" t="str">
        <f t="shared" si="226"/>
        <v>NA</v>
      </c>
      <c r="R244" s="54" t="str">
        <f t="shared" si="227"/>
        <v>NA</v>
      </c>
      <c r="S244" s="55"/>
      <c r="T244" s="56"/>
      <c r="V244" s="52" t="str">
        <f t="shared" si="213"/>
        <v>FICO 700+</v>
      </c>
      <c r="W244" s="54" t="s">
        <v>150</v>
      </c>
      <c r="X244" s="54" t="s">
        <v>150</v>
      </c>
      <c r="Y244" s="54" t="s">
        <v>150</v>
      </c>
      <c r="Z244" s="54" t="s">
        <v>150</v>
      </c>
      <c r="AA244" s="54" t="s">
        <v>150</v>
      </c>
      <c r="AB244" s="54" t="s">
        <v>150</v>
      </c>
      <c r="AF244" s="52" t="str">
        <f t="shared" si="214"/>
        <v>FICO 700+</v>
      </c>
      <c r="AG244" s="54" t="str">
        <f t="shared" si="212"/>
        <v>NA</v>
      </c>
      <c r="AH244" s="54" t="str">
        <f t="shared" si="215"/>
        <v>NA</v>
      </c>
      <c r="AI244" s="54" t="str">
        <f t="shared" si="216"/>
        <v>NA</v>
      </c>
      <c r="AJ244" s="54" t="str">
        <f t="shared" si="217"/>
        <v>NA</v>
      </c>
      <c r="AK244" s="54" t="str">
        <f t="shared" si="218"/>
        <v>NA</v>
      </c>
      <c r="AL244" s="54" t="str">
        <f t="shared" si="219"/>
        <v>NA</v>
      </c>
      <c r="AM244" s="55"/>
      <c r="AN244" s="56"/>
      <c r="AP244" s="52" t="str">
        <f t="shared" si="220"/>
        <v>FICO 700+</v>
      </c>
      <c r="AQ244" s="54" t="s">
        <v>150</v>
      </c>
      <c r="AR244" s="54" t="s">
        <v>150</v>
      </c>
      <c r="AS244" s="54" t="s">
        <v>150</v>
      </c>
      <c r="AT244" s="54" t="s">
        <v>150</v>
      </c>
      <c r="AU244" s="54" t="s">
        <v>150</v>
      </c>
      <c r="AV244" s="54" t="s">
        <v>150</v>
      </c>
      <c r="AZ244" s="52" t="str">
        <f t="shared" si="221"/>
        <v>FICO 700+</v>
      </c>
      <c r="BA244" s="54" t="str">
        <f t="shared" si="228"/>
        <v>NA</v>
      </c>
      <c r="BB244" s="54" t="str">
        <f t="shared" si="229"/>
        <v>NA</v>
      </c>
      <c r="BC244" s="54" t="str">
        <f t="shared" si="230"/>
        <v>NA</v>
      </c>
      <c r="BD244" s="54" t="str">
        <f t="shared" si="231"/>
        <v>NA</v>
      </c>
      <c r="BE244" s="54" t="str">
        <f t="shared" si="232"/>
        <v>NA</v>
      </c>
      <c r="BF244" s="54" t="str">
        <f t="shared" si="233"/>
        <v>NA</v>
      </c>
    </row>
    <row r="245" spans="2:58" ht="15" customHeight="1" x14ac:dyDescent="0.45">
      <c r="B245" s="52" t="s">
        <v>152</v>
      </c>
      <c r="C245" s="54" t="s">
        <v>150</v>
      </c>
      <c r="D245" s="54" t="s">
        <v>150</v>
      </c>
      <c r="E245" s="54" t="s">
        <v>150</v>
      </c>
      <c r="F245" s="54" t="s">
        <v>150</v>
      </c>
      <c r="G245" s="54" t="s">
        <v>150</v>
      </c>
      <c r="H245" s="54" t="s">
        <v>150</v>
      </c>
      <c r="L245" s="52" t="s">
        <v>152</v>
      </c>
      <c r="M245" s="54" t="str">
        <f t="shared" si="222"/>
        <v>NA</v>
      </c>
      <c r="N245" s="54" t="str">
        <f t="shared" si="223"/>
        <v>NA</v>
      </c>
      <c r="O245" s="54" t="str">
        <f t="shared" si="224"/>
        <v>NA</v>
      </c>
      <c r="P245" s="54" t="str">
        <f t="shared" si="225"/>
        <v>NA</v>
      </c>
      <c r="Q245" s="54" t="str">
        <f t="shared" si="226"/>
        <v>NA</v>
      </c>
      <c r="R245" s="54" t="str">
        <f t="shared" si="227"/>
        <v>NA</v>
      </c>
      <c r="S245" s="55"/>
      <c r="T245" s="56"/>
      <c r="V245" s="52" t="str">
        <f t="shared" si="213"/>
        <v>FICO 660-699</v>
      </c>
      <c r="W245" s="54" t="s">
        <v>150</v>
      </c>
      <c r="X245" s="54" t="s">
        <v>150</v>
      </c>
      <c r="Y245" s="54" t="s">
        <v>150</v>
      </c>
      <c r="Z245" s="54" t="s">
        <v>150</v>
      </c>
      <c r="AA245" s="54" t="s">
        <v>150</v>
      </c>
      <c r="AB245" s="54" t="s">
        <v>150</v>
      </c>
      <c r="AF245" s="52" t="str">
        <f t="shared" si="214"/>
        <v>FICO 660-699</v>
      </c>
      <c r="AG245" s="54" t="str">
        <f t="shared" si="212"/>
        <v>NA</v>
      </c>
      <c r="AH245" s="54" t="str">
        <f t="shared" si="215"/>
        <v>NA</v>
      </c>
      <c r="AI245" s="54" t="str">
        <f t="shared" si="216"/>
        <v>NA</v>
      </c>
      <c r="AJ245" s="54" t="str">
        <f t="shared" si="217"/>
        <v>NA</v>
      </c>
      <c r="AK245" s="54" t="str">
        <f t="shared" si="218"/>
        <v>NA</v>
      </c>
      <c r="AL245" s="54" t="str">
        <f t="shared" si="219"/>
        <v>NA</v>
      </c>
      <c r="AM245" s="55"/>
      <c r="AN245" s="56"/>
      <c r="AP245" s="52" t="str">
        <f t="shared" si="220"/>
        <v>FICO 660-699</v>
      </c>
      <c r="AQ245" s="54" t="s">
        <v>150</v>
      </c>
      <c r="AR245" s="54" t="s">
        <v>150</v>
      </c>
      <c r="AS245" s="54" t="s">
        <v>150</v>
      </c>
      <c r="AT245" s="54" t="s">
        <v>150</v>
      </c>
      <c r="AU245" s="54" t="s">
        <v>150</v>
      </c>
      <c r="AV245" s="54" t="s">
        <v>150</v>
      </c>
      <c r="AZ245" s="52" t="str">
        <f t="shared" si="221"/>
        <v>FICO 660-699</v>
      </c>
      <c r="BA245" s="54" t="str">
        <f t="shared" si="228"/>
        <v>NA</v>
      </c>
      <c r="BB245" s="54" t="str">
        <f t="shared" si="229"/>
        <v>NA</v>
      </c>
      <c r="BC245" s="54" t="str">
        <f t="shared" si="230"/>
        <v>NA</v>
      </c>
      <c r="BD245" s="54" t="str">
        <f t="shared" si="231"/>
        <v>NA</v>
      </c>
      <c r="BE245" s="54" t="str">
        <f t="shared" si="232"/>
        <v>NA</v>
      </c>
      <c r="BF245" s="54" t="str">
        <f t="shared" si="233"/>
        <v>NA</v>
      </c>
    </row>
    <row r="246" spans="2:58" ht="15" customHeight="1" x14ac:dyDescent="0.45">
      <c r="B246" s="57" t="s">
        <v>153</v>
      </c>
      <c r="C246" s="59" t="s">
        <v>150</v>
      </c>
      <c r="D246" s="59" t="s">
        <v>150</v>
      </c>
      <c r="E246" s="59" t="s">
        <v>150</v>
      </c>
      <c r="F246" s="59" t="s">
        <v>150</v>
      </c>
      <c r="G246" s="59" t="s">
        <v>150</v>
      </c>
      <c r="H246" s="59" t="s">
        <v>150</v>
      </c>
      <c r="L246" s="57" t="s">
        <v>153</v>
      </c>
      <c r="M246" s="59" t="str">
        <f t="shared" si="222"/>
        <v>NA</v>
      </c>
      <c r="N246" s="59" t="str">
        <f t="shared" si="223"/>
        <v>NA</v>
      </c>
      <c r="O246" s="59" t="str">
        <f t="shared" si="224"/>
        <v>NA</v>
      </c>
      <c r="P246" s="59" t="str">
        <f t="shared" si="225"/>
        <v>NA</v>
      </c>
      <c r="Q246" s="59" t="str">
        <f t="shared" si="226"/>
        <v>NA</v>
      </c>
      <c r="R246" s="59" t="str">
        <f t="shared" si="227"/>
        <v>NA</v>
      </c>
      <c r="S246" s="55"/>
      <c r="T246" s="56"/>
      <c r="V246" s="57" t="str">
        <f t="shared" si="213"/>
        <v>FICO 640-659</v>
      </c>
      <c r="W246" s="59" t="s">
        <v>150</v>
      </c>
      <c r="X246" s="59" t="s">
        <v>150</v>
      </c>
      <c r="Y246" s="59" t="s">
        <v>150</v>
      </c>
      <c r="Z246" s="59" t="s">
        <v>150</v>
      </c>
      <c r="AA246" s="59" t="s">
        <v>150</v>
      </c>
      <c r="AB246" s="59" t="s">
        <v>150</v>
      </c>
      <c r="AF246" s="57" t="str">
        <f t="shared" si="214"/>
        <v>FICO 640-659</v>
      </c>
      <c r="AG246" s="59" t="str">
        <f t="shared" si="212"/>
        <v>NA</v>
      </c>
      <c r="AH246" s="59" t="str">
        <f t="shared" si="215"/>
        <v>NA</v>
      </c>
      <c r="AI246" s="59" t="str">
        <f t="shared" si="216"/>
        <v>NA</v>
      </c>
      <c r="AJ246" s="59" t="str">
        <f t="shared" si="217"/>
        <v>NA</v>
      </c>
      <c r="AK246" s="59" t="str">
        <f t="shared" si="218"/>
        <v>NA</v>
      </c>
      <c r="AL246" s="59" t="str">
        <f t="shared" si="219"/>
        <v>NA</v>
      </c>
      <c r="AM246" s="55"/>
      <c r="AN246" s="56"/>
      <c r="AP246" s="57" t="str">
        <f t="shared" si="220"/>
        <v>FICO 640-659</v>
      </c>
      <c r="AQ246" s="59" t="s">
        <v>150</v>
      </c>
      <c r="AR246" s="59" t="s">
        <v>150</v>
      </c>
      <c r="AS246" s="59" t="s">
        <v>150</v>
      </c>
      <c r="AT246" s="59" t="s">
        <v>150</v>
      </c>
      <c r="AU246" s="59" t="s">
        <v>150</v>
      </c>
      <c r="AV246" s="59" t="s">
        <v>150</v>
      </c>
      <c r="AZ246" s="57" t="str">
        <f t="shared" si="221"/>
        <v>FICO 640-659</v>
      </c>
      <c r="BA246" s="59" t="str">
        <f t="shared" si="228"/>
        <v>NA</v>
      </c>
      <c r="BB246" s="59" t="str">
        <f t="shared" si="229"/>
        <v>NA</v>
      </c>
      <c r="BC246" s="59" t="str">
        <f t="shared" si="230"/>
        <v>NA</v>
      </c>
      <c r="BD246" s="59" t="str">
        <f t="shared" si="231"/>
        <v>NA</v>
      </c>
      <c r="BE246" s="59" t="str">
        <f t="shared" si="232"/>
        <v>NA</v>
      </c>
      <c r="BF246" s="59" t="str">
        <f t="shared" si="233"/>
        <v>NA</v>
      </c>
    </row>
    <row r="247" spans="2:58" ht="15" customHeight="1" x14ac:dyDescent="0.45">
      <c r="B247" s="60" t="s">
        <v>154</v>
      </c>
      <c r="C247" s="48">
        <f>C251+0.25%</f>
        <v>0.09</v>
      </c>
      <c r="D247" s="48">
        <f>C247+0.25%</f>
        <v>9.2499999999999999E-2</v>
      </c>
      <c r="E247" s="48">
        <f>D247+0.25%</f>
        <v>9.5000000000000001E-2</v>
      </c>
      <c r="F247" s="64" t="s">
        <v>150</v>
      </c>
      <c r="G247" s="64" t="s">
        <v>150</v>
      </c>
      <c r="H247" s="64" t="s">
        <v>150</v>
      </c>
      <c r="L247" s="60" t="s">
        <v>154</v>
      </c>
      <c r="M247" s="48">
        <f t="shared" si="222"/>
        <v>0.09</v>
      </c>
      <c r="N247" s="48">
        <f t="shared" si="223"/>
        <v>9.2499999999999999E-2</v>
      </c>
      <c r="O247" s="48">
        <f t="shared" si="224"/>
        <v>9.5000000000000001E-2</v>
      </c>
      <c r="P247" s="64" t="str">
        <f t="shared" si="225"/>
        <v>NA</v>
      </c>
      <c r="Q247" s="64" t="str">
        <f t="shared" si="226"/>
        <v>NA</v>
      </c>
      <c r="R247" s="64" t="str">
        <f t="shared" si="227"/>
        <v>NA</v>
      </c>
      <c r="S247" s="50"/>
      <c r="T247" s="51"/>
      <c r="V247" s="60" t="str">
        <f t="shared" si="213"/>
        <v>65.00%-70.00%</v>
      </c>
      <c r="W247" s="48">
        <f>W251+0.25%</f>
        <v>9.1249999999999998E-2</v>
      </c>
      <c r="X247" s="48">
        <f>W247+0.25%</f>
        <v>9.375E-2</v>
      </c>
      <c r="Y247" s="48">
        <f>X247+0.25%</f>
        <v>9.6250000000000002E-2</v>
      </c>
      <c r="Z247" s="64" t="s">
        <v>150</v>
      </c>
      <c r="AA247" s="64" t="s">
        <v>150</v>
      </c>
      <c r="AB247" s="64" t="s">
        <v>150</v>
      </c>
      <c r="AF247" s="60" t="str">
        <f t="shared" si="214"/>
        <v>65.00%-70.00%</v>
      </c>
      <c r="AG247" s="48">
        <f t="shared" si="212"/>
        <v>9.1249999999999998E-2</v>
      </c>
      <c r="AH247" s="48">
        <f t="shared" si="215"/>
        <v>9.375E-2</v>
      </c>
      <c r="AI247" s="48">
        <f t="shared" si="216"/>
        <v>9.6250000000000002E-2</v>
      </c>
      <c r="AJ247" s="64" t="str">
        <f t="shared" si="217"/>
        <v>NA</v>
      </c>
      <c r="AK247" s="64" t="str">
        <f t="shared" si="218"/>
        <v>NA</v>
      </c>
      <c r="AL247" s="64" t="str">
        <f t="shared" si="219"/>
        <v>NA</v>
      </c>
      <c r="AM247" s="50"/>
      <c r="AN247" s="51"/>
      <c r="AP247" s="60" t="str">
        <f t="shared" si="220"/>
        <v>65.00%-70.00%</v>
      </c>
      <c r="AQ247" s="48">
        <f>AQ251+0.25%</f>
        <v>9.2499999999999999E-2</v>
      </c>
      <c r="AR247" s="48">
        <f>AQ247+0.25%</f>
        <v>9.5000000000000001E-2</v>
      </c>
      <c r="AS247" s="48">
        <f>AR247+0.25%</f>
        <v>9.7500000000000003E-2</v>
      </c>
      <c r="AT247" s="64" t="s">
        <v>150</v>
      </c>
      <c r="AU247" s="64" t="s">
        <v>150</v>
      </c>
      <c r="AV247" s="64" t="s">
        <v>150</v>
      </c>
      <c r="AZ247" s="60" t="str">
        <f t="shared" si="221"/>
        <v>65.00%-70.00%</v>
      </c>
      <c r="BA247" s="48">
        <f t="shared" si="228"/>
        <v>9.2499999999999999E-2</v>
      </c>
      <c r="BB247" s="48">
        <f t="shared" si="229"/>
        <v>9.5000000000000001E-2</v>
      </c>
      <c r="BC247" s="48">
        <f t="shared" si="230"/>
        <v>9.7500000000000003E-2</v>
      </c>
      <c r="BD247" s="64" t="str">
        <f t="shared" si="231"/>
        <v>NA</v>
      </c>
      <c r="BE247" s="64" t="str">
        <f t="shared" si="232"/>
        <v>NA</v>
      </c>
      <c r="BF247" s="64" t="str">
        <f t="shared" si="233"/>
        <v>NA</v>
      </c>
    </row>
    <row r="248" spans="2:58" ht="15" customHeight="1" x14ac:dyDescent="0.45">
      <c r="B248" s="52" t="s">
        <v>151</v>
      </c>
      <c r="C248" s="53">
        <f>C247+0</f>
        <v>0.09</v>
      </c>
      <c r="D248" s="53">
        <f>D247+0</f>
        <v>9.2499999999999999E-2</v>
      </c>
      <c r="E248" s="53">
        <f>E247+0</f>
        <v>9.5000000000000001E-2</v>
      </c>
      <c r="F248" s="54" t="s">
        <v>150</v>
      </c>
      <c r="G248" s="54" t="s">
        <v>150</v>
      </c>
      <c r="H248" s="54" t="s">
        <v>150</v>
      </c>
      <c r="L248" s="52" t="s">
        <v>151</v>
      </c>
      <c r="M248" s="53">
        <f t="shared" si="222"/>
        <v>0.09</v>
      </c>
      <c r="N248" s="53">
        <f t="shared" si="223"/>
        <v>9.2499999999999999E-2</v>
      </c>
      <c r="O248" s="53">
        <f t="shared" si="224"/>
        <v>9.5000000000000001E-2</v>
      </c>
      <c r="P248" s="54" t="str">
        <f t="shared" si="225"/>
        <v>NA</v>
      </c>
      <c r="Q248" s="54" t="str">
        <f t="shared" si="226"/>
        <v>NA</v>
      </c>
      <c r="R248" s="54" t="str">
        <f t="shared" si="227"/>
        <v>NA</v>
      </c>
      <c r="S248" s="55"/>
      <c r="T248" s="56"/>
      <c r="V248" s="52" t="str">
        <f t="shared" si="213"/>
        <v>FICO 700+</v>
      </c>
      <c r="W248" s="53">
        <f>W247+0</f>
        <v>9.1249999999999998E-2</v>
      </c>
      <c r="X248" s="53">
        <f>X247+0</f>
        <v>9.375E-2</v>
      </c>
      <c r="Y248" s="53">
        <f>Y247+0</f>
        <v>9.6250000000000002E-2</v>
      </c>
      <c r="Z248" s="54" t="s">
        <v>150</v>
      </c>
      <c r="AA248" s="54" t="s">
        <v>150</v>
      </c>
      <c r="AB248" s="54" t="s">
        <v>150</v>
      </c>
      <c r="AF248" s="52" t="str">
        <f t="shared" si="214"/>
        <v>FICO 700+</v>
      </c>
      <c r="AG248" s="53">
        <f t="shared" si="212"/>
        <v>9.1249999999999998E-2</v>
      </c>
      <c r="AH248" s="53">
        <f t="shared" si="215"/>
        <v>9.375E-2</v>
      </c>
      <c r="AI248" s="53">
        <f t="shared" si="216"/>
        <v>9.6250000000000002E-2</v>
      </c>
      <c r="AJ248" s="54" t="str">
        <f t="shared" si="217"/>
        <v>NA</v>
      </c>
      <c r="AK248" s="54" t="str">
        <f t="shared" si="218"/>
        <v>NA</v>
      </c>
      <c r="AL248" s="54" t="str">
        <f t="shared" si="219"/>
        <v>NA</v>
      </c>
      <c r="AM248" s="55"/>
      <c r="AN248" s="56"/>
      <c r="AP248" s="52" t="str">
        <f t="shared" si="220"/>
        <v>FICO 700+</v>
      </c>
      <c r="AQ248" s="53">
        <f>AQ247+0</f>
        <v>9.2499999999999999E-2</v>
      </c>
      <c r="AR248" s="53">
        <f>AR247+0</f>
        <v>9.5000000000000001E-2</v>
      </c>
      <c r="AS248" s="53">
        <f>AS247+0</f>
        <v>9.7500000000000003E-2</v>
      </c>
      <c r="AT248" s="54" t="s">
        <v>150</v>
      </c>
      <c r="AU248" s="54" t="s">
        <v>150</v>
      </c>
      <c r="AV248" s="54" t="s">
        <v>150</v>
      </c>
      <c r="AZ248" s="52" t="str">
        <f t="shared" si="221"/>
        <v>FICO 700+</v>
      </c>
      <c r="BA248" s="53">
        <f t="shared" si="228"/>
        <v>9.2499999999999999E-2</v>
      </c>
      <c r="BB248" s="53">
        <f t="shared" si="229"/>
        <v>9.5000000000000001E-2</v>
      </c>
      <c r="BC248" s="53">
        <f t="shared" si="230"/>
        <v>9.7500000000000003E-2</v>
      </c>
      <c r="BD248" s="54" t="str">
        <f t="shared" si="231"/>
        <v>NA</v>
      </c>
      <c r="BE248" s="54" t="str">
        <f t="shared" si="232"/>
        <v>NA</v>
      </c>
      <c r="BF248" s="54" t="str">
        <f t="shared" si="233"/>
        <v>NA</v>
      </c>
    </row>
    <row r="249" spans="2:58" ht="15" customHeight="1" x14ac:dyDescent="0.45">
      <c r="B249" s="52" t="s">
        <v>152</v>
      </c>
      <c r="C249" s="53">
        <f>C247+0.5%</f>
        <v>9.5000000000000001E-2</v>
      </c>
      <c r="D249" s="53">
        <f>D247+0.5%</f>
        <v>9.7500000000000003E-2</v>
      </c>
      <c r="E249" s="53">
        <f>E247+0.5%</f>
        <v>0.1</v>
      </c>
      <c r="F249" s="54" t="s">
        <v>150</v>
      </c>
      <c r="G249" s="54" t="s">
        <v>150</v>
      </c>
      <c r="H249" s="54" t="s">
        <v>150</v>
      </c>
      <c r="L249" s="52" t="s">
        <v>152</v>
      </c>
      <c r="M249" s="53">
        <f t="shared" si="222"/>
        <v>9.5000000000000001E-2</v>
      </c>
      <c r="N249" s="53">
        <f t="shared" si="223"/>
        <v>9.7500000000000003E-2</v>
      </c>
      <c r="O249" s="53">
        <f t="shared" si="224"/>
        <v>0.1</v>
      </c>
      <c r="P249" s="54" t="str">
        <f t="shared" si="225"/>
        <v>NA</v>
      </c>
      <c r="Q249" s="54" t="str">
        <f t="shared" si="226"/>
        <v>NA</v>
      </c>
      <c r="R249" s="54" t="str">
        <f t="shared" si="227"/>
        <v>NA</v>
      </c>
      <c r="S249" s="55"/>
      <c r="T249" s="56"/>
      <c r="V249" s="52" t="str">
        <f t="shared" si="213"/>
        <v>FICO 660-699</v>
      </c>
      <c r="W249" s="53">
        <f>W247+0.5%</f>
        <v>9.6250000000000002E-2</v>
      </c>
      <c r="X249" s="53">
        <f>X247+0.5%</f>
        <v>9.8750000000000004E-2</v>
      </c>
      <c r="Y249" s="53">
        <f>Y247+0.5%</f>
        <v>0.10125000000000001</v>
      </c>
      <c r="Z249" s="54" t="s">
        <v>150</v>
      </c>
      <c r="AA249" s="54" t="s">
        <v>150</v>
      </c>
      <c r="AB249" s="54" t="s">
        <v>150</v>
      </c>
      <c r="AF249" s="52" t="str">
        <f t="shared" si="214"/>
        <v>FICO 660-699</v>
      </c>
      <c r="AG249" s="53">
        <f t="shared" si="212"/>
        <v>9.6250000000000002E-2</v>
      </c>
      <c r="AH249" s="53">
        <f t="shared" si="215"/>
        <v>9.8750000000000004E-2</v>
      </c>
      <c r="AI249" s="53">
        <f t="shared" si="216"/>
        <v>0.10125000000000001</v>
      </c>
      <c r="AJ249" s="54" t="str">
        <f t="shared" si="217"/>
        <v>NA</v>
      </c>
      <c r="AK249" s="54" t="str">
        <f t="shared" si="218"/>
        <v>NA</v>
      </c>
      <c r="AL249" s="54" t="str">
        <f t="shared" si="219"/>
        <v>NA</v>
      </c>
      <c r="AM249" s="55"/>
      <c r="AN249" s="56"/>
      <c r="AP249" s="52" t="str">
        <f t="shared" si="220"/>
        <v>FICO 660-699</v>
      </c>
      <c r="AQ249" s="53">
        <f>AQ247+0.5%</f>
        <v>9.7500000000000003E-2</v>
      </c>
      <c r="AR249" s="53">
        <f>AR247+0.5%</f>
        <v>0.1</v>
      </c>
      <c r="AS249" s="53">
        <f>AS247+0.5%</f>
        <v>0.10250000000000001</v>
      </c>
      <c r="AT249" s="54" t="s">
        <v>150</v>
      </c>
      <c r="AU249" s="54" t="s">
        <v>150</v>
      </c>
      <c r="AV249" s="54" t="s">
        <v>150</v>
      </c>
      <c r="AZ249" s="52" t="str">
        <f t="shared" si="221"/>
        <v>FICO 660-699</v>
      </c>
      <c r="BA249" s="53">
        <f t="shared" si="228"/>
        <v>9.7500000000000003E-2</v>
      </c>
      <c r="BB249" s="53">
        <f t="shared" si="229"/>
        <v>0.1</v>
      </c>
      <c r="BC249" s="53">
        <f t="shared" si="230"/>
        <v>0.10250000000000001</v>
      </c>
      <c r="BD249" s="54" t="str">
        <f t="shared" si="231"/>
        <v>NA</v>
      </c>
      <c r="BE249" s="54" t="str">
        <f t="shared" si="232"/>
        <v>NA</v>
      </c>
      <c r="BF249" s="54" t="str">
        <f t="shared" si="233"/>
        <v>NA</v>
      </c>
    </row>
    <row r="250" spans="2:58" ht="15" customHeight="1" x14ac:dyDescent="0.45">
      <c r="B250" s="57" t="s">
        <v>153</v>
      </c>
      <c r="C250" s="59" t="s">
        <v>150</v>
      </c>
      <c r="D250" s="59" t="s">
        <v>150</v>
      </c>
      <c r="E250" s="59" t="s">
        <v>150</v>
      </c>
      <c r="F250" s="59" t="s">
        <v>150</v>
      </c>
      <c r="G250" s="59" t="s">
        <v>150</v>
      </c>
      <c r="H250" s="59" t="s">
        <v>150</v>
      </c>
      <c r="L250" s="57" t="s">
        <v>153</v>
      </c>
      <c r="M250" s="59" t="str">
        <f t="shared" si="222"/>
        <v>NA</v>
      </c>
      <c r="N250" s="59" t="str">
        <f t="shared" si="223"/>
        <v>NA</v>
      </c>
      <c r="O250" s="59" t="str">
        <f t="shared" si="224"/>
        <v>NA</v>
      </c>
      <c r="P250" s="59" t="str">
        <f t="shared" si="225"/>
        <v>NA</v>
      </c>
      <c r="Q250" s="59" t="str">
        <f t="shared" si="226"/>
        <v>NA</v>
      </c>
      <c r="R250" s="59" t="str">
        <f t="shared" si="227"/>
        <v>NA</v>
      </c>
      <c r="S250" s="55"/>
      <c r="T250" s="56"/>
      <c r="V250" s="57" t="str">
        <f t="shared" si="213"/>
        <v>FICO 640-659</v>
      </c>
      <c r="W250" s="59" t="s">
        <v>150</v>
      </c>
      <c r="X250" s="59" t="s">
        <v>150</v>
      </c>
      <c r="Y250" s="59" t="s">
        <v>150</v>
      </c>
      <c r="Z250" s="59" t="s">
        <v>150</v>
      </c>
      <c r="AA250" s="59" t="s">
        <v>150</v>
      </c>
      <c r="AB250" s="59" t="s">
        <v>150</v>
      </c>
      <c r="AF250" s="57" t="str">
        <f t="shared" si="214"/>
        <v>FICO 640-659</v>
      </c>
      <c r="AG250" s="59" t="str">
        <f t="shared" si="212"/>
        <v>NA</v>
      </c>
      <c r="AH250" s="59" t="str">
        <f t="shared" si="215"/>
        <v>NA</v>
      </c>
      <c r="AI250" s="59" t="str">
        <f t="shared" si="216"/>
        <v>NA</v>
      </c>
      <c r="AJ250" s="59" t="str">
        <f t="shared" si="217"/>
        <v>NA</v>
      </c>
      <c r="AK250" s="59" t="str">
        <f t="shared" si="218"/>
        <v>NA</v>
      </c>
      <c r="AL250" s="59" t="str">
        <f t="shared" si="219"/>
        <v>NA</v>
      </c>
      <c r="AM250" s="55"/>
      <c r="AN250" s="56"/>
      <c r="AP250" s="57" t="str">
        <f t="shared" si="220"/>
        <v>FICO 640-659</v>
      </c>
      <c r="AQ250" s="59" t="s">
        <v>150</v>
      </c>
      <c r="AR250" s="59" t="s">
        <v>150</v>
      </c>
      <c r="AS250" s="59" t="s">
        <v>150</v>
      </c>
      <c r="AT250" s="59" t="s">
        <v>150</v>
      </c>
      <c r="AU250" s="59" t="s">
        <v>150</v>
      </c>
      <c r="AV250" s="59" t="s">
        <v>150</v>
      </c>
      <c r="AZ250" s="57" t="str">
        <f t="shared" si="221"/>
        <v>FICO 640-659</v>
      </c>
      <c r="BA250" s="59" t="str">
        <f t="shared" si="228"/>
        <v>NA</v>
      </c>
      <c r="BB250" s="59" t="str">
        <f t="shared" si="229"/>
        <v>NA</v>
      </c>
      <c r="BC250" s="59" t="str">
        <f t="shared" si="230"/>
        <v>NA</v>
      </c>
      <c r="BD250" s="59" t="str">
        <f t="shared" si="231"/>
        <v>NA</v>
      </c>
      <c r="BE250" s="59" t="str">
        <f t="shared" si="232"/>
        <v>NA</v>
      </c>
      <c r="BF250" s="59" t="str">
        <f t="shared" si="233"/>
        <v>NA</v>
      </c>
    </row>
    <row r="251" spans="2:58" ht="15" customHeight="1" x14ac:dyDescent="0.45">
      <c r="B251" s="60" t="s">
        <v>155</v>
      </c>
      <c r="C251" s="61">
        <v>8.7499999999999994E-2</v>
      </c>
      <c r="D251" s="48">
        <f>C251+0.25%</f>
        <v>0.09</v>
      </c>
      <c r="E251" s="48">
        <f>D251+0.25%</f>
        <v>9.2499999999999999E-2</v>
      </c>
      <c r="F251" s="64" t="s">
        <v>150</v>
      </c>
      <c r="G251" s="64" t="s">
        <v>150</v>
      </c>
      <c r="H251" s="64" t="s">
        <v>150</v>
      </c>
      <c r="L251" s="60" t="s">
        <v>155</v>
      </c>
      <c r="M251" s="62">
        <f t="shared" si="222"/>
        <v>8.7499999999999994E-2</v>
      </c>
      <c r="N251" s="48">
        <f t="shared" si="223"/>
        <v>0.09</v>
      </c>
      <c r="O251" s="48">
        <f t="shared" si="224"/>
        <v>9.2499999999999999E-2</v>
      </c>
      <c r="P251" s="49" t="str">
        <f t="shared" si="225"/>
        <v>NA</v>
      </c>
      <c r="Q251" s="49" t="str">
        <f t="shared" si="226"/>
        <v>NA</v>
      </c>
      <c r="R251" s="49" t="str">
        <f t="shared" si="227"/>
        <v>NA</v>
      </c>
      <c r="S251" s="50"/>
      <c r="T251" s="51"/>
      <c r="V251" s="60" t="str">
        <f t="shared" si="213"/>
        <v>&lt;64.99%</v>
      </c>
      <c r="W251" s="62">
        <f>C251+0.125%</f>
        <v>8.8749999999999996E-2</v>
      </c>
      <c r="X251" s="48">
        <f>W251+0.25%</f>
        <v>9.1249999999999998E-2</v>
      </c>
      <c r="Y251" s="48">
        <f>X251+0.25%</f>
        <v>9.375E-2</v>
      </c>
      <c r="Z251" s="64" t="s">
        <v>150</v>
      </c>
      <c r="AA251" s="64" t="s">
        <v>150</v>
      </c>
      <c r="AB251" s="64" t="s">
        <v>150</v>
      </c>
      <c r="AF251" s="60" t="str">
        <f t="shared" si="214"/>
        <v>&lt;64.99%</v>
      </c>
      <c r="AG251" s="62">
        <f t="shared" si="212"/>
        <v>8.8749999999999996E-2</v>
      </c>
      <c r="AH251" s="48">
        <f t="shared" si="215"/>
        <v>9.1249999999999998E-2</v>
      </c>
      <c r="AI251" s="48">
        <f t="shared" si="216"/>
        <v>9.375E-2</v>
      </c>
      <c r="AJ251" s="49" t="str">
        <f t="shared" si="217"/>
        <v>NA</v>
      </c>
      <c r="AK251" s="49" t="str">
        <f t="shared" si="218"/>
        <v>NA</v>
      </c>
      <c r="AL251" s="49" t="str">
        <f t="shared" si="219"/>
        <v>NA</v>
      </c>
      <c r="AM251" s="50"/>
      <c r="AN251" s="51"/>
      <c r="AP251" s="60" t="str">
        <f t="shared" si="220"/>
        <v>&lt;64.99%</v>
      </c>
      <c r="AQ251" s="62">
        <f>W251+0.125%</f>
        <v>0.09</v>
      </c>
      <c r="AR251" s="48">
        <f>AQ251+0.25%</f>
        <v>9.2499999999999999E-2</v>
      </c>
      <c r="AS251" s="48">
        <f>AR251+0.25%</f>
        <v>9.5000000000000001E-2</v>
      </c>
      <c r="AT251" s="64" t="s">
        <v>150</v>
      </c>
      <c r="AU251" s="64" t="s">
        <v>150</v>
      </c>
      <c r="AV251" s="64" t="s">
        <v>150</v>
      </c>
      <c r="AZ251" s="60" t="str">
        <f t="shared" si="221"/>
        <v>&lt;64.99%</v>
      </c>
      <c r="BA251" s="62">
        <f t="shared" si="228"/>
        <v>0.09</v>
      </c>
      <c r="BB251" s="48">
        <f t="shared" si="229"/>
        <v>9.2499999999999999E-2</v>
      </c>
      <c r="BC251" s="48">
        <f t="shared" si="230"/>
        <v>9.5000000000000001E-2</v>
      </c>
      <c r="BD251" s="49" t="str">
        <f t="shared" si="231"/>
        <v>NA</v>
      </c>
      <c r="BE251" s="49" t="str">
        <f t="shared" si="232"/>
        <v>NA</v>
      </c>
      <c r="BF251" s="49" t="str">
        <f t="shared" si="233"/>
        <v>NA</v>
      </c>
    </row>
    <row r="252" spans="2:58" ht="15" customHeight="1" x14ac:dyDescent="0.45">
      <c r="B252" s="52" t="s">
        <v>151</v>
      </c>
      <c r="C252" s="53">
        <f>C251+0</f>
        <v>8.7499999999999994E-2</v>
      </c>
      <c r="D252" s="53">
        <f>D251+0</f>
        <v>0.09</v>
      </c>
      <c r="E252" s="53">
        <f>E251+0</f>
        <v>9.2499999999999999E-2</v>
      </c>
      <c r="F252" s="54" t="s">
        <v>150</v>
      </c>
      <c r="G252" s="54" t="s">
        <v>150</v>
      </c>
      <c r="H252" s="54" t="s">
        <v>150</v>
      </c>
      <c r="L252" s="52" t="s">
        <v>151</v>
      </c>
      <c r="M252" s="53">
        <f t="shared" si="222"/>
        <v>8.7499999999999994E-2</v>
      </c>
      <c r="N252" s="53">
        <f t="shared" si="223"/>
        <v>0.09</v>
      </c>
      <c r="O252" s="53">
        <f t="shared" si="224"/>
        <v>9.2499999999999999E-2</v>
      </c>
      <c r="P252" s="54" t="str">
        <f t="shared" si="225"/>
        <v>NA</v>
      </c>
      <c r="Q252" s="54" t="str">
        <f t="shared" si="226"/>
        <v>NA</v>
      </c>
      <c r="R252" s="54" t="str">
        <f t="shared" si="227"/>
        <v>NA</v>
      </c>
      <c r="S252" s="55"/>
      <c r="T252" s="56"/>
      <c r="V252" s="52" t="str">
        <f t="shared" si="213"/>
        <v>FICO 700+</v>
      </c>
      <c r="W252" s="53">
        <f>W251+0</f>
        <v>8.8749999999999996E-2</v>
      </c>
      <c r="X252" s="53">
        <f>X251+0</f>
        <v>9.1249999999999998E-2</v>
      </c>
      <c r="Y252" s="53">
        <f>Y251+0</f>
        <v>9.375E-2</v>
      </c>
      <c r="Z252" s="54" t="s">
        <v>150</v>
      </c>
      <c r="AA252" s="54" t="s">
        <v>150</v>
      </c>
      <c r="AB252" s="54" t="s">
        <v>150</v>
      </c>
      <c r="AF252" s="52" t="str">
        <f t="shared" si="214"/>
        <v>FICO 700+</v>
      </c>
      <c r="AG252" s="53">
        <f t="shared" si="212"/>
        <v>8.8749999999999996E-2</v>
      </c>
      <c r="AH252" s="53">
        <f t="shared" si="215"/>
        <v>9.1249999999999998E-2</v>
      </c>
      <c r="AI252" s="53">
        <f t="shared" si="216"/>
        <v>9.375E-2</v>
      </c>
      <c r="AJ252" s="54" t="str">
        <f t="shared" si="217"/>
        <v>NA</v>
      </c>
      <c r="AK252" s="54" t="str">
        <f t="shared" si="218"/>
        <v>NA</v>
      </c>
      <c r="AL252" s="54" t="str">
        <f t="shared" si="219"/>
        <v>NA</v>
      </c>
      <c r="AM252" s="55"/>
      <c r="AN252" s="56"/>
      <c r="AP252" s="52" t="str">
        <f t="shared" si="220"/>
        <v>FICO 700+</v>
      </c>
      <c r="AQ252" s="53">
        <f>AQ251+0</f>
        <v>0.09</v>
      </c>
      <c r="AR252" s="53">
        <f>AR251+0</f>
        <v>9.2499999999999999E-2</v>
      </c>
      <c r="AS252" s="53">
        <f>AS251+0</f>
        <v>9.5000000000000001E-2</v>
      </c>
      <c r="AT252" s="54" t="s">
        <v>150</v>
      </c>
      <c r="AU252" s="54" t="s">
        <v>150</v>
      </c>
      <c r="AV252" s="54" t="s">
        <v>150</v>
      </c>
      <c r="AZ252" s="52" t="str">
        <f t="shared" si="221"/>
        <v>FICO 700+</v>
      </c>
      <c r="BA252" s="53">
        <f t="shared" si="228"/>
        <v>0.09</v>
      </c>
      <c r="BB252" s="53">
        <f t="shared" si="229"/>
        <v>9.2499999999999999E-2</v>
      </c>
      <c r="BC252" s="53">
        <f t="shared" si="230"/>
        <v>9.5000000000000001E-2</v>
      </c>
      <c r="BD252" s="54" t="str">
        <f t="shared" si="231"/>
        <v>NA</v>
      </c>
      <c r="BE252" s="54" t="str">
        <f t="shared" si="232"/>
        <v>NA</v>
      </c>
      <c r="BF252" s="54" t="str">
        <f t="shared" si="233"/>
        <v>NA</v>
      </c>
    </row>
    <row r="253" spans="2:58" ht="15" customHeight="1" x14ac:dyDescent="0.45">
      <c r="B253" s="52" t="s">
        <v>152</v>
      </c>
      <c r="C253" s="53">
        <f>C251+0.5%</f>
        <v>9.2499999999999999E-2</v>
      </c>
      <c r="D253" s="53">
        <f>D251+0.5%</f>
        <v>9.5000000000000001E-2</v>
      </c>
      <c r="E253" s="53">
        <f>E251+0.5%</f>
        <v>9.7500000000000003E-2</v>
      </c>
      <c r="F253" s="54" t="s">
        <v>150</v>
      </c>
      <c r="G253" s="54" t="s">
        <v>150</v>
      </c>
      <c r="H253" s="54" t="s">
        <v>150</v>
      </c>
      <c r="L253" s="52" t="s">
        <v>152</v>
      </c>
      <c r="M253" s="53">
        <f t="shared" si="222"/>
        <v>9.2499999999999999E-2</v>
      </c>
      <c r="N253" s="53">
        <f t="shared" si="223"/>
        <v>9.5000000000000001E-2</v>
      </c>
      <c r="O253" s="53">
        <f t="shared" si="224"/>
        <v>9.7500000000000003E-2</v>
      </c>
      <c r="P253" s="54" t="str">
        <f t="shared" si="225"/>
        <v>NA</v>
      </c>
      <c r="Q253" s="54" t="str">
        <f t="shared" si="226"/>
        <v>NA</v>
      </c>
      <c r="R253" s="54" t="str">
        <f t="shared" si="227"/>
        <v>NA</v>
      </c>
      <c r="S253" s="55"/>
      <c r="T253" s="56"/>
      <c r="V253" s="52" t="str">
        <f t="shared" si="213"/>
        <v>FICO 660-699</v>
      </c>
      <c r="W253" s="53">
        <f>W251+0.5%</f>
        <v>9.375E-2</v>
      </c>
      <c r="X253" s="53">
        <f>X251+0.5%</f>
        <v>9.6250000000000002E-2</v>
      </c>
      <c r="Y253" s="53">
        <f>Y251+0.5%</f>
        <v>9.8750000000000004E-2</v>
      </c>
      <c r="Z253" s="54" t="s">
        <v>150</v>
      </c>
      <c r="AA253" s="54" t="s">
        <v>150</v>
      </c>
      <c r="AB253" s="54" t="s">
        <v>150</v>
      </c>
      <c r="AF253" s="52" t="str">
        <f t="shared" si="214"/>
        <v>FICO 660-699</v>
      </c>
      <c r="AG253" s="53">
        <f t="shared" si="212"/>
        <v>9.375E-2</v>
      </c>
      <c r="AH253" s="53">
        <f t="shared" si="215"/>
        <v>9.6250000000000002E-2</v>
      </c>
      <c r="AI253" s="53">
        <f t="shared" si="216"/>
        <v>9.8750000000000004E-2</v>
      </c>
      <c r="AJ253" s="54" t="str">
        <f t="shared" si="217"/>
        <v>NA</v>
      </c>
      <c r="AK253" s="54" t="str">
        <f t="shared" si="218"/>
        <v>NA</v>
      </c>
      <c r="AL253" s="54" t="str">
        <f t="shared" si="219"/>
        <v>NA</v>
      </c>
      <c r="AM253" s="55"/>
      <c r="AN253" s="56"/>
      <c r="AP253" s="52" t="str">
        <f t="shared" si="220"/>
        <v>FICO 660-699</v>
      </c>
      <c r="AQ253" s="53">
        <f>AQ251+0.5%</f>
        <v>9.5000000000000001E-2</v>
      </c>
      <c r="AR253" s="53">
        <f>AR251+0.5%</f>
        <v>9.7500000000000003E-2</v>
      </c>
      <c r="AS253" s="53">
        <f>AS251+0.5%</f>
        <v>0.1</v>
      </c>
      <c r="AT253" s="54" t="s">
        <v>150</v>
      </c>
      <c r="AU253" s="54" t="s">
        <v>150</v>
      </c>
      <c r="AV253" s="54" t="s">
        <v>150</v>
      </c>
      <c r="AZ253" s="52" t="str">
        <f t="shared" si="221"/>
        <v>FICO 660-699</v>
      </c>
      <c r="BA253" s="53">
        <f t="shared" si="228"/>
        <v>9.5000000000000001E-2</v>
      </c>
      <c r="BB253" s="53">
        <f t="shared" si="229"/>
        <v>9.7500000000000003E-2</v>
      </c>
      <c r="BC253" s="53">
        <f t="shared" si="230"/>
        <v>0.1</v>
      </c>
      <c r="BD253" s="54" t="str">
        <f t="shared" si="231"/>
        <v>NA</v>
      </c>
      <c r="BE253" s="54" t="str">
        <f t="shared" si="232"/>
        <v>NA</v>
      </c>
      <c r="BF253" s="54" t="str">
        <f t="shared" si="233"/>
        <v>NA</v>
      </c>
    </row>
    <row r="254" spans="2:58" ht="15" customHeight="1" x14ac:dyDescent="0.45">
      <c r="B254" s="52" t="s">
        <v>153</v>
      </c>
      <c r="C254" s="54" t="s">
        <v>150</v>
      </c>
      <c r="D254" s="54" t="s">
        <v>150</v>
      </c>
      <c r="E254" s="54" t="s">
        <v>150</v>
      </c>
      <c r="F254" s="54" t="s">
        <v>150</v>
      </c>
      <c r="G254" s="54" t="s">
        <v>150</v>
      </c>
      <c r="H254" s="54" t="s">
        <v>150</v>
      </c>
      <c r="L254" s="52" t="s">
        <v>153</v>
      </c>
      <c r="M254" s="54" t="str">
        <f t="shared" si="222"/>
        <v>NA</v>
      </c>
      <c r="N254" s="54" t="str">
        <f t="shared" si="223"/>
        <v>NA</v>
      </c>
      <c r="O254" s="54" t="str">
        <f t="shared" si="224"/>
        <v>NA</v>
      </c>
      <c r="P254" s="54" t="str">
        <f t="shared" si="225"/>
        <v>NA</v>
      </c>
      <c r="Q254" s="54" t="str">
        <f t="shared" si="226"/>
        <v>NA</v>
      </c>
      <c r="R254" s="54" t="str">
        <f t="shared" si="227"/>
        <v>NA</v>
      </c>
      <c r="S254" s="55"/>
      <c r="T254" s="56"/>
      <c r="V254" s="52" t="str">
        <f t="shared" si="213"/>
        <v>FICO 640-659</v>
      </c>
      <c r="W254" s="54" t="s">
        <v>150</v>
      </c>
      <c r="X254" s="54" t="s">
        <v>150</v>
      </c>
      <c r="Y254" s="54" t="s">
        <v>150</v>
      </c>
      <c r="Z254" s="54" t="s">
        <v>150</v>
      </c>
      <c r="AA254" s="54" t="s">
        <v>150</v>
      </c>
      <c r="AB254" s="54" t="s">
        <v>150</v>
      </c>
      <c r="AF254" s="52" t="str">
        <f t="shared" si="214"/>
        <v>FICO 640-659</v>
      </c>
      <c r="AG254" s="54" t="str">
        <f t="shared" si="212"/>
        <v>NA</v>
      </c>
      <c r="AH254" s="54" t="str">
        <f t="shared" si="215"/>
        <v>NA</v>
      </c>
      <c r="AI254" s="54" t="str">
        <f t="shared" si="216"/>
        <v>NA</v>
      </c>
      <c r="AJ254" s="54" t="str">
        <f t="shared" si="217"/>
        <v>NA</v>
      </c>
      <c r="AK254" s="54" t="str">
        <f t="shared" si="218"/>
        <v>NA</v>
      </c>
      <c r="AL254" s="54" t="str">
        <f t="shared" si="219"/>
        <v>NA</v>
      </c>
      <c r="AM254" s="55"/>
      <c r="AN254" s="56"/>
      <c r="AP254" s="52" t="str">
        <f t="shared" si="220"/>
        <v>FICO 640-659</v>
      </c>
      <c r="AQ254" s="54" t="s">
        <v>150</v>
      </c>
      <c r="AR254" s="54" t="s">
        <v>150</v>
      </c>
      <c r="AS254" s="54" t="s">
        <v>150</v>
      </c>
      <c r="AT254" s="54" t="s">
        <v>150</v>
      </c>
      <c r="AU254" s="54" t="s">
        <v>150</v>
      </c>
      <c r="AV254" s="54" t="s">
        <v>150</v>
      </c>
      <c r="AZ254" s="52" t="str">
        <f t="shared" si="221"/>
        <v>FICO 640-659</v>
      </c>
      <c r="BA254" s="54" t="str">
        <f t="shared" si="228"/>
        <v>NA</v>
      </c>
      <c r="BB254" s="54" t="str">
        <f t="shared" si="229"/>
        <v>NA</v>
      </c>
      <c r="BC254" s="54" t="str">
        <f t="shared" si="230"/>
        <v>NA</v>
      </c>
      <c r="BD254" s="54" t="str">
        <f t="shared" si="231"/>
        <v>NA</v>
      </c>
      <c r="BE254" s="54" t="str">
        <f t="shared" si="232"/>
        <v>NA</v>
      </c>
      <c r="BF254" s="54" t="str">
        <f t="shared" si="233"/>
        <v>NA</v>
      </c>
    </row>
    <row r="255" spans="2:58" ht="15" customHeight="1" x14ac:dyDescent="0.45">
      <c r="B255" s="37"/>
      <c r="C255" s="63"/>
      <c r="D255" s="63"/>
      <c r="E255" s="63"/>
      <c r="F255" s="63"/>
      <c r="G255" s="63"/>
      <c r="H255" s="63"/>
      <c r="L255" s="37"/>
      <c r="M255" s="63"/>
      <c r="N255" s="63"/>
      <c r="O255" s="63"/>
      <c r="P255" s="63"/>
      <c r="Q255" s="63"/>
      <c r="R255" s="63"/>
      <c r="S255" s="55"/>
      <c r="T255" s="56"/>
      <c r="V255" s="37"/>
      <c r="W255" s="63"/>
      <c r="X255" s="63"/>
      <c r="Y255" s="63"/>
      <c r="Z255" s="63"/>
      <c r="AA255" s="63"/>
      <c r="AB255" s="63"/>
      <c r="AF255" s="37"/>
      <c r="AG255" s="63"/>
      <c r="AH255" s="63"/>
      <c r="AI255" s="63"/>
      <c r="AJ255" s="63"/>
      <c r="AK255" s="63"/>
      <c r="AL255" s="63"/>
      <c r="AM255" s="55"/>
      <c r="AN255" s="56"/>
      <c r="AP255" s="37"/>
      <c r="AQ255" s="63"/>
      <c r="AR255" s="63"/>
      <c r="AS255" s="63"/>
      <c r="AT255" s="63"/>
      <c r="AU255" s="63"/>
      <c r="AV255" s="63"/>
      <c r="AZ255" s="37"/>
      <c r="BA255" s="63"/>
      <c r="BB255" s="63"/>
      <c r="BC255" s="63"/>
      <c r="BD255" s="63"/>
      <c r="BE255" s="63"/>
      <c r="BF255" s="63"/>
    </row>
    <row r="256" spans="2:58" ht="15.75" customHeight="1" x14ac:dyDescent="0.45">
      <c r="B256" s="94" t="s">
        <v>168</v>
      </c>
      <c r="C256" s="94"/>
      <c r="D256" s="94"/>
      <c r="E256" s="94"/>
      <c r="F256" s="94"/>
      <c r="G256" s="94"/>
      <c r="H256" s="94"/>
      <c r="L256" s="94" t="s">
        <v>168</v>
      </c>
      <c r="M256" s="94"/>
      <c r="N256" s="94"/>
      <c r="O256" s="94"/>
      <c r="P256" s="94"/>
      <c r="Q256" s="94"/>
      <c r="R256" s="94"/>
      <c r="S256" s="39"/>
      <c r="T256" s="40"/>
      <c r="V256" s="94" t="s">
        <v>168</v>
      </c>
      <c r="W256" s="94"/>
      <c r="X256" s="94"/>
      <c r="Y256" s="94"/>
      <c r="Z256" s="94"/>
      <c r="AA256" s="94"/>
      <c r="AB256" s="94"/>
      <c r="AF256" s="94" t="s">
        <v>168</v>
      </c>
      <c r="AG256" s="94"/>
      <c r="AH256" s="94"/>
      <c r="AI256" s="94"/>
      <c r="AJ256" s="94"/>
      <c r="AK256" s="94"/>
      <c r="AL256" s="94"/>
      <c r="AM256" s="39"/>
      <c r="AN256" s="40"/>
      <c r="AP256" s="94" t="s">
        <v>168</v>
      </c>
      <c r="AQ256" s="94"/>
      <c r="AR256" s="94"/>
      <c r="AS256" s="94"/>
      <c r="AT256" s="94"/>
      <c r="AU256" s="94"/>
      <c r="AV256" s="94"/>
      <c r="AZ256" s="94" t="s">
        <v>168</v>
      </c>
      <c r="BA256" s="94"/>
      <c r="BB256" s="94"/>
      <c r="BC256" s="94"/>
      <c r="BD256" s="94"/>
      <c r="BE256" s="94"/>
      <c r="BF256" s="94"/>
    </row>
    <row r="257" spans="2:58" ht="15" customHeight="1" x14ac:dyDescent="0.45">
      <c r="B257" s="42"/>
      <c r="C257" s="95" t="s">
        <v>50</v>
      </c>
      <c r="D257" s="95"/>
      <c r="E257" s="95"/>
      <c r="F257" s="95"/>
      <c r="G257" s="95"/>
      <c r="H257" s="95"/>
      <c r="L257" s="42"/>
      <c r="M257" s="95" t="s">
        <v>50</v>
      </c>
      <c r="N257" s="95"/>
      <c r="O257" s="95"/>
      <c r="P257" s="95"/>
      <c r="Q257" s="95"/>
      <c r="R257" s="95"/>
      <c r="S257" s="41"/>
      <c r="T257" s="43"/>
      <c r="V257" s="42"/>
      <c r="W257" s="95" t="str">
        <f>C257</f>
        <v>LTC</v>
      </c>
      <c r="X257" s="95"/>
      <c r="Y257" s="95"/>
      <c r="Z257" s="95"/>
      <c r="AA257" s="95"/>
      <c r="AB257" s="95"/>
      <c r="AF257" s="42"/>
      <c r="AG257" s="95" t="str">
        <f t="shared" ref="AG257:AG270" si="234">W257</f>
        <v>LTC</v>
      </c>
      <c r="AH257" s="95"/>
      <c r="AI257" s="95"/>
      <c r="AJ257" s="95"/>
      <c r="AK257" s="95"/>
      <c r="AL257" s="95"/>
      <c r="AM257" s="41"/>
      <c r="AN257" s="43"/>
      <c r="AP257" s="42"/>
      <c r="AQ257" s="95" t="str">
        <f>C257</f>
        <v>LTC</v>
      </c>
      <c r="AR257" s="95"/>
      <c r="AS257" s="95"/>
      <c r="AT257" s="95"/>
      <c r="AU257" s="95"/>
      <c r="AV257" s="95"/>
      <c r="AZ257" s="42"/>
      <c r="BA257" s="95" t="str">
        <f>C257</f>
        <v>LTC</v>
      </c>
      <c r="BB257" s="95"/>
      <c r="BC257" s="95"/>
      <c r="BD257" s="95"/>
      <c r="BE257" s="95"/>
      <c r="BF257" s="95"/>
    </row>
    <row r="258" spans="2:58" ht="15" customHeight="1" x14ac:dyDescent="0.45">
      <c r="B258" s="44" t="s">
        <v>52</v>
      </c>
      <c r="C258" s="45" t="s">
        <v>143</v>
      </c>
      <c r="D258" s="45" t="s">
        <v>144</v>
      </c>
      <c r="E258" s="45" t="s">
        <v>145</v>
      </c>
      <c r="F258" s="45" t="s">
        <v>146</v>
      </c>
      <c r="G258" s="45" t="s">
        <v>147</v>
      </c>
      <c r="H258" s="45" t="s">
        <v>148</v>
      </c>
      <c r="L258" s="44" t="s">
        <v>52</v>
      </c>
      <c r="M258" s="45" t="s">
        <v>143</v>
      </c>
      <c r="N258" s="45" t="s">
        <v>144</v>
      </c>
      <c r="O258" s="45" t="s">
        <v>145</v>
      </c>
      <c r="P258" s="45" t="s">
        <v>146</v>
      </c>
      <c r="Q258" s="45" t="s">
        <v>147</v>
      </c>
      <c r="R258" s="45" t="s">
        <v>148</v>
      </c>
      <c r="S258" s="41"/>
      <c r="T258" s="43"/>
      <c r="V258" s="44" t="str">
        <f t="shared" ref="V258:V270" si="235">B258</f>
        <v>AR-LTV</v>
      </c>
      <c r="W258" s="45" t="str">
        <f>C258</f>
        <v>&lt;74.99%</v>
      </c>
      <c r="X258" s="45" t="str">
        <f>D258</f>
        <v>75.00%-80.00%</v>
      </c>
      <c r="Y258" s="45" t="str">
        <f>E258</f>
        <v>80.01%-85.00%</v>
      </c>
      <c r="Z258" s="45" t="str">
        <f>F258</f>
        <v>85.01%-87.50%</v>
      </c>
      <c r="AA258" s="45" t="str">
        <f>G258</f>
        <v>87.51%-89.99%</v>
      </c>
      <c r="AB258" s="45" t="str">
        <f>H258</f>
        <v>90.00%-92.50%</v>
      </c>
      <c r="AF258" s="44" t="str">
        <f t="shared" ref="AF258:AF270" si="236">V258</f>
        <v>AR-LTV</v>
      </c>
      <c r="AG258" s="45" t="str">
        <f t="shared" si="234"/>
        <v>&lt;74.99%</v>
      </c>
      <c r="AH258" s="45" t="str">
        <f t="shared" ref="AH258:AH270" si="237">X258</f>
        <v>75.00%-80.00%</v>
      </c>
      <c r="AI258" s="45" t="str">
        <f t="shared" ref="AI258:AI270" si="238">Y258</f>
        <v>80.01%-85.00%</v>
      </c>
      <c r="AJ258" s="45" t="str">
        <f t="shared" ref="AJ258:AJ270" si="239">Z258</f>
        <v>85.01%-87.50%</v>
      </c>
      <c r="AK258" s="45" t="str">
        <f t="shared" ref="AK258:AK270" si="240">AA258</f>
        <v>87.51%-89.99%</v>
      </c>
      <c r="AL258" s="45" t="str">
        <f t="shared" ref="AL258:AL270" si="241">AB258</f>
        <v>90.00%-92.50%</v>
      </c>
      <c r="AM258" s="41"/>
      <c r="AN258" s="43"/>
      <c r="AP258" s="44" t="str">
        <f t="shared" ref="AP258:AP270" si="242">B258</f>
        <v>AR-LTV</v>
      </c>
      <c r="AQ258" s="45" t="str">
        <f>C258</f>
        <v>&lt;74.99%</v>
      </c>
      <c r="AR258" s="45" t="str">
        <f>D258</f>
        <v>75.00%-80.00%</v>
      </c>
      <c r="AS258" s="45" t="str">
        <f>E258</f>
        <v>80.01%-85.00%</v>
      </c>
      <c r="AT258" s="45" t="str">
        <f>F258</f>
        <v>85.01%-87.50%</v>
      </c>
      <c r="AU258" s="45" t="str">
        <f>G258</f>
        <v>87.51%-89.99%</v>
      </c>
      <c r="AV258" s="45" t="str">
        <f>H258</f>
        <v>90.00%-92.50%</v>
      </c>
      <c r="AZ258" s="44" t="str">
        <f t="shared" ref="AZ258:AZ270" si="243">B258</f>
        <v>AR-LTV</v>
      </c>
      <c r="BA258" s="45" t="str">
        <f>C258</f>
        <v>&lt;74.99%</v>
      </c>
      <c r="BB258" s="45" t="str">
        <f>D258</f>
        <v>75.00%-80.00%</v>
      </c>
      <c r="BC258" s="45" t="str">
        <f>E258</f>
        <v>80.01%-85.00%</v>
      </c>
      <c r="BD258" s="45" t="str">
        <f>F258</f>
        <v>85.01%-87.50%</v>
      </c>
      <c r="BE258" s="45" t="str">
        <f>G258</f>
        <v>87.51%-89.99%</v>
      </c>
      <c r="BF258" s="45" t="str">
        <f>H258</f>
        <v>90.00%-92.50%</v>
      </c>
    </row>
    <row r="259" spans="2:58" ht="15" customHeight="1" x14ac:dyDescent="0.45">
      <c r="B259" s="46" t="s">
        <v>149</v>
      </c>
      <c r="C259" s="49" t="s">
        <v>150</v>
      </c>
      <c r="D259" s="49" t="s">
        <v>150</v>
      </c>
      <c r="E259" s="49" t="s">
        <v>150</v>
      </c>
      <c r="F259" s="49" t="s">
        <v>150</v>
      </c>
      <c r="G259" s="49" t="s">
        <v>150</v>
      </c>
      <c r="H259" s="49" t="s">
        <v>150</v>
      </c>
      <c r="L259" s="46" t="s">
        <v>149</v>
      </c>
      <c r="M259" s="49" t="str">
        <f t="shared" ref="M259:M270" si="244">C259</f>
        <v>NA</v>
      </c>
      <c r="N259" s="49" t="str">
        <f t="shared" ref="N259:N270" si="245">D259</f>
        <v>NA</v>
      </c>
      <c r="O259" s="49" t="str">
        <f t="shared" ref="O259:O270" si="246">E259</f>
        <v>NA</v>
      </c>
      <c r="P259" s="49" t="str">
        <f t="shared" ref="P259:P270" si="247">F259</f>
        <v>NA</v>
      </c>
      <c r="Q259" s="49" t="str">
        <f t="shared" ref="Q259:Q270" si="248">G259</f>
        <v>NA</v>
      </c>
      <c r="R259" s="49" t="str">
        <f t="shared" ref="R259:R270" si="249">H259</f>
        <v>NA</v>
      </c>
      <c r="S259" s="50"/>
      <c r="T259" s="51"/>
      <c r="V259" s="46" t="str">
        <f t="shared" si="235"/>
        <v>70.01%-75.00%</v>
      </c>
      <c r="W259" s="49" t="s">
        <v>150</v>
      </c>
      <c r="X259" s="49" t="s">
        <v>150</v>
      </c>
      <c r="Y259" s="49" t="s">
        <v>150</v>
      </c>
      <c r="Z259" s="49" t="s">
        <v>150</v>
      </c>
      <c r="AA259" s="49" t="s">
        <v>150</v>
      </c>
      <c r="AB259" s="49" t="s">
        <v>150</v>
      </c>
      <c r="AF259" s="46" t="str">
        <f t="shared" si="236"/>
        <v>70.01%-75.00%</v>
      </c>
      <c r="AG259" s="49" t="str">
        <f t="shared" si="234"/>
        <v>NA</v>
      </c>
      <c r="AH259" s="49" t="str">
        <f t="shared" si="237"/>
        <v>NA</v>
      </c>
      <c r="AI259" s="49" t="str">
        <f t="shared" si="238"/>
        <v>NA</v>
      </c>
      <c r="AJ259" s="49" t="str">
        <f t="shared" si="239"/>
        <v>NA</v>
      </c>
      <c r="AK259" s="49" t="str">
        <f t="shared" si="240"/>
        <v>NA</v>
      </c>
      <c r="AL259" s="49" t="str">
        <f t="shared" si="241"/>
        <v>NA</v>
      </c>
      <c r="AM259" s="50"/>
      <c r="AN259" s="51"/>
      <c r="AP259" s="46" t="str">
        <f t="shared" si="242"/>
        <v>70.01%-75.00%</v>
      </c>
      <c r="AQ259" s="49" t="s">
        <v>150</v>
      </c>
      <c r="AR259" s="49" t="s">
        <v>150</v>
      </c>
      <c r="AS259" s="49" t="s">
        <v>150</v>
      </c>
      <c r="AT259" s="49" t="s">
        <v>150</v>
      </c>
      <c r="AU259" s="49" t="s">
        <v>150</v>
      </c>
      <c r="AV259" s="49" t="s">
        <v>150</v>
      </c>
      <c r="AZ259" s="46" t="str">
        <f t="shared" si="243"/>
        <v>70.01%-75.00%</v>
      </c>
      <c r="BA259" s="49" t="str">
        <f t="shared" ref="BA259:BA270" si="250">AQ259</f>
        <v>NA</v>
      </c>
      <c r="BB259" s="49" t="str">
        <f t="shared" ref="BB259:BB270" si="251">AR259</f>
        <v>NA</v>
      </c>
      <c r="BC259" s="49" t="str">
        <f t="shared" ref="BC259:BC270" si="252">AS259</f>
        <v>NA</v>
      </c>
      <c r="BD259" s="49" t="str">
        <f t="shared" ref="BD259:BD270" si="253">AT259</f>
        <v>NA</v>
      </c>
      <c r="BE259" s="49" t="str">
        <f t="shared" ref="BE259:BE270" si="254">AU259</f>
        <v>NA</v>
      </c>
      <c r="BF259" s="49" t="str">
        <f t="shared" ref="BF259:BF270" si="255">AV259</f>
        <v>NA</v>
      </c>
    </row>
    <row r="260" spans="2:58" ht="15" customHeight="1" x14ac:dyDescent="0.45">
      <c r="B260" s="52" t="s">
        <v>151</v>
      </c>
      <c r="C260" s="54" t="s">
        <v>150</v>
      </c>
      <c r="D260" s="54" t="s">
        <v>150</v>
      </c>
      <c r="E260" s="54" t="s">
        <v>150</v>
      </c>
      <c r="F260" s="54" t="s">
        <v>150</v>
      </c>
      <c r="G260" s="54" t="s">
        <v>150</v>
      </c>
      <c r="H260" s="54" t="s">
        <v>150</v>
      </c>
      <c r="L260" s="52" t="s">
        <v>151</v>
      </c>
      <c r="M260" s="54" t="str">
        <f t="shared" si="244"/>
        <v>NA</v>
      </c>
      <c r="N260" s="54" t="str">
        <f t="shared" si="245"/>
        <v>NA</v>
      </c>
      <c r="O260" s="54" t="str">
        <f t="shared" si="246"/>
        <v>NA</v>
      </c>
      <c r="P260" s="54" t="str">
        <f t="shared" si="247"/>
        <v>NA</v>
      </c>
      <c r="Q260" s="54" t="str">
        <f t="shared" si="248"/>
        <v>NA</v>
      </c>
      <c r="R260" s="54" t="str">
        <f t="shared" si="249"/>
        <v>NA</v>
      </c>
      <c r="S260" s="55"/>
      <c r="T260" s="56"/>
      <c r="V260" s="52" t="str">
        <f t="shared" si="235"/>
        <v>FICO 700+</v>
      </c>
      <c r="W260" s="54" t="s">
        <v>150</v>
      </c>
      <c r="X260" s="54" t="s">
        <v>150</v>
      </c>
      <c r="Y260" s="54" t="s">
        <v>150</v>
      </c>
      <c r="Z260" s="54" t="s">
        <v>150</v>
      </c>
      <c r="AA260" s="54" t="s">
        <v>150</v>
      </c>
      <c r="AB260" s="54" t="s">
        <v>150</v>
      </c>
      <c r="AF260" s="52" t="str">
        <f t="shared" si="236"/>
        <v>FICO 700+</v>
      </c>
      <c r="AG260" s="54" t="str">
        <f t="shared" si="234"/>
        <v>NA</v>
      </c>
      <c r="AH260" s="54" t="str">
        <f t="shared" si="237"/>
        <v>NA</v>
      </c>
      <c r="AI260" s="54" t="str">
        <f t="shared" si="238"/>
        <v>NA</v>
      </c>
      <c r="AJ260" s="54" t="str">
        <f t="shared" si="239"/>
        <v>NA</v>
      </c>
      <c r="AK260" s="54" t="str">
        <f t="shared" si="240"/>
        <v>NA</v>
      </c>
      <c r="AL260" s="54" t="str">
        <f t="shared" si="241"/>
        <v>NA</v>
      </c>
      <c r="AM260" s="55"/>
      <c r="AN260" s="56"/>
      <c r="AP260" s="52" t="str">
        <f t="shared" si="242"/>
        <v>FICO 700+</v>
      </c>
      <c r="AQ260" s="54" t="s">
        <v>150</v>
      </c>
      <c r="AR260" s="54" t="s">
        <v>150</v>
      </c>
      <c r="AS260" s="54" t="s">
        <v>150</v>
      </c>
      <c r="AT260" s="54" t="s">
        <v>150</v>
      </c>
      <c r="AU260" s="54" t="s">
        <v>150</v>
      </c>
      <c r="AV260" s="54" t="s">
        <v>150</v>
      </c>
      <c r="AZ260" s="52" t="str">
        <f t="shared" si="243"/>
        <v>FICO 700+</v>
      </c>
      <c r="BA260" s="54" t="str">
        <f t="shared" si="250"/>
        <v>NA</v>
      </c>
      <c r="BB260" s="54" t="str">
        <f t="shared" si="251"/>
        <v>NA</v>
      </c>
      <c r="BC260" s="54" t="str">
        <f t="shared" si="252"/>
        <v>NA</v>
      </c>
      <c r="BD260" s="54" t="str">
        <f t="shared" si="253"/>
        <v>NA</v>
      </c>
      <c r="BE260" s="54" t="str">
        <f t="shared" si="254"/>
        <v>NA</v>
      </c>
      <c r="BF260" s="54" t="str">
        <f t="shared" si="255"/>
        <v>NA</v>
      </c>
    </row>
    <row r="261" spans="2:58" ht="15" customHeight="1" x14ac:dyDescent="0.45">
      <c r="B261" s="52" t="s">
        <v>158</v>
      </c>
      <c r="C261" s="54" t="s">
        <v>150</v>
      </c>
      <c r="D261" s="54" t="s">
        <v>150</v>
      </c>
      <c r="E261" s="54" t="s">
        <v>150</v>
      </c>
      <c r="F261" s="54" t="s">
        <v>150</v>
      </c>
      <c r="G261" s="54" t="s">
        <v>150</v>
      </c>
      <c r="H261" s="54" t="s">
        <v>150</v>
      </c>
      <c r="L261" s="52" t="s">
        <v>158</v>
      </c>
      <c r="M261" s="54" t="str">
        <f t="shared" si="244"/>
        <v>NA</v>
      </c>
      <c r="N261" s="54" t="str">
        <f t="shared" si="245"/>
        <v>NA</v>
      </c>
      <c r="O261" s="54" t="str">
        <f t="shared" si="246"/>
        <v>NA</v>
      </c>
      <c r="P261" s="54" t="str">
        <f t="shared" si="247"/>
        <v>NA</v>
      </c>
      <c r="Q261" s="54" t="str">
        <f t="shared" si="248"/>
        <v>NA</v>
      </c>
      <c r="R261" s="54" t="str">
        <f t="shared" si="249"/>
        <v>NA</v>
      </c>
      <c r="S261" s="55"/>
      <c r="T261" s="56"/>
      <c r="V261" s="52" t="str">
        <f t="shared" si="235"/>
        <v>FICO 680-699</v>
      </c>
      <c r="W261" s="54" t="s">
        <v>150</v>
      </c>
      <c r="X261" s="54" t="s">
        <v>150</v>
      </c>
      <c r="Y261" s="54" t="s">
        <v>150</v>
      </c>
      <c r="Z261" s="54" t="s">
        <v>150</v>
      </c>
      <c r="AA261" s="54" t="s">
        <v>150</v>
      </c>
      <c r="AB261" s="54" t="s">
        <v>150</v>
      </c>
      <c r="AF261" s="52" t="str">
        <f t="shared" si="236"/>
        <v>FICO 680-699</v>
      </c>
      <c r="AG261" s="54" t="str">
        <f t="shared" si="234"/>
        <v>NA</v>
      </c>
      <c r="AH261" s="54" t="str">
        <f t="shared" si="237"/>
        <v>NA</v>
      </c>
      <c r="AI261" s="54" t="str">
        <f t="shared" si="238"/>
        <v>NA</v>
      </c>
      <c r="AJ261" s="54" t="str">
        <f t="shared" si="239"/>
        <v>NA</v>
      </c>
      <c r="AK261" s="54" t="str">
        <f t="shared" si="240"/>
        <v>NA</v>
      </c>
      <c r="AL261" s="54" t="str">
        <f t="shared" si="241"/>
        <v>NA</v>
      </c>
      <c r="AM261" s="55"/>
      <c r="AN261" s="56"/>
      <c r="AP261" s="52" t="str">
        <f t="shared" si="242"/>
        <v>FICO 680-699</v>
      </c>
      <c r="AQ261" s="54" t="s">
        <v>150</v>
      </c>
      <c r="AR261" s="54" t="s">
        <v>150</v>
      </c>
      <c r="AS261" s="54" t="s">
        <v>150</v>
      </c>
      <c r="AT261" s="54" t="s">
        <v>150</v>
      </c>
      <c r="AU261" s="54" t="s">
        <v>150</v>
      </c>
      <c r="AV261" s="54" t="s">
        <v>150</v>
      </c>
      <c r="AZ261" s="52" t="str">
        <f t="shared" si="243"/>
        <v>FICO 680-699</v>
      </c>
      <c r="BA261" s="54" t="str">
        <f t="shared" si="250"/>
        <v>NA</v>
      </c>
      <c r="BB261" s="54" t="str">
        <f t="shared" si="251"/>
        <v>NA</v>
      </c>
      <c r="BC261" s="54" t="str">
        <f t="shared" si="252"/>
        <v>NA</v>
      </c>
      <c r="BD261" s="54" t="str">
        <f t="shared" si="253"/>
        <v>NA</v>
      </c>
      <c r="BE261" s="54" t="str">
        <f t="shared" si="254"/>
        <v>NA</v>
      </c>
      <c r="BF261" s="54" t="str">
        <f t="shared" si="255"/>
        <v>NA</v>
      </c>
    </row>
    <row r="262" spans="2:58" ht="15" customHeight="1" x14ac:dyDescent="0.45">
      <c r="B262" s="57" t="s">
        <v>159</v>
      </c>
      <c r="C262" s="59" t="s">
        <v>150</v>
      </c>
      <c r="D262" s="59" t="s">
        <v>150</v>
      </c>
      <c r="E262" s="59" t="s">
        <v>150</v>
      </c>
      <c r="F262" s="59" t="s">
        <v>150</v>
      </c>
      <c r="G262" s="59" t="s">
        <v>150</v>
      </c>
      <c r="H262" s="59" t="s">
        <v>150</v>
      </c>
      <c r="L262" s="57" t="s">
        <v>153</v>
      </c>
      <c r="M262" s="59" t="str">
        <f t="shared" si="244"/>
        <v>NA</v>
      </c>
      <c r="N262" s="59" t="str">
        <f t="shared" si="245"/>
        <v>NA</v>
      </c>
      <c r="O262" s="59" t="str">
        <f t="shared" si="246"/>
        <v>NA</v>
      </c>
      <c r="P262" s="59" t="str">
        <f t="shared" si="247"/>
        <v>NA</v>
      </c>
      <c r="Q262" s="59" t="str">
        <f t="shared" si="248"/>
        <v>NA</v>
      </c>
      <c r="R262" s="59" t="str">
        <f t="shared" si="249"/>
        <v>NA</v>
      </c>
      <c r="S262" s="55"/>
      <c r="T262" s="56"/>
      <c r="V262" s="57" t="str">
        <f t="shared" si="235"/>
        <v>FICO 640-679</v>
      </c>
      <c r="W262" s="59" t="s">
        <v>150</v>
      </c>
      <c r="X262" s="59" t="s">
        <v>150</v>
      </c>
      <c r="Y262" s="59" t="s">
        <v>150</v>
      </c>
      <c r="Z262" s="59" t="s">
        <v>150</v>
      </c>
      <c r="AA262" s="59" t="s">
        <v>150</v>
      </c>
      <c r="AB262" s="59" t="s">
        <v>150</v>
      </c>
      <c r="AF262" s="57" t="str">
        <f t="shared" si="236"/>
        <v>FICO 640-679</v>
      </c>
      <c r="AG262" s="59" t="str">
        <f t="shared" si="234"/>
        <v>NA</v>
      </c>
      <c r="AH262" s="59" t="str">
        <f t="shared" si="237"/>
        <v>NA</v>
      </c>
      <c r="AI262" s="59" t="str">
        <f t="shared" si="238"/>
        <v>NA</v>
      </c>
      <c r="AJ262" s="59" t="str">
        <f t="shared" si="239"/>
        <v>NA</v>
      </c>
      <c r="AK262" s="59" t="str">
        <f t="shared" si="240"/>
        <v>NA</v>
      </c>
      <c r="AL262" s="59" t="str">
        <f t="shared" si="241"/>
        <v>NA</v>
      </c>
      <c r="AM262" s="55"/>
      <c r="AN262" s="56"/>
      <c r="AP262" s="57" t="str">
        <f t="shared" si="242"/>
        <v>FICO 640-679</v>
      </c>
      <c r="AQ262" s="59" t="s">
        <v>150</v>
      </c>
      <c r="AR262" s="59" t="s">
        <v>150</v>
      </c>
      <c r="AS262" s="59" t="s">
        <v>150</v>
      </c>
      <c r="AT262" s="59" t="s">
        <v>150</v>
      </c>
      <c r="AU262" s="59" t="s">
        <v>150</v>
      </c>
      <c r="AV262" s="59" t="s">
        <v>150</v>
      </c>
      <c r="AZ262" s="57" t="str">
        <f t="shared" si="243"/>
        <v>FICO 640-679</v>
      </c>
      <c r="BA262" s="59" t="str">
        <f t="shared" si="250"/>
        <v>NA</v>
      </c>
      <c r="BB262" s="59" t="str">
        <f t="shared" si="251"/>
        <v>NA</v>
      </c>
      <c r="BC262" s="59" t="str">
        <f t="shared" si="252"/>
        <v>NA</v>
      </c>
      <c r="BD262" s="59" t="str">
        <f t="shared" si="253"/>
        <v>NA</v>
      </c>
      <c r="BE262" s="59" t="str">
        <f t="shared" si="254"/>
        <v>NA</v>
      </c>
      <c r="BF262" s="59" t="str">
        <f t="shared" si="255"/>
        <v>NA</v>
      </c>
    </row>
    <row r="263" spans="2:58" ht="15" customHeight="1" x14ac:dyDescent="0.45">
      <c r="B263" s="60" t="s">
        <v>154</v>
      </c>
      <c r="C263" s="64" t="s">
        <v>150</v>
      </c>
      <c r="D263" s="64" t="s">
        <v>150</v>
      </c>
      <c r="E263" s="64" t="s">
        <v>150</v>
      </c>
      <c r="F263" s="64" t="s">
        <v>150</v>
      </c>
      <c r="G263" s="64" t="s">
        <v>150</v>
      </c>
      <c r="H263" s="64" t="s">
        <v>150</v>
      </c>
      <c r="L263" s="60" t="s">
        <v>154</v>
      </c>
      <c r="M263" s="64" t="str">
        <f t="shared" si="244"/>
        <v>NA</v>
      </c>
      <c r="N263" s="64" t="str">
        <f t="shared" si="245"/>
        <v>NA</v>
      </c>
      <c r="O263" s="64" t="str">
        <f t="shared" si="246"/>
        <v>NA</v>
      </c>
      <c r="P263" s="64" t="str">
        <f t="shared" si="247"/>
        <v>NA</v>
      </c>
      <c r="Q263" s="64" t="str">
        <f t="shared" si="248"/>
        <v>NA</v>
      </c>
      <c r="R263" s="64" t="str">
        <f t="shared" si="249"/>
        <v>NA</v>
      </c>
      <c r="S263" s="50"/>
      <c r="T263" s="51"/>
      <c r="V263" s="60" t="str">
        <f t="shared" si="235"/>
        <v>65.00%-70.00%</v>
      </c>
      <c r="W263" s="64" t="s">
        <v>150</v>
      </c>
      <c r="X263" s="64" t="s">
        <v>150</v>
      </c>
      <c r="Y263" s="64" t="s">
        <v>150</v>
      </c>
      <c r="Z263" s="64" t="s">
        <v>150</v>
      </c>
      <c r="AA263" s="64" t="s">
        <v>150</v>
      </c>
      <c r="AB263" s="64" t="s">
        <v>150</v>
      </c>
      <c r="AF263" s="60" t="str">
        <f t="shared" si="236"/>
        <v>65.00%-70.00%</v>
      </c>
      <c r="AG263" s="64" t="str">
        <f t="shared" si="234"/>
        <v>NA</v>
      </c>
      <c r="AH263" s="64" t="str">
        <f t="shared" si="237"/>
        <v>NA</v>
      </c>
      <c r="AI263" s="64" t="str">
        <f t="shared" si="238"/>
        <v>NA</v>
      </c>
      <c r="AJ263" s="64" t="str">
        <f t="shared" si="239"/>
        <v>NA</v>
      </c>
      <c r="AK263" s="64" t="str">
        <f t="shared" si="240"/>
        <v>NA</v>
      </c>
      <c r="AL263" s="64" t="str">
        <f t="shared" si="241"/>
        <v>NA</v>
      </c>
      <c r="AM263" s="50"/>
      <c r="AN263" s="51"/>
      <c r="AP263" s="60" t="str">
        <f t="shared" si="242"/>
        <v>65.00%-70.00%</v>
      </c>
      <c r="AQ263" s="64" t="s">
        <v>150</v>
      </c>
      <c r="AR263" s="64" t="s">
        <v>150</v>
      </c>
      <c r="AS263" s="64" t="s">
        <v>150</v>
      </c>
      <c r="AT263" s="64" t="s">
        <v>150</v>
      </c>
      <c r="AU263" s="64" t="s">
        <v>150</v>
      </c>
      <c r="AV263" s="64" t="s">
        <v>150</v>
      </c>
      <c r="AZ263" s="60" t="str">
        <f t="shared" si="243"/>
        <v>65.00%-70.00%</v>
      </c>
      <c r="BA263" s="64" t="str">
        <f t="shared" si="250"/>
        <v>NA</v>
      </c>
      <c r="BB263" s="64" t="str">
        <f t="shared" si="251"/>
        <v>NA</v>
      </c>
      <c r="BC263" s="64" t="str">
        <f t="shared" si="252"/>
        <v>NA</v>
      </c>
      <c r="BD263" s="64" t="str">
        <f t="shared" si="253"/>
        <v>NA</v>
      </c>
      <c r="BE263" s="64" t="str">
        <f t="shared" si="254"/>
        <v>NA</v>
      </c>
      <c r="BF263" s="64" t="str">
        <f t="shared" si="255"/>
        <v>NA</v>
      </c>
    </row>
    <row r="264" spans="2:58" ht="15" customHeight="1" x14ac:dyDescent="0.45">
      <c r="B264" s="52" t="s">
        <v>151</v>
      </c>
      <c r="C264" s="54" t="s">
        <v>150</v>
      </c>
      <c r="D264" s="54" t="s">
        <v>150</v>
      </c>
      <c r="E264" s="54" t="s">
        <v>150</v>
      </c>
      <c r="F264" s="54" t="s">
        <v>150</v>
      </c>
      <c r="G264" s="54" t="s">
        <v>150</v>
      </c>
      <c r="H264" s="54" t="s">
        <v>150</v>
      </c>
      <c r="L264" s="52" t="s">
        <v>151</v>
      </c>
      <c r="M264" s="54" t="str">
        <f t="shared" si="244"/>
        <v>NA</v>
      </c>
      <c r="N264" s="54" t="str">
        <f t="shared" si="245"/>
        <v>NA</v>
      </c>
      <c r="O264" s="54" t="str">
        <f t="shared" si="246"/>
        <v>NA</v>
      </c>
      <c r="P264" s="54" t="str">
        <f t="shared" si="247"/>
        <v>NA</v>
      </c>
      <c r="Q264" s="54" t="str">
        <f t="shared" si="248"/>
        <v>NA</v>
      </c>
      <c r="R264" s="54" t="str">
        <f t="shared" si="249"/>
        <v>NA</v>
      </c>
      <c r="S264" s="55"/>
      <c r="T264" s="56"/>
      <c r="V264" s="52" t="str">
        <f t="shared" si="235"/>
        <v>FICO 700+</v>
      </c>
      <c r="W264" s="54" t="s">
        <v>150</v>
      </c>
      <c r="X264" s="54" t="s">
        <v>150</v>
      </c>
      <c r="Y264" s="54" t="s">
        <v>150</v>
      </c>
      <c r="Z264" s="54" t="s">
        <v>150</v>
      </c>
      <c r="AA264" s="54" t="s">
        <v>150</v>
      </c>
      <c r="AB264" s="54" t="s">
        <v>150</v>
      </c>
      <c r="AF264" s="52" t="str">
        <f t="shared" si="236"/>
        <v>FICO 700+</v>
      </c>
      <c r="AG264" s="54" t="str">
        <f t="shared" si="234"/>
        <v>NA</v>
      </c>
      <c r="AH264" s="54" t="str">
        <f t="shared" si="237"/>
        <v>NA</v>
      </c>
      <c r="AI264" s="54" t="str">
        <f t="shared" si="238"/>
        <v>NA</v>
      </c>
      <c r="AJ264" s="54" t="str">
        <f t="shared" si="239"/>
        <v>NA</v>
      </c>
      <c r="AK264" s="54" t="str">
        <f t="shared" si="240"/>
        <v>NA</v>
      </c>
      <c r="AL264" s="54" t="str">
        <f t="shared" si="241"/>
        <v>NA</v>
      </c>
      <c r="AM264" s="55"/>
      <c r="AN264" s="56"/>
      <c r="AP264" s="52" t="str">
        <f t="shared" si="242"/>
        <v>FICO 700+</v>
      </c>
      <c r="AQ264" s="54" t="s">
        <v>150</v>
      </c>
      <c r="AR264" s="54" t="s">
        <v>150</v>
      </c>
      <c r="AS264" s="54" t="s">
        <v>150</v>
      </c>
      <c r="AT264" s="54" t="s">
        <v>150</v>
      </c>
      <c r="AU264" s="54" t="s">
        <v>150</v>
      </c>
      <c r="AV264" s="54" t="s">
        <v>150</v>
      </c>
      <c r="AZ264" s="52" t="str">
        <f t="shared" si="243"/>
        <v>FICO 700+</v>
      </c>
      <c r="BA264" s="54" t="str">
        <f t="shared" si="250"/>
        <v>NA</v>
      </c>
      <c r="BB264" s="54" t="str">
        <f t="shared" si="251"/>
        <v>NA</v>
      </c>
      <c r="BC264" s="54" t="str">
        <f t="shared" si="252"/>
        <v>NA</v>
      </c>
      <c r="BD264" s="54" t="str">
        <f t="shared" si="253"/>
        <v>NA</v>
      </c>
      <c r="BE264" s="54" t="str">
        <f t="shared" si="254"/>
        <v>NA</v>
      </c>
      <c r="BF264" s="54" t="str">
        <f t="shared" si="255"/>
        <v>NA</v>
      </c>
    </row>
    <row r="265" spans="2:58" ht="15" customHeight="1" x14ac:dyDescent="0.45">
      <c r="B265" s="52" t="s">
        <v>158</v>
      </c>
      <c r="C265" s="54" t="s">
        <v>150</v>
      </c>
      <c r="D265" s="54" t="s">
        <v>150</v>
      </c>
      <c r="E265" s="54" t="s">
        <v>150</v>
      </c>
      <c r="F265" s="54" t="s">
        <v>150</v>
      </c>
      <c r="G265" s="54" t="s">
        <v>150</v>
      </c>
      <c r="H265" s="54" t="s">
        <v>150</v>
      </c>
      <c r="L265" s="52" t="s">
        <v>158</v>
      </c>
      <c r="M265" s="54" t="str">
        <f t="shared" si="244"/>
        <v>NA</v>
      </c>
      <c r="N265" s="54" t="str">
        <f t="shared" si="245"/>
        <v>NA</v>
      </c>
      <c r="O265" s="54" t="str">
        <f t="shared" si="246"/>
        <v>NA</v>
      </c>
      <c r="P265" s="54" t="str">
        <f t="shared" si="247"/>
        <v>NA</v>
      </c>
      <c r="Q265" s="54" t="str">
        <f t="shared" si="248"/>
        <v>NA</v>
      </c>
      <c r="R265" s="54" t="str">
        <f t="shared" si="249"/>
        <v>NA</v>
      </c>
      <c r="S265" s="55"/>
      <c r="T265" s="56"/>
      <c r="V265" s="52" t="str">
        <f t="shared" si="235"/>
        <v>FICO 680-699</v>
      </c>
      <c r="W265" s="54" t="s">
        <v>150</v>
      </c>
      <c r="X265" s="54" t="s">
        <v>150</v>
      </c>
      <c r="Y265" s="54" t="s">
        <v>150</v>
      </c>
      <c r="Z265" s="54" t="s">
        <v>150</v>
      </c>
      <c r="AA265" s="54" t="s">
        <v>150</v>
      </c>
      <c r="AB265" s="54" t="s">
        <v>150</v>
      </c>
      <c r="AF265" s="52" t="str">
        <f t="shared" si="236"/>
        <v>FICO 680-699</v>
      </c>
      <c r="AG265" s="54" t="str">
        <f t="shared" si="234"/>
        <v>NA</v>
      </c>
      <c r="AH265" s="54" t="str">
        <f t="shared" si="237"/>
        <v>NA</v>
      </c>
      <c r="AI265" s="54" t="str">
        <f t="shared" si="238"/>
        <v>NA</v>
      </c>
      <c r="AJ265" s="54" t="str">
        <f t="shared" si="239"/>
        <v>NA</v>
      </c>
      <c r="AK265" s="54" t="str">
        <f t="shared" si="240"/>
        <v>NA</v>
      </c>
      <c r="AL265" s="54" t="str">
        <f t="shared" si="241"/>
        <v>NA</v>
      </c>
      <c r="AM265" s="55"/>
      <c r="AN265" s="56"/>
      <c r="AP265" s="52" t="str">
        <f t="shared" si="242"/>
        <v>FICO 680-699</v>
      </c>
      <c r="AQ265" s="54" t="s">
        <v>150</v>
      </c>
      <c r="AR265" s="54" t="s">
        <v>150</v>
      </c>
      <c r="AS265" s="54" t="s">
        <v>150</v>
      </c>
      <c r="AT265" s="54" t="s">
        <v>150</v>
      </c>
      <c r="AU265" s="54" t="s">
        <v>150</v>
      </c>
      <c r="AV265" s="54" t="s">
        <v>150</v>
      </c>
      <c r="AZ265" s="52" t="str">
        <f t="shared" si="243"/>
        <v>FICO 680-699</v>
      </c>
      <c r="BA265" s="54" t="str">
        <f t="shared" si="250"/>
        <v>NA</v>
      </c>
      <c r="BB265" s="54" t="str">
        <f t="shared" si="251"/>
        <v>NA</v>
      </c>
      <c r="BC265" s="54" t="str">
        <f t="shared" si="252"/>
        <v>NA</v>
      </c>
      <c r="BD265" s="54" t="str">
        <f t="shared" si="253"/>
        <v>NA</v>
      </c>
      <c r="BE265" s="54" t="str">
        <f t="shared" si="254"/>
        <v>NA</v>
      </c>
      <c r="BF265" s="54" t="str">
        <f t="shared" si="255"/>
        <v>NA</v>
      </c>
    </row>
    <row r="266" spans="2:58" ht="15" customHeight="1" x14ac:dyDescent="0.45">
      <c r="B266" s="57" t="s">
        <v>159</v>
      </c>
      <c r="C266" s="59" t="s">
        <v>150</v>
      </c>
      <c r="D266" s="59" t="s">
        <v>150</v>
      </c>
      <c r="E266" s="59" t="s">
        <v>150</v>
      </c>
      <c r="F266" s="59" t="s">
        <v>150</v>
      </c>
      <c r="G266" s="59" t="s">
        <v>150</v>
      </c>
      <c r="H266" s="59" t="s">
        <v>150</v>
      </c>
      <c r="L266" s="57" t="s">
        <v>153</v>
      </c>
      <c r="M266" s="59" t="str">
        <f t="shared" si="244"/>
        <v>NA</v>
      </c>
      <c r="N266" s="59" t="str">
        <f t="shared" si="245"/>
        <v>NA</v>
      </c>
      <c r="O266" s="59" t="str">
        <f t="shared" si="246"/>
        <v>NA</v>
      </c>
      <c r="P266" s="59" t="str">
        <f t="shared" si="247"/>
        <v>NA</v>
      </c>
      <c r="Q266" s="59" t="str">
        <f t="shared" si="248"/>
        <v>NA</v>
      </c>
      <c r="R266" s="59" t="str">
        <f t="shared" si="249"/>
        <v>NA</v>
      </c>
      <c r="S266" s="55"/>
      <c r="T266" s="56"/>
      <c r="V266" s="57" t="str">
        <f t="shared" si="235"/>
        <v>FICO 640-679</v>
      </c>
      <c r="W266" s="59" t="s">
        <v>150</v>
      </c>
      <c r="X266" s="59" t="s">
        <v>150</v>
      </c>
      <c r="Y266" s="59" t="s">
        <v>150</v>
      </c>
      <c r="Z266" s="59" t="s">
        <v>150</v>
      </c>
      <c r="AA266" s="59" t="s">
        <v>150</v>
      </c>
      <c r="AB266" s="59" t="s">
        <v>150</v>
      </c>
      <c r="AF266" s="57" t="str">
        <f t="shared" si="236"/>
        <v>FICO 640-679</v>
      </c>
      <c r="AG266" s="59" t="str">
        <f t="shared" si="234"/>
        <v>NA</v>
      </c>
      <c r="AH266" s="59" t="str">
        <f t="shared" si="237"/>
        <v>NA</v>
      </c>
      <c r="AI266" s="59" t="str">
        <f t="shared" si="238"/>
        <v>NA</v>
      </c>
      <c r="AJ266" s="59" t="str">
        <f t="shared" si="239"/>
        <v>NA</v>
      </c>
      <c r="AK266" s="59" t="str">
        <f t="shared" si="240"/>
        <v>NA</v>
      </c>
      <c r="AL266" s="59" t="str">
        <f t="shared" si="241"/>
        <v>NA</v>
      </c>
      <c r="AM266" s="55"/>
      <c r="AN266" s="56"/>
      <c r="AP266" s="57" t="str">
        <f t="shared" si="242"/>
        <v>FICO 640-679</v>
      </c>
      <c r="AQ266" s="59" t="s">
        <v>150</v>
      </c>
      <c r="AR266" s="59" t="s">
        <v>150</v>
      </c>
      <c r="AS266" s="59" t="s">
        <v>150</v>
      </c>
      <c r="AT266" s="59" t="s">
        <v>150</v>
      </c>
      <c r="AU266" s="59" t="s">
        <v>150</v>
      </c>
      <c r="AV266" s="59" t="s">
        <v>150</v>
      </c>
      <c r="AZ266" s="57" t="str">
        <f t="shared" si="243"/>
        <v>FICO 640-679</v>
      </c>
      <c r="BA266" s="59" t="str">
        <f t="shared" si="250"/>
        <v>NA</v>
      </c>
      <c r="BB266" s="59" t="str">
        <f t="shared" si="251"/>
        <v>NA</v>
      </c>
      <c r="BC266" s="59" t="str">
        <f t="shared" si="252"/>
        <v>NA</v>
      </c>
      <c r="BD266" s="59" t="str">
        <f t="shared" si="253"/>
        <v>NA</v>
      </c>
      <c r="BE266" s="59" t="str">
        <f t="shared" si="254"/>
        <v>NA</v>
      </c>
      <c r="BF266" s="59" t="str">
        <f t="shared" si="255"/>
        <v>NA</v>
      </c>
    </row>
    <row r="267" spans="2:58" ht="15" customHeight="1" x14ac:dyDescent="0.45">
      <c r="B267" s="60" t="s">
        <v>155</v>
      </c>
      <c r="C267" s="61">
        <v>0.10249999999999999</v>
      </c>
      <c r="D267" s="48">
        <f>C267+0.25%</f>
        <v>0.105</v>
      </c>
      <c r="E267" s="64" t="s">
        <v>150</v>
      </c>
      <c r="F267" s="64" t="s">
        <v>150</v>
      </c>
      <c r="G267" s="64" t="s">
        <v>150</v>
      </c>
      <c r="H267" s="64" t="s">
        <v>150</v>
      </c>
      <c r="L267" s="60" t="s">
        <v>155</v>
      </c>
      <c r="M267" s="62">
        <f t="shared" si="244"/>
        <v>0.10249999999999999</v>
      </c>
      <c r="N267" s="48">
        <f t="shared" si="245"/>
        <v>0.105</v>
      </c>
      <c r="O267" s="64" t="str">
        <f t="shared" si="246"/>
        <v>NA</v>
      </c>
      <c r="P267" s="64" t="str">
        <f t="shared" si="247"/>
        <v>NA</v>
      </c>
      <c r="Q267" s="64" t="str">
        <f t="shared" si="248"/>
        <v>NA</v>
      </c>
      <c r="R267" s="64" t="str">
        <f t="shared" si="249"/>
        <v>NA</v>
      </c>
      <c r="S267" s="50"/>
      <c r="T267" s="51"/>
      <c r="V267" s="60" t="str">
        <f t="shared" si="235"/>
        <v>&lt;64.99%</v>
      </c>
      <c r="W267" s="62">
        <f>C267+0.125%</f>
        <v>0.10375</v>
      </c>
      <c r="X267" s="48">
        <f>W267+0.25%</f>
        <v>0.10625</v>
      </c>
      <c r="Y267" s="64" t="s">
        <v>150</v>
      </c>
      <c r="Z267" s="64" t="s">
        <v>150</v>
      </c>
      <c r="AA267" s="64" t="s">
        <v>150</v>
      </c>
      <c r="AB267" s="64" t="s">
        <v>150</v>
      </c>
      <c r="AF267" s="60" t="str">
        <f t="shared" si="236"/>
        <v>&lt;64.99%</v>
      </c>
      <c r="AG267" s="62">
        <f t="shared" si="234"/>
        <v>0.10375</v>
      </c>
      <c r="AH267" s="48">
        <f t="shared" si="237"/>
        <v>0.10625</v>
      </c>
      <c r="AI267" s="64" t="str">
        <f t="shared" si="238"/>
        <v>NA</v>
      </c>
      <c r="AJ267" s="64" t="str">
        <f t="shared" si="239"/>
        <v>NA</v>
      </c>
      <c r="AK267" s="64" t="str">
        <f t="shared" si="240"/>
        <v>NA</v>
      </c>
      <c r="AL267" s="64" t="str">
        <f t="shared" si="241"/>
        <v>NA</v>
      </c>
      <c r="AM267" s="50"/>
      <c r="AN267" s="51"/>
      <c r="AP267" s="60" t="str">
        <f t="shared" si="242"/>
        <v>&lt;64.99%</v>
      </c>
      <c r="AQ267" s="62">
        <f>W267+0.125%</f>
        <v>0.105</v>
      </c>
      <c r="AR267" s="48">
        <f>AQ267+0.25%</f>
        <v>0.1075</v>
      </c>
      <c r="AS267" s="64" t="s">
        <v>150</v>
      </c>
      <c r="AT267" s="64" t="s">
        <v>150</v>
      </c>
      <c r="AU267" s="64" t="s">
        <v>150</v>
      </c>
      <c r="AV267" s="64" t="s">
        <v>150</v>
      </c>
      <c r="AZ267" s="60" t="str">
        <f t="shared" si="243"/>
        <v>&lt;64.99%</v>
      </c>
      <c r="BA267" s="62">
        <f t="shared" si="250"/>
        <v>0.105</v>
      </c>
      <c r="BB267" s="48">
        <f t="shared" si="251"/>
        <v>0.1075</v>
      </c>
      <c r="BC267" s="64" t="str">
        <f t="shared" si="252"/>
        <v>NA</v>
      </c>
      <c r="BD267" s="64" t="str">
        <f t="shared" si="253"/>
        <v>NA</v>
      </c>
      <c r="BE267" s="64" t="str">
        <f t="shared" si="254"/>
        <v>NA</v>
      </c>
      <c r="BF267" s="64" t="str">
        <f t="shared" si="255"/>
        <v>NA</v>
      </c>
    </row>
    <row r="268" spans="2:58" ht="15" customHeight="1" x14ac:dyDescent="0.45">
      <c r="B268" s="52" t="s">
        <v>151</v>
      </c>
      <c r="C268" s="53">
        <f>C267+0</f>
        <v>0.10249999999999999</v>
      </c>
      <c r="D268" s="53">
        <f>D267+0</f>
        <v>0.105</v>
      </c>
      <c r="E268" s="54" t="s">
        <v>150</v>
      </c>
      <c r="F268" s="54" t="s">
        <v>150</v>
      </c>
      <c r="G268" s="54" t="s">
        <v>150</v>
      </c>
      <c r="H268" s="54" t="s">
        <v>150</v>
      </c>
      <c r="L268" s="52" t="s">
        <v>151</v>
      </c>
      <c r="M268" s="53">
        <f t="shared" si="244"/>
        <v>0.10249999999999999</v>
      </c>
      <c r="N268" s="53">
        <f t="shared" si="245"/>
        <v>0.105</v>
      </c>
      <c r="O268" s="54" t="str">
        <f t="shared" si="246"/>
        <v>NA</v>
      </c>
      <c r="P268" s="54" t="str">
        <f t="shared" si="247"/>
        <v>NA</v>
      </c>
      <c r="Q268" s="54" t="str">
        <f t="shared" si="248"/>
        <v>NA</v>
      </c>
      <c r="R268" s="54" t="str">
        <f t="shared" si="249"/>
        <v>NA</v>
      </c>
      <c r="S268" s="55"/>
      <c r="T268" s="56"/>
      <c r="V268" s="52" t="str">
        <f t="shared" si="235"/>
        <v>FICO 700+</v>
      </c>
      <c r="W268" s="53">
        <f>W267+0</f>
        <v>0.10375</v>
      </c>
      <c r="X268" s="53">
        <f>X267+0</f>
        <v>0.10625</v>
      </c>
      <c r="Y268" s="54" t="s">
        <v>150</v>
      </c>
      <c r="Z268" s="54" t="s">
        <v>150</v>
      </c>
      <c r="AA268" s="54" t="s">
        <v>150</v>
      </c>
      <c r="AB268" s="54" t="s">
        <v>150</v>
      </c>
      <c r="AF268" s="52" t="str">
        <f t="shared" si="236"/>
        <v>FICO 700+</v>
      </c>
      <c r="AG268" s="53">
        <f t="shared" si="234"/>
        <v>0.10375</v>
      </c>
      <c r="AH268" s="53">
        <f t="shared" si="237"/>
        <v>0.10625</v>
      </c>
      <c r="AI268" s="54" t="str">
        <f t="shared" si="238"/>
        <v>NA</v>
      </c>
      <c r="AJ268" s="54" t="str">
        <f t="shared" si="239"/>
        <v>NA</v>
      </c>
      <c r="AK268" s="54" t="str">
        <f t="shared" si="240"/>
        <v>NA</v>
      </c>
      <c r="AL268" s="54" t="str">
        <f t="shared" si="241"/>
        <v>NA</v>
      </c>
      <c r="AM268" s="55"/>
      <c r="AN268" s="56"/>
      <c r="AP268" s="52" t="str">
        <f t="shared" si="242"/>
        <v>FICO 700+</v>
      </c>
      <c r="AQ268" s="53">
        <f>AQ267+0</f>
        <v>0.105</v>
      </c>
      <c r="AR268" s="53">
        <f>AR267+0</f>
        <v>0.1075</v>
      </c>
      <c r="AS268" s="54" t="s">
        <v>150</v>
      </c>
      <c r="AT268" s="54" t="s">
        <v>150</v>
      </c>
      <c r="AU268" s="54" t="s">
        <v>150</v>
      </c>
      <c r="AV268" s="54" t="s">
        <v>150</v>
      </c>
      <c r="AZ268" s="52" t="str">
        <f t="shared" si="243"/>
        <v>FICO 700+</v>
      </c>
      <c r="BA268" s="53">
        <f t="shared" si="250"/>
        <v>0.105</v>
      </c>
      <c r="BB268" s="53">
        <f t="shared" si="251"/>
        <v>0.1075</v>
      </c>
      <c r="BC268" s="54" t="str">
        <f t="shared" si="252"/>
        <v>NA</v>
      </c>
      <c r="BD268" s="54" t="str">
        <f t="shared" si="253"/>
        <v>NA</v>
      </c>
      <c r="BE268" s="54" t="str">
        <f t="shared" si="254"/>
        <v>NA</v>
      </c>
      <c r="BF268" s="54" t="str">
        <f t="shared" si="255"/>
        <v>NA</v>
      </c>
    </row>
    <row r="269" spans="2:58" ht="15" customHeight="1" x14ac:dyDescent="0.45">
      <c r="B269" s="52" t="s">
        <v>158</v>
      </c>
      <c r="C269" s="53">
        <f>C267+0.5%</f>
        <v>0.1075</v>
      </c>
      <c r="D269" s="53">
        <f>D267+0.5%</f>
        <v>0.11</v>
      </c>
      <c r="E269" s="54" t="s">
        <v>150</v>
      </c>
      <c r="F269" s="54" t="s">
        <v>150</v>
      </c>
      <c r="G269" s="54" t="s">
        <v>150</v>
      </c>
      <c r="H269" s="54" t="s">
        <v>150</v>
      </c>
      <c r="L269" s="52" t="s">
        <v>158</v>
      </c>
      <c r="M269" s="53">
        <f t="shared" si="244"/>
        <v>0.1075</v>
      </c>
      <c r="N269" s="53">
        <f t="shared" si="245"/>
        <v>0.11</v>
      </c>
      <c r="O269" s="54" t="str">
        <f t="shared" si="246"/>
        <v>NA</v>
      </c>
      <c r="P269" s="54" t="str">
        <f t="shared" si="247"/>
        <v>NA</v>
      </c>
      <c r="Q269" s="54" t="str">
        <f t="shared" si="248"/>
        <v>NA</v>
      </c>
      <c r="R269" s="54" t="str">
        <f t="shared" si="249"/>
        <v>NA</v>
      </c>
      <c r="S269" s="55"/>
      <c r="T269" s="56"/>
      <c r="V269" s="52" t="str">
        <f t="shared" si="235"/>
        <v>FICO 680-699</v>
      </c>
      <c r="W269" s="53">
        <f>W267+0.5%</f>
        <v>0.10875</v>
      </c>
      <c r="X269" s="53">
        <f>X267+0.5%</f>
        <v>0.11125</v>
      </c>
      <c r="Y269" s="54" t="s">
        <v>150</v>
      </c>
      <c r="Z269" s="54" t="s">
        <v>150</v>
      </c>
      <c r="AA269" s="54" t="s">
        <v>150</v>
      </c>
      <c r="AB269" s="54" t="s">
        <v>150</v>
      </c>
      <c r="AF269" s="52" t="str">
        <f t="shared" si="236"/>
        <v>FICO 680-699</v>
      </c>
      <c r="AG269" s="53">
        <f t="shared" si="234"/>
        <v>0.10875</v>
      </c>
      <c r="AH269" s="53">
        <f t="shared" si="237"/>
        <v>0.11125</v>
      </c>
      <c r="AI269" s="54" t="str">
        <f t="shared" si="238"/>
        <v>NA</v>
      </c>
      <c r="AJ269" s="54" t="str">
        <f t="shared" si="239"/>
        <v>NA</v>
      </c>
      <c r="AK269" s="54" t="str">
        <f t="shared" si="240"/>
        <v>NA</v>
      </c>
      <c r="AL269" s="54" t="str">
        <f t="shared" si="241"/>
        <v>NA</v>
      </c>
      <c r="AM269" s="55"/>
      <c r="AN269" s="56"/>
      <c r="AP269" s="52" t="str">
        <f t="shared" si="242"/>
        <v>FICO 680-699</v>
      </c>
      <c r="AQ269" s="53">
        <f>AQ267+0.5%</f>
        <v>0.11</v>
      </c>
      <c r="AR269" s="53">
        <f>AR267+0.5%</f>
        <v>0.1125</v>
      </c>
      <c r="AS269" s="54" t="s">
        <v>150</v>
      </c>
      <c r="AT269" s="54" t="s">
        <v>150</v>
      </c>
      <c r="AU269" s="54" t="s">
        <v>150</v>
      </c>
      <c r="AV269" s="54" t="s">
        <v>150</v>
      </c>
      <c r="AZ269" s="52" t="str">
        <f t="shared" si="243"/>
        <v>FICO 680-699</v>
      </c>
      <c r="BA269" s="53">
        <f t="shared" si="250"/>
        <v>0.11</v>
      </c>
      <c r="BB269" s="53">
        <f t="shared" si="251"/>
        <v>0.1125</v>
      </c>
      <c r="BC269" s="54" t="str">
        <f t="shared" si="252"/>
        <v>NA</v>
      </c>
      <c r="BD269" s="54" t="str">
        <f t="shared" si="253"/>
        <v>NA</v>
      </c>
      <c r="BE269" s="54" t="str">
        <f t="shared" si="254"/>
        <v>NA</v>
      </c>
      <c r="BF269" s="54" t="str">
        <f t="shared" si="255"/>
        <v>NA</v>
      </c>
    </row>
    <row r="270" spans="2:58" ht="15" customHeight="1" x14ac:dyDescent="0.45">
      <c r="B270" s="52" t="s">
        <v>159</v>
      </c>
      <c r="C270" s="54" t="s">
        <v>150</v>
      </c>
      <c r="D270" s="54" t="s">
        <v>150</v>
      </c>
      <c r="E270" s="54" t="s">
        <v>150</v>
      </c>
      <c r="F270" s="54" t="s">
        <v>150</v>
      </c>
      <c r="G270" s="54" t="s">
        <v>150</v>
      </c>
      <c r="H270" s="54" t="s">
        <v>150</v>
      </c>
      <c r="L270" s="52" t="s">
        <v>159</v>
      </c>
      <c r="M270" s="54" t="str">
        <f t="shared" si="244"/>
        <v>NA</v>
      </c>
      <c r="N270" s="54" t="str">
        <f t="shared" si="245"/>
        <v>NA</v>
      </c>
      <c r="O270" s="54" t="str">
        <f t="shared" si="246"/>
        <v>NA</v>
      </c>
      <c r="P270" s="54" t="str">
        <f t="shared" si="247"/>
        <v>NA</v>
      </c>
      <c r="Q270" s="54" t="str">
        <f t="shared" si="248"/>
        <v>NA</v>
      </c>
      <c r="R270" s="54" t="str">
        <f t="shared" si="249"/>
        <v>NA</v>
      </c>
      <c r="S270" s="55"/>
      <c r="T270" s="56"/>
      <c r="V270" s="52" t="str">
        <f t="shared" si="235"/>
        <v>FICO 640-679</v>
      </c>
      <c r="W270" s="54" t="s">
        <v>150</v>
      </c>
      <c r="X270" s="54" t="s">
        <v>150</v>
      </c>
      <c r="Y270" s="54" t="s">
        <v>150</v>
      </c>
      <c r="Z270" s="54" t="s">
        <v>150</v>
      </c>
      <c r="AA270" s="54" t="s">
        <v>150</v>
      </c>
      <c r="AB270" s="54" t="s">
        <v>150</v>
      </c>
      <c r="AF270" s="52" t="str">
        <f t="shared" si="236"/>
        <v>FICO 640-679</v>
      </c>
      <c r="AG270" s="54" t="str">
        <f t="shared" si="234"/>
        <v>NA</v>
      </c>
      <c r="AH270" s="54" t="str">
        <f t="shared" si="237"/>
        <v>NA</v>
      </c>
      <c r="AI270" s="54" t="str">
        <f t="shared" si="238"/>
        <v>NA</v>
      </c>
      <c r="AJ270" s="54" t="str">
        <f t="shared" si="239"/>
        <v>NA</v>
      </c>
      <c r="AK270" s="54" t="str">
        <f t="shared" si="240"/>
        <v>NA</v>
      </c>
      <c r="AL270" s="54" t="str">
        <f t="shared" si="241"/>
        <v>NA</v>
      </c>
      <c r="AM270" s="55"/>
      <c r="AN270" s="56"/>
      <c r="AP270" s="52" t="str">
        <f t="shared" si="242"/>
        <v>FICO 640-679</v>
      </c>
      <c r="AQ270" s="54" t="s">
        <v>150</v>
      </c>
      <c r="AR270" s="54" t="s">
        <v>150</v>
      </c>
      <c r="AS270" s="54" t="s">
        <v>150</v>
      </c>
      <c r="AT270" s="54" t="s">
        <v>150</v>
      </c>
      <c r="AU270" s="54" t="s">
        <v>150</v>
      </c>
      <c r="AV270" s="54" t="s">
        <v>150</v>
      </c>
      <c r="AZ270" s="52" t="str">
        <f t="shared" si="243"/>
        <v>FICO 640-679</v>
      </c>
      <c r="BA270" s="54" t="str">
        <f t="shared" si="250"/>
        <v>NA</v>
      </c>
      <c r="BB270" s="54" t="str">
        <f t="shared" si="251"/>
        <v>NA</v>
      </c>
      <c r="BC270" s="54" t="str">
        <f t="shared" si="252"/>
        <v>NA</v>
      </c>
      <c r="BD270" s="54" t="str">
        <f t="shared" si="253"/>
        <v>NA</v>
      </c>
      <c r="BE270" s="54" t="str">
        <f t="shared" si="254"/>
        <v>NA</v>
      </c>
      <c r="BF270" s="54" t="str">
        <f t="shared" si="255"/>
        <v>NA</v>
      </c>
    </row>
    <row r="271" spans="2:58" ht="15" customHeight="1" x14ac:dyDescent="0.45">
      <c r="B271" s="37"/>
      <c r="C271" s="63"/>
      <c r="D271" s="63"/>
      <c r="E271" s="63"/>
      <c r="F271" s="63"/>
      <c r="G271" s="63"/>
      <c r="H271" s="63"/>
      <c r="V271" s="37"/>
      <c r="W271" s="63"/>
      <c r="X271" s="63"/>
      <c r="Y271" s="63"/>
      <c r="Z271" s="63"/>
      <c r="AA271" s="63"/>
      <c r="AB271" s="63"/>
      <c r="AP271" s="37"/>
      <c r="AQ271" s="63"/>
      <c r="AR271" s="63"/>
      <c r="AS271" s="63"/>
      <c r="AT271" s="63"/>
      <c r="AU271" s="63"/>
      <c r="AV271" s="63"/>
    </row>
    <row r="272" spans="2:58" s="38" customFormat="1" ht="6.75" customHeight="1" x14ac:dyDescent="0.45">
      <c r="C272" s="65"/>
      <c r="D272" s="65"/>
      <c r="E272" s="65"/>
      <c r="F272" s="65"/>
      <c r="G272" s="65"/>
      <c r="H272" s="65"/>
      <c r="S272" s="41"/>
      <c r="T272" s="43"/>
      <c r="U272" s="41"/>
      <c r="W272" s="65"/>
      <c r="X272" s="65"/>
      <c r="Y272" s="65"/>
      <c r="Z272" s="65"/>
      <c r="AA272" s="65"/>
      <c r="AB272" s="65"/>
      <c r="AM272" s="41"/>
      <c r="AN272" s="43"/>
      <c r="AO272" s="41"/>
      <c r="AQ272" s="65"/>
      <c r="AR272" s="65"/>
      <c r="AS272" s="65"/>
      <c r="AT272" s="65"/>
      <c r="AU272" s="65"/>
      <c r="AV272" s="65"/>
    </row>
    <row r="274" spans="2:58" ht="15" customHeight="1" x14ac:dyDescent="0.45">
      <c r="B274" s="96" t="s">
        <v>162</v>
      </c>
      <c r="C274" s="96"/>
      <c r="D274" s="96"/>
      <c r="E274" s="96"/>
      <c r="F274" s="96"/>
      <c r="G274" s="96"/>
      <c r="H274" s="96"/>
      <c r="L274" s="96" t="s">
        <v>163</v>
      </c>
      <c r="M274" s="96"/>
      <c r="N274" s="96"/>
      <c r="O274" s="96"/>
      <c r="P274" s="96"/>
      <c r="Q274" s="96"/>
      <c r="R274" s="96"/>
      <c r="S274" s="35"/>
      <c r="T274" s="36"/>
      <c r="V274" s="96" t="s">
        <v>162</v>
      </c>
      <c r="W274" s="96"/>
      <c r="X274" s="96"/>
      <c r="Y274" s="96"/>
      <c r="Z274" s="96"/>
      <c r="AA274" s="96"/>
      <c r="AB274" s="96"/>
      <c r="AF274" s="96" t="s">
        <v>163</v>
      </c>
      <c r="AG274" s="96"/>
      <c r="AH274" s="96"/>
      <c r="AI274" s="96"/>
      <c r="AJ274" s="96"/>
      <c r="AK274" s="96"/>
      <c r="AL274" s="96"/>
      <c r="AM274" s="35"/>
      <c r="AN274" s="36"/>
      <c r="AP274" s="96" t="s">
        <v>162</v>
      </c>
      <c r="AQ274" s="96"/>
      <c r="AR274" s="96"/>
      <c r="AS274" s="96"/>
      <c r="AT274" s="96"/>
      <c r="AU274" s="96"/>
      <c r="AV274" s="96"/>
      <c r="AZ274" s="96" t="s">
        <v>163</v>
      </c>
      <c r="BA274" s="96"/>
      <c r="BB274" s="96"/>
      <c r="BC274" s="96"/>
      <c r="BD274" s="96"/>
      <c r="BE274" s="96"/>
      <c r="BF274" s="96"/>
    </row>
    <row r="275" spans="2:58" ht="15.75" customHeight="1" x14ac:dyDescent="0.45">
      <c r="B275" s="94" t="s">
        <v>166</v>
      </c>
      <c r="C275" s="94"/>
      <c r="D275" s="94"/>
      <c r="E275" s="94"/>
      <c r="F275" s="94"/>
      <c r="G275" s="94"/>
      <c r="H275" s="94"/>
      <c r="L275" s="94" t="s">
        <v>166</v>
      </c>
      <c r="M275" s="94"/>
      <c r="N275" s="94"/>
      <c r="O275" s="94"/>
      <c r="P275" s="94"/>
      <c r="Q275" s="94"/>
      <c r="R275" s="94"/>
      <c r="S275" s="39"/>
      <c r="T275" s="40"/>
      <c r="V275" s="94" t="s">
        <v>166</v>
      </c>
      <c r="W275" s="94"/>
      <c r="X275" s="94"/>
      <c r="Y275" s="94"/>
      <c r="Z275" s="94"/>
      <c r="AA275" s="94"/>
      <c r="AB275" s="94"/>
      <c r="AF275" s="94" t="s">
        <v>166</v>
      </c>
      <c r="AG275" s="94"/>
      <c r="AH275" s="94"/>
      <c r="AI275" s="94"/>
      <c r="AJ275" s="94"/>
      <c r="AK275" s="94"/>
      <c r="AL275" s="94"/>
      <c r="AM275" s="39"/>
      <c r="AN275" s="40"/>
      <c r="AP275" s="94" t="s">
        <v>166</v>
      </c>
      <c r="AQ275" s="94"/>
      <c r="AR275" s="94"/>
      <c r="AS275" s="94"/>
      <c r="AT275" s="94"/>
      <c r="AU275" s="94"/>
      <c r="AV275" s="94"/>
      <c r="AZ275" s="94" t="s">
        <v>166</v>
      </c>
      <c r="BA275" s="94"/>
      <c r="BB275" s="94"/>
      <c r="BC275" s="94"/>
      <c r="BD275" s="94"/>
      <c r="BE275" s="94"/>
      <c r="BF275" s="94"/>
    </row>
    <row r="276" spans="2:58" ht="15" customHeight="1" x14ac:dyDescent="0.45">
      <c r="B276" s="45"/>
      <c r="C276" s="95" t="s">
        <v>50</v>
      </c>
      <c r="D276" s="95"/>
      <c r="E276" s="95"/>
      <c r="F276" s="95"/>
      <c r="G276" s="95"/>
      <c r="H276" s="95"/>
      <c r="L276" s="45"/>
      <c r="M276" s="95" t="s">
        <v>50</v>
      </c>
      <c r="N276" s="95"/>
      <c r="O276" s="95"/>
      <c r="P276" s="95"/>
      <c r="Q276" s="95"/>
      <c r="R276" s="95"/>
      <c r="S276" s="41"/>
      <c r="T276" s="43"/>
      <c r="V276" s="45"/>
      <c r="W276" s="95" t="str">
        <f>C276</f>
        <v>LTC</v>
      </c>
      <c r="X276" s="95"/>
      <c r="Y276" s="95"/>
      <c r="Z276" s="95"/>
      <c r="AA276" s="95"/>
      <c r="AB276" s="95"/>
      <c r="AF276" s="45"/>
      <c r="AG276" s="95" t="str">
        <f>W276</f>
        <v>LTC</v>
      </c>
      <c r="AH276" s="95"/>
      <c r="AI276" s="95"/>
      <c r="AJ276" s="95"/>
      <c r="AK276" s="95"/>
      <c r="AL276" s="95"/>
      <c r="AM276" s="41"/>
      <c r="AN276" s="43"/>
      <c r="AP276" s="45"/>
      <c r="AQ276" s="95" t="str">
        <f>C276</f>
        <v>LTC</v>
      </c>
      <c r="AR276" s="95"/>
      <c r="AS276" s="95"/>
      <c r="AT276" s="95"/>
      <c r="AU276" s="95"/>
      <c r="AV276" s="95"/>
      <c r="AZ276" s="45"/>
      <c r="BA276" s="95" t="str">
        <f>C276</f>
        <v>LTC</v>
      </c>
      <c r="BB276" s="95"/>
      <c r="BC276" s="95"/>
      <c r="BD276" s="95"/>
      <c r="BE276" s="95"/>
      <c r="BF276" s="95"/>
    </row>
    <row r="277" spans="2:58" ht="15" customHeight="1" x14ac:dyDescent="0.45">
      <c r="B277" s="71" t="s">
        <v>52</v>
      </c>
      <c r="C277" s="45" t="s">
        <v>143</v>
      </c>
      <c r="D277" s="45" t="s">
        <v>144</v>
      </c>
      <c r="E277" s="45" t="s">
        <v>145</v>
      </c>
      <c r="F277" s="45" t="s">
        <v>146</v>
      </c>
      <c r="G277" s="45" t="s">
        <v>147</v>
      </c>
      <c r="H277" s="45" t="s">
        <v>148</v>
      </c>
      <c r="L277" s="71" t="s">
        <v>52</v>
      </c>
      <c r="M277" s="45" t="s">
        <v>143</v>
      </c>
      <c r="N277" s="45" t="s">
        <v>144</v>
      </c>
      <c r="O277" s="45" t="s">
        <v>145</v>
      </c>
      <c r="P277" s="45" t="s">
        <v>146</v>
      </c>
      <c r="Q277" s="45" t="s">
        <v>147</v>
      </c>
      <c r="R277" s="45" t="s">
        <v>148</v>
      </c>
      <c r="S277" s="41"/>
      <c r="T277" s="43"/>
      <c r="V277" s="71" t="str">
        <f t="shared" ref="V277:V288" si="256">B277</f>
        <v>AR-LTV</v>
      </c>
      <c r="W277" s="45" t="str">
        <f>C277</f>
        <v>&lt;74.99%</v>
      </c>
      <c r="X277" s="45" t="str">
        <f>D277</f>
        <v>75.00%-80.00%</v>
      </c>
      <c r="Y277" s="45" t="str">
        <f>E277</f>
        <v>80.01%-85.00%</v>
      </c>
      <c r="Z277" s="45" t="str">
        <f>F277</f>
        <v>85.01%-87.50%</v>
      </c>
      <c r="AA277" s="45" t="str">
        <f>G277</f>
        <v>87.51%-89.99%</v>
      </c>
      <c r="AB277" s="45" t="str">
        <f>H277</f>
        <v>90.00%-92.50%</v>
      </c>
      <c r="AF277" s="44" t="str">
        <f t="shared" ref="AF277:AF292" si="257">V277</f>
        <v>AR-LTV</v>
      </c>
      <c r="AG277" s="45" t="str">
        <f>W277</f>
        <v>&lt;74.99%</v>
      </c>
      <c r="AH277" s="45" t="str">
        <f>X277</f>
        <v>75.00%-80.00%</v>
      </c>
      <c r="AI277" s="45" t="str">
        <f>Y277</f>
        <v>80.01%-85.00%</v>
      </c>
      <c r="AJ277" s="45" t="str">
        <f>Z277</f>
        <v>85.01%-87.50%</v>
      </c>
      <c r="AK277" s="45" t="str">
        <f>AA277</f>
        <v>87.51%-89.99%</v>
      </c>
      <c r="AL277" s="45" t="str">
        <f>AB277</f>
        <v>90.00%-92.50%</v>
      </c>
      <c r="AM277" s="41"/>
      <c r="AN277" s="43"/>
      <c r="AP277" s="71" t="str">
        <f t="shared" ref="AP277:AP293" si="258">B277</f>
        <v>AR-LTV</v>
      </c>
      <c r="AQ277" s="45" t="str">
        <f>C277</f>
        <v>&lt;74.99%</v>
      </c>
      <c r="AR277" s="45" t="str">
        <f>D277</f>
        <v>75.00%-80.00%</v>
      </c>
      <c r="AS277" s="45" t="str">
        <f>E277</f>
        <v>80.01%-85.00%</v>
      </c>
      <c r="AT277" s="45" t="str">
        <f>F277</f>
        <v>85.01%-87.50%</v>
      </c>
      <c r="AU277" s="45" t="str">
        <f>G277</f>
        <v>87.51%-89.99%</v>
      </c>
      <c r="AV277" s="45" t="str">
        <f>H277</f>
        <v>90.00%-92.50%</v>
      </c>
      <c r="AZ277" s="71" t="str">
        <f t="shared" ref="AZ277:AZ293" si="259">B277</f>
        <v>AR-LTV</v>
      </c>
      <c r="BA277" s="45" t="str">
        <f>C277</f>
        <v>&lt;74.99%</v>
      </c>
      <c r="BB277" s="45" t="str">
        <f>D277</f>
        <v>75.00%-80.00%</v>
      </c>
      <c r="BC277" s="45" t="str">
        <f>E277</f>
        <v>80.01%-85.00%</v>
      </c>
      <c r="BD277" s="45" t="str">
        <f>F277</f>
        <v>85.01%-87.50%</v>
      </c>
      <c r="BE277" s="45" t="str">
        <f>G277</f>
        <v>87.51%-89.99%</v>
      </c>
      <c r="BF277" s="45" t="str">
        <f>H277</f>
        <v>90.00%-92.50%</v>
      </c>
    </row>
    <row r="278" spans="2:58" ht="15" hidden="1" customHeight="1" x14ac:dyDescent="0.45">
      <c r="B278" s="46" t="s">
        <v>164</v>
      </c>
      <c r="C278" s="47">
        <f>C290+0.75%</f>
        <v>9.5000000000000001E-2</v>
      </c>
      <c r="D278" s="47">
        <f>C278</f>
        <v>9.5000000000000001E-2</v>
      </c>
      <c r="E278" s="49" t="s">
        <v>150</v>
      </c>
      <c r="F278" s="49" t="s">
        <v>150</v>
      </c>
      <c r="G278" s="49" t="s">
        <v>150</v>
      </c>
      <c r="H278" s="49" t="s">
        <v>150</v>
      </c>
      <c r="L278" s="46" t="s">
        <v>164</v>
      </c>
      <c r="M278" s="49" t="s">
        <v>150</v>
      </c>
      <c r="N278" s="49" t="s">
        <v>150</v>
      </c>
      <c r="O278" s="49" t="s">
        <v>150</v>
      </c>
      <c r="P278" s="49" t="s">
        <v>150</v>
      </c>
      <c r="Q278" s="49" t="s">
        <v>150</v>
      </c>
      <c r="R278" s="49" t="s">
        <v>150</v>
      </c>
      <c r="S278" s="50"/>
      <c r="T278" s="51"/>
      <c r="V278" s="46" t="str">
        <f t="shared" si="256"/>
        <v>75.01%-80.00%</v>
      </c>
      <c r="W278" s="47">
        <f>W290+0.75%</f>
        <v>9.5000000000000001E-2</v>
      </c>
      <c r="X278" s="47">
        <f>W278</f>
        <v>9.5000000000000001E-2</v>
      </c>
      <c r="Y278" s="49" t="s">
        <v>150</v>
      </c>
      <c r="Z278" s="49" t="s">
        <v>150</v>
      </c>
      <c r="AA278" s="49" t="s">
        <v>150</v>
      </c>
      <c r="AB278" s="49" t="s">
        <v>150</v>
      </c>
      <c r="AF278" s="46" t="str">
        <f t="shared" si="257"/>
        <v>75.01%-80.00%</v>
      </c>
      <c r="AG278" s="49" t="s">
        <v>150</v>
      </c>
      <c r="AH278" s="49" t="s">
        <v>150</v>
      </c>
      <c r="AI278" s="49" t="s">
        <v>150</v>
      </c>
      <c r="AJ278" s="49" t="s">
        <v>150</v>
      </c>
      <c r="AK278" s="49" t="s">
        <v>150</v>
      </c>
      <c r="AL278" s="49" t="s">
        <v>150</v>
      </c>
      <c r="AM278" s="50"/>
      <c r="AN278" s="51"/>
      <c r="AP278" s="46" t="str">
        <f t="shared" si="258"/>
        <v>75.01%-80.00%</v>
      </c>
      <c r="AQ278" s="47">
        <f>AQ290+0.75%</f>
        <v>9.5000000000000001E-2</v>
      </c>
      <c r="AR278" s="47">
        <f>AQ278</f>
        <v>9.5000000000000001E-2</v>
      </c>
      <c r="AS278" s="49" t="s">
        <v>150</v>
      </c>
      <c r="AT278" s="49" t="s">
        <v>150</v>
      </c>
      <c r="AU278" s="49" t="s">
        <v>150</v>
      </c>
      <c r="AV278" s="49" t="s">
        <v>150</v>
      </c>
      <c r="AZ278" s="46" t="str">
        <f t="shared" si="259"/>
        <v>75.01%-80.00%</v>
      </c>
      <c r="BA278" s="49" t="s">
        <v>150</v>
      </c>
      <c r="BB278" s="49" t="s">
        <v>150</v>
      </c>
      <c r="BC278" s="49" t="s">
        <v>150</v>
      </c>
      <c r="BD278" s="49" t="s">
        <v>150</v>
      </c>
      <c r="BE278" s="49" t="s">
        <v>150</v>
      </c>
      <c r="BF278" s="49" t="s">
        <v>150</v>
      </c>
    </row>
    <row r="279" spans="2:58" ht="15" hidden="1" customHeight="1" x14ac:dyDescent="0.45">
      <c r="B279" s="52" t="s">
        <v>151</v>
      </c>
      <c r="C279" s="53">
        <f>C278+0</f>
        <v>9.5000000000000001E-2</v>
      </c>
      <c r="D279" s="53">
        <f>D278+0</f>
        <v>9.5000000000000001E-2</v>
      </c>
      <c r="E279" s="54" t="s">
        <v>150</v>
      </c>
      <c r="F279" s="54" t="s">
        <v>150</v>
      </c>
      <c r="G279" s="54" t="s">
        <v>150</v>
      </c>
      <c r="H279" s="54" t="s">
        <v>150</v>
      </c>
      <c r="L279" s="52" t="s">
        <v>151</v>
      </c>
      <c r="M279" s="54" t="s">
        <v>150</v>
      </c>
      <c r="N279" s="54" t="s">
        <v>150</v>
      </c>
      <c r="O279" s="54" t="s">
        <v>150</v>
      </c>
      <c r="P279" s="54" t="s">
        <v>150</v>
      </c>
      <c r="Q279" s="54" t="s">
        <v>150</v>
      </c>
      <c r="R279" s="54" t="s">
        <v>150</v>
      </c>
      <c r="S279" s="55"/>
      <c r="T279" s="56"/>
      <c r="V279" s="52" t="str">
        <f t="shared" si="256"/>
        <v>FICO 700+</v>
      </c>
      <c r="W279" s="53">
        <f>W278+0</f>
        <v>9.5000000000000001E-2</v>
      </c>
      <c r="X279" s="53">
        <f>X278+0</f>
        <v>9.5000000000000001E-2</v>
      </c>
      <c r="Y279" s="54" t="s">
        <v>150</v>
      </c>
      <c r="Z279" s="54" t="s">
        <v>150</v>
      </c>
      <c r="AA279" s="54" t="s">
        <v>150</v>
      </c>
      <c r="AB279" s="54" t="s">
        <v>150</v>
      </c>
      <c r="AF279" s="52" t="str">
        <f t="shared" si="257"/>
        <v>FICO 700+</v>
      </c>
      <c r="AG279" s="54" t="s">
        <v>150</v>
      </c>
      <c r="AH279" s="54" t="s">
        <v>150</v>
      </c>
      <c r="AI279" s="54" t="s">
        <v>150</v>
      </c>
      <c r="AJ279" s="54" t="s">
        <v>150</v>
      </c>
      <c r="AK279" s="54" t="s">
        <v>150</v>
      </c>
      <c r="AL279" s="54" t="s">
        <v>150</v>
      </c>
      <c r="AM279" s="55"/>
      <c r="AN279" s="56"/>
      <c r="AP279" s="52" t="str">
        <f t="shared" si="258"/>
        <v>FICO 700+</v>
      </c>
      <c r="AQ279" s="53">
        <f>AQ278+0</f>
        <v>9.5000000000000001E-2</v>
      </c>
      <c r="AR279" s="53">
        <f>AR278+0</f>
        <v>9.5000000000000001E-2</v>
      </c>
      <c r="AS279" s="54" t="s">
        <v>150</v>
      </c>
      <c r="AT279" s="54" t="s">
        <v>150</v>
      </c>
      <c r="AU279" s="54" t="s">
        <v>150</v>
      </c>
      <c r="AV279" s="54" t="s">
        <v>150</v>
      </c>
      <c r="AZ279" s="52" t="str">
        <f t="shared" si="259"/>
        <v>FICO 700+</v>
      </c>
      <c r="BA279" s="54" t="s">
        <v>150</v>
      </c>
      <c r="BB279" s="54" t="s">
        <v>150</v>
      </c>
      <c r="BC279" s="54" t="s">
        <v>150</v>
      </c>
      <c r="BD279" s="54" t="s">
        <v>150</v>
      </c>
      <c r="BE279" s="54" t="s">
        <v>150</v>
      </c>
      <c r="BF279" s="54" t="s">
        <v>150</v>
      </c>
    </row>
    <row r="280" spans="2:58" ht="15" hidden="1" customHeight="1" x14ac:dyDescent="0.45">
      <c r="B280" s="52" t="s">
        <v>152</v>
      </c>
      <c r="C280" s="53">
        <f>C278+0.25%</f>
        <v>9.7500000000000003E-2</v>
      </c>
      <c r="D280" s="53">
        <f>D278+0.25%</f>
        <v>9.7500000000000003E-2</v>
      </c>
      <c r="E280" s="54" t="s">
        <v>150</v>
      </c>
      <c r="F280" s="54" t="s">
        <v>150</v>
      </c>
      <c r="G280" s="54" t="s">
        <v>150</v>
      </c>
      <c r="H280" s="54" t="s">
        <v>150</v>
      </c>
      <c r="L280" s="52" t="s">
        <v>152</v>
      </c>
      <c r="M280" s="54" t="s">
        <v>150</v>
      </c>
      <c r="N280" s="54" t="s">
        <v>150</v>
      </c>
      <c r="O280" s="54" t="s">
        <v>150</v>
      </c>
      <c r="P280" s="54" t="s">
        <v>150</v>
      </c>
      <c r="Q280" s="54" t="s">
        <v>150</v>
      </c>
      <c r="R280" s="54" t="s">
        <v>150</v>
      </c>
      <c r="S280" s="55"/>
      <c r="T280" s="56"/>
      <c r="V280" s="52" t="str">
        <f t="shared" si="256"/>
        <v>FICO 660-699</v>
      </c>
      <c r="W280" s="53">
        <f>W278+0.25%</f>
        <v>9.7500000000000003E-2</v>
      </c>
      <c r="X280" s="53">
        <f>X278+0.25%</f>
        <v>9.7500000000000003E-2</v>
      </c>
      <c r="Y280" s="54" t="s">
        <v>150</v>
      </c>
      <c r="Z280" s="54" t="s">
        <v>150</v>
      </c>
      <c r="AA280" s="54" t="s">
        <v>150</v>
      </c>
      <c r="AB280" s="54" t="s">
        <v>150</v>
      </c>
      <c r="AF280" s="52" t="str">
        <f t="shared" si="257"/>
        <v>FICO 660-699</v>
      </c>
      <c r="AG280" s="54" t="s">
        <v>150</v>
      </c>
      <c r="AH280" s="54" t="s">
        <v>150</v>
      </c>
      <c r="AI280" s="54" t="s">
        <v>150</v>
      </c>
      <c r="AJ280" s="54" t="s">
        <v>150</v>
      </c>
      <c r="AK280" s="54" t="s">
        <v>150</v>
      </c>
      <c r="AL280" s="54" t="s">
        <v>150</v>
      </c>
      <c r="AM280" s="55"/>
      <c r="AN280" s="56"/>
      <c r="AP280" s="52" t="str">
        <f t="shared" si="258"/>
        <v>FICO 660-699</v>
      </c>
      <c r="AQ280" s="53">
        <f>AQ278+0.25%</f>
        <v>9.7500000000000003E-2</v>
      </c>
      <c r="AR280" s="53">
        <f>AR278+0.25%</f>
        <v>9.7500000000000003E-2</v>
      </c>
      <c r="AS280" s="54" t="s">
        <v>150</v>
      </c>
      <c r="AT280" s="54" t="s">
        <v>150</v>
      </c>
      <c r="AU280" s="54" t="s">
        <v>150</v>
      </c>
      <c r="AV280" s="54" t="s">
        <v>150</v>
      </c>
      <c r="AZ280" s="52" t="str">
        <f t="shared" si="259"/>
        <v>FICO 660-699</v>
      </c>
      <c r="BA280" s="54" t="s">
        <v>150</v>
      </c>
      <c r="BB280" s="54" t="s">
        <v>150</v>
      </c>
      <c r="BC280" s="54" t="s">
        <v>150</v>
      </c>
      <c r="BD280" s="54" t="s">
        <v>150</v>
      </c>
      <c r="BE280" s="54" t="s">
        <v>150</v>
      </c>
      <c r="BF280" s="54" t="s">
        <v>150</v>
      </c>
    </row>
    <row r="281" spans="2:58" ht="15" hidden="1" customHeight="1" x14ac:dyDescent="0.45">
      <c r="B281" s="57" t="s">
        <v>153</v>
      </c>
      <c r="C281" s="59" t="s">
        <v>150</v>
      </c>
      <c r="D281" s="59" t="s">
        <v>150</v>
      </c>
      <c r="E281" s="59" t="s">
        <v>150</v>
      </c>
      <c r="F281" s="59" t="s">
        <v>150</v>
      </c>
      <c r="G281" s="59" t="s">
        <v>150</v>
      </c>
      <c r="H281" s="59" t="s">
        <v>150</v>
      </c>
      <c r="L281" s="57" t="s">
        <v>153</v>
      </c>
      <c r="M281" s="59" t="s">
        <v>150</v>
      </c>
      <c r="N281" s="59" t="s">
        <v>150</v>
      </c>
      <c r="O281" s="59" t="s">
        <v>150</v>
      </c>
      <c r="P281" s="59" t="s">
        <v>150</v>
      </c>
      <c r="Q281" s="59" t="s">
        <v>150</v>
      </c>
      <c r="R281" s="59" t="s">
        <v>150</v>
      </c>
      <c r="S281" s="55"/>
      <c r="T281" s="56"/>
      <c r="V281" s="57" t="str">
        <f t="shared" si="256"/>
        <v>FICO 640-659</v>
      </c>
      <c r="W281" s="59" t="s">
        <v>150</v>
      </c>
      <c r="X281" s="59" t="s">
        <v>150</v>
      </c>
      <c r="Y281" s="59" t="s">
        <v>150</v>
      </c>
      <c r="Z281" s="59" t="s">
        <v>150</v>
      </c>
      <c r="AA281" s="59" t="s">
        <v>150</v>
      </c>
      <c r="AB281" s="59" t="s">
        <v>150</v>
      </c>
      <c r="AF281" s="57" t="str">
        <f t="shared" si="257"/>
        <v>FICO 640-659</v>
      </c>
      <c r="AG281" s="59" t="s">
        <v>150</v>
      </c>
      <c r="AH281" s="59" t="s">
        <v>150</v>
      </c>
      <c r="AI281" s="59" t="s">
        <v>150</v>
      </c>
      <c r="AJ281" s="59" t="s">
        <v>150</v>
      </c>
      <c r="AK281" s="59" t="s">
        <v>150</v>
      </c>
      <c r="AL281" s="59" t="s">
        <v>150</v>
      </c>
      <c r="AM281" s="55"/>
      <c r="AN281" s="56"/>
      <c r="AP281" s="57" t="str">
        <f t="shared" si="258"/>
        <v>FICO 640-659</v>
      </c>
      <c r="AQ281" s="59" t="s">
        <v>150</v>
      </c>
      <c r="AR281" s="59" t="s">
        <v>150</v>
      </c>
      <c r="AS281" s="59" t="s">
        <v>150</v>
      </c>
      <c r="AT281" s="59" t="s">
        <v>150</v>
      </c>
      <c r="AU281" s="59" t="s">
        <v>150</v>
      </c>
      <c r="AV281" s="59" t="s">
        <v>150</v>
      </c>
      <c r="AZ281" s="57" t="str">
        <f t="shared" si="259"/>
        <v>FICO 640-659</v>
      </c>
      <c r="BA281" s="59" t="s">
        <v>150</v>
      </c>
      <c r="BB281" s="59" t="s">
        <v>150</v>
      </c>
      <c r="BC281" s="59" t="s">
        <v>150</v>
      </c>
      <c r="BD281" s="59" t="s">
        <v>150</v>
      </c>
      <c r="BE281" s="59" t="s">
        <v>150</v>
      </c>
      <c r="BF281" s="59" t="s">
        <v>150</v>
      </c>
    </row>
    <row r="282" spans="2:58" ht="15" customHeight="1" x14ac:dyDescent="0.45">
      <c r="B282" s="46" t="s">
        <v>149</v>
      </c>
      <c r="C282" s="47">
        <f>C290+0.5%</f>
        <v>9.2499999999999999E-2</v>
      </c>
      <c r="D282" s="47">
        <f>C282</f>
        <v>9.2499999999999999E-2</v>
      </c>
      <c r="E282" s="49" t="s">
        <v>150</v>
      </c>
      <c r="F282" s="49" t="s">
        <v>150</v>
      </c>
      <c r="G282" s="49" t="s">
        <v>150</v>
      </c>
      <c r="H282" s="49" t="s">
        <v>150</v>
      </c>
      <c r="L282" s="46" t="s">
        <v>149</v>
      </c>
      <c r="M282" s="47">
        <f>M290+0.5%</f>
        <v>9.7500000000000003E-2</v>
      </c>
      <c r="N282" s="49" t="s">
        <v>150</v>
      </c>
      <c r="O282" s="49" t="s">
        <v>150</v>
      </c>
      <c r="P282" s="49" t="s">
        <v>150</v>
      </c>
      <c r="Q282" s="49" t="s">
        <v>150</v>
      </c>
      <c r="R282" s="49" t="s">
        <v>150</v>
      </c>
      <c r="S282" s="50"/>
      <c r="T282" s="51"/>
      <c r="V282" s="46" t="str">
        <f t="shared" si="256"/>
        <v>70.01%-75.00%</v>
      </c>
      <c r="W282" s="47">
        <f>W290+0.5%</f>
        <v>9.2499999999999999E-2</v>
      </c>
      <c r="X282" s="47">
        <f>W282</f>
        <v>9.2499999999999999E-2</v>
      </c>
      <c r="Y282" s="49" t="s">
        <v>150</v>
      </c>
      <c r="Z282" s="49" t="s">
        <v>150</v>
      </c>
      <c r="AA282" s="49" t="s">
        <v>150</v>
      </c>
      <c r="AB282" s="49" t="s">
        <v>150</v>
      </c>
      <c r="AF282" s="60" t="str">
        <f t="shared" si="257"/>
        <v>70.01%-75.00%</v>
      </c>
      <c r="AG282" s="47">
        <f>AG290+0.5%</f>
        <v>9.7500000000000003E-2</v>
      </c>
      <c r="AH282" s="49" t="s">
        <v>150</v>
      </c>
      <c r="AI282" s="49" t="s">
        <v>150</v>
      </c>
      <c r="AJ282" s="49" t="s">
        <v>150</v>
      </c>
      <c r="AK282" s="49" t="s">
        <v>150</v>
      </c>
      <c r="AL282" s="49" t="s">
        <v>150</v>
      </c>
      <c r="AM282" s="50"/>
      <c r="AN282" s="51"/>
      <c r="AP282" s="46" t="str">
        <f t="shared" si="258"/>
        <v>70.01%-75.00%</v>
      </c>
      <c r="AQ282" s="47">
        <f>AQ290+0.5%</f>
        <v>9.2499999999999999E-2</v>
      </c>
      <c r="AR282" s="47">
        <f>AQ282</f>
        <v>9.2499999999999999E-2</v>
      </c>
      <c r="AS282" s="49" t="s">
        <v>150</v>
      </c>
      <c r="AT282" s="49" t="s">
        <v>150</v>
      </c>
      <c r="AU282" s="49" t="s">
        <v>150</v>
      </c>
      <c r="AV282" s="49" t="s">
        <v>150</v>
      </c>
      <c r="AZ282" s="46" t="str">
        <f t="shared" si="259"/>
        <v>70.01%-75.00%</v>
      </c>
      <c r="BA282" s="47">
        <f>BA290+0.5%</f>
        <v>9.7500000000000003E-2</v>
      </c>
      <c r="BB282" s="49" t="s">
        <v>150</v>
      </c>
      <c r="BC282" s="49" t="s">
        <v>150</v>
      </c>
      <c r="BD282" s="49" t="s">
        <v>150</v>
      </c>
      <c r="BE282" s="49" t="s">
        <v>150</v>
      </c>
      <c r="BF282" s="49" t="s">
        <v>150</v>
      </c>
    </row>
    <row r="283" spans="2:58" ht="15" customHeight="1" x14ac:dyDescent="0.45">
      <c r="B283" s="52" t="s">
        <v>151</v>
      </c>
      <c r="C283" s="53">
        <f>C282+0</f>
        <v>9.2499999999999999E-2</v>
      </c>
      <c r="D283" s="53">
        <f>D282+0</f>
        <v>9.2499999999999999E-2</v>
      </c>
      <c r="E283" s="54" t="s">
        <v>150</v>
      </c>
      <c r="F283" s="54" t="s">
        <v>150</v>
      </c>
      <c r="G283" s="54" t="s">
        <v>150</v>
      </c>
      <c r="H283" s="54" t="s">
        <v>150</v>
      </c>
      <c r="L283" s="52" t="s">
        <v>151</v>
      </c>
      <c r="M283" s="53">
        <f>M282+0</f>
        <v>9.7500000000000003E-2</v>
      </c>
      <c r="N283" s="54" t="s">
        <v>150</v>
      </c>
      <c r="O283" s="54" t="s">
        <v>150</v>
      </c>
      <c r="P283" s="54" t="s">
        <v>150</v>
      </c>
      <c r="Q283" s="54" t="s">
        <v>150</v>
      </c>
      <c r="R283" s="54" t="s">
        <v>150</v>
      </c>
      <c r="S283" s="55"/>
      <c r="T283" s="56"/>
      <c r="V283" s="52" t="str">
        <f t="shared" si="256"/>
        <v>FICO 700+</v>
      </c>
      <c r="W283" s="53">
        <f>W282+0</f>
        <v>9.2499999999999999E-2</v>
      </c>
      <c r="X283" s="53">
        <f>X282+0</f>
        <v>9.2499999999999999E-2</v>
      </c>
      <c r="Y283" s="54" t="s">
        <v>150</v>
      </c>
      <c r="Z283" s="54" t="s">
        <v>150</v>
      </c>
      <c r="AA283" s="54" t="s">
        <v>150</v>
      </c>
      <c r="AB283" s="54" t="s">
        <v>150</v>
      </c>
      <c r="AF283" s="52" t="str">
        <f t="shared" si="257"/>
        <v>FICO 700+</v>
      </c>
      <c r="AG283" s="53">
        <f>AG282+0</f>
        <v>9.7500000000000003E-2</v>
      </c>
      <c r="AH283" s="54" t="s">
        <v>150</v>
      </c>
      <c r="AI283" s="54" t="s">
        <v>150</v>
      </c>
      <c r="AJ283" s="54" t="s">
        <v>150</v>
      </c>
      <c r="AK283" s="54" t="s">
        <v>150</v>
      </c>
      <c r="AL283" s="54" t="s">
        <v>150</v>
      </c>
      <c r="AM283" s="55"/>
      <c r="AN283" s="56"/>
      <c r="AP283" s="52" t="str">
        <f t="shared" si="258"/>
        <v>FICO 700+</v>
      </c>
      <c r="AQ283" s="53">
        <f>AQ282+0</f>
        <v>9.2499999999999999E-2</v>
      </c>
      <c r="AR283" s="53">
        <f>AR282+0</f>
        <v>9.2499999999999999E-2</v>
      </c>
      <c r="AS283" s="54" t="s">
        <v>150</v>
      </c>
      <c r="AT283" s="54" t="s">
        <v>150</v>
      </c>
      <c r="AU283" s="54" t="s">
        <v>150</v>
      </c>
      <c r="AV283" s="54" t="s">
        <v>150</v>
      </c>
      <c r="AZ283" s="52" t="str">
        <f t="shared" si="259"/>
        <v>FICO 700+</v>
      </c>
      <c r="BA283" s="53">
        <f>BA282+0</f>
        <v>9.7500000000000003E-2</v>
      </c>
      <c r="BB283" s="54" t="s">
        <v>150</v>
      </c>
      <c r="BC283" s="54" t="s">
        <v>150</v>
      </c>
      <c r="BD283" s="54" t="s">
        <v>150</v>
      </c>
      <c r="BE283" s="54" t="s">
        <v>150</v>
      </c>
      <c r="BF283" s="54" t="s">
        <v>150</v>
      </c>
    </row>
    <row r="284" spans="2:58" ht="15" customHeight="1" x14ac:dyDescent="0.45">
      <c r="B284" s="52" t="s">
        <v>152</v>
      </c>
      <c r="C284" s="53">
        <f>C282+0.25%</f>
        <v>9.5000000000000001E-2</v>
      </c>
      <c r="D284" s="53">
        <f>D282+0.25%</f>
        <v>9.5000000000000001E-2</v>
      </c>
      <c r="E284" s="54" t="s">
        <v>150</v>
      </c>
      <c r="F284" s="54" t="s">
        <v>150</v>
      </c>
      <c r="G284" s="54" t="s">
        <v>150</v>
      </c>
      <c r="H284" s="54" t="s">
        <v>150</v>
      </c>
      <c r="L284" s="52" t="s">
        <v>152</v>
      </c>
      <c r="M284" s="53">
        <f>M282+0.25%</f>
        <v>0.1</v>
      </c>
      <c r="N284" s="54" t="s">
        <v>150</v>
      </c>
      <c r="O284" s="54" t="s">
        <v>150</v>
      </c>
      <c r="P284" s="54" t="s">
        <v>150</v>
      </c>
      <c r="Q284" s="54" t="s">
        <v>150</v>
      </c>
      <c r="R284" s="54" t="s">
        <v>150</v>
      </c>
      <c r="S284" s="55"/>
      <c r="T284" s="56"/>
      <c r="V284" s="52" t="str">
        <f t="shared" si="256"/>
        <v>FICO 660-699</v>
      </c>
      <c r="W284" s="53">
        <f>W282+0.25%</f>
        <v>9.5000000000000001E-2</v>
      </c>
      <c r="X284" s="53">
        <f>X282+0.25%</f>
        <v>9.5000000000000001E-2</v>
      </c>
      <c r="Y284" s="54" t="s">
        <v>150</v>
      </c>
      <c r="Z284" s="54" t="s">
        <v>150</v>
      </c>
      <c r="AA284" s="54" t="s">
        <v>150</v>
      </c>
      <c r="AB284" s="54" t="s">
        <v>150</v>
      </c>
      <c r="AF284" s="52" t="str">
        <f t="shared" si="257"/>
        <v>FICO 660-699</v>
      </c>
      <c r="AG284" s="53">
        <f>AG282+0.25%</f>
        <v>0.1</v>
      </c>
      <c r="AH284" s="54" t="s">
        <v>150</v>
      </c>
      <c r="AI284" s="54" t="s">
        <v>150</v>
      </c>
      <c r="AJ284" s="54" t="s">
        <v>150</v>
      </c>
      <c r="AK284" s="54" t="s">
        <v>150</v>
      </c>
      <c r="AL284" s="54" t="s">
        <v>150</v>
      </c>
      <c r="AM284" s="55"/>
      <c r="AN284" s="56"/>
      <c r="AP284" s="52" t="str">
        <f t="shared" si="258"/>
        <v>FICO 660-699</v>
      </c>
      <c r="AQ284" s="53">
        <f>AQ282+0.25%</f>
        <v>9.5000000000000001E-2</v>
      </c>
      <c r="AR284" s="53">
        <f>AR282+0.25%</f>
        <v>9.5000000000000001E-2</v>
      </c>
      <c r="AS284" s="54" t="s">
        <v>150</v>
      </c>
      <c r="AT284" s="54" t="s">
        <v>150</v>
      </c>
      <c r="AU284" s="54" t="s">
        <v>150</v>
      </c>
      <c r="AV284" s="54" t="s">
        <v>150</v>
      </c>
      <c r="AZ284" s="52" t="str">
        <f t="shared" si="259"/>
        <v>FICO 660-699</v>
      </c>
      <c r="BA284" s="53">
        <f>BA282+0.25%</f>
        <v>0.1</v>
      </c>
      <c r="BB284" s="54" t="s">
        <v>150</v>
      </c>
      <c r="BC284" s="54" t="s">
        <v>150</v>
      </c>
      <c r="BD284" s="54" t="s">
        <v>150</v>
      </c>
      <c r="BE284" s="54" t="s">
        <v>150</v>
      </c>
      <c r="BF284" s="54" t="s">
        <v>150</v>
      </c>
    </row>
    <row r="285" spans="2:58" ht="15" customHeight="1" x14ac:dyDescent="0.45">
      <c r="B285" s="57" t="s">
        <v>153</v>
      </c>
      <c r="C285" s="59" t="s">
        <v>150</v>
      </c>
      <c r="D285" s="59" t="s">
        <v>150</v>
      </c>
      <c r="E285" s="59" t="s">
        <v>150</v>
      </c>
      <c r="F285" s="59" t="s">
        <v>150</v>
      </c>
      <c r="G285" s="59" t="s">
        <v>150</v>
      </c>
      <c r="H285" s="59" t="s">
        <v>150</v>
      </c>
      <c r="L285" s="57" t="s">
        <v>153</v>
      </c>
      <c r="M285" s="59" t="s">
        <v>150</v>
      </c>
      <c r="N285" s="59" t="s">
        <v>150</v>
      </c>
      <c r="O285" s="59" t="s">
        <v>150</v>
      </c>
      <c r="P285" s="59" t="s">
        <v>150</v>
      </c>
      <c r="Q285" s="59" t="s">
        <v>150</v>
      </c>
      <c r="R285" s="59" t="s">
        <v>150</v>
      </c>
      <c r="S285" s="55"/>
      <c r="T285" s="56"/>
      <c r="V285" s="57" t="str">
        <f t="shared" si="256"/>
        <v>FICO 640-659</v>
      </c>
      <c r="W285" s="59" t="s">
        <v>150</v>
      </c>
      <c r="X285" s="59" t="s">
        <v>150</v>
      </c>
      <c r="Y285" s="59" t="s">
        <v>150</v>
      </c>
      <c r="Z285" s="59" t="s">
        <v>150</v>
      </c>
      <c r="AA285" s="59" t="s">
        <v>150</v>
      </c>
      <c r="AB285" s="59" t="s">
        <v>150</v>
      </c>
      <c r="AF285" s="57" t="str">
        <f t="shared" si="257"/>
        <v>FICO 640-659</v>
      </c>
      <c r="AG285" s="59" t="s">
        <v>150</v>
      </c>
      <c r="AH285" s="59" t="s">
        <v>150</v>
      </c>
      <c r="AI285" s="59" t="s">
        <v>150</v>
      </c>
      <c r="AJ285" s="59" t="s">
        <v>150</v>
      </c>
      <c r="AK285" s="59" t="s">
        <v>150</v>
      </c>
      <c r="AL285" s="59" t="s">
        <v>150</v>
      </c>
      <c r="AM285" s="55"/>
      <c r="AN285" s="56"/>
      <c r="AP285" s="57" t="str">
        <f t="shared" si="258"/>
        <v>FICO 640-659</v>
      </c>
      <c r="AQ285" s="59" t="s">
        <v>150</v>
      </c>
      <c r="AR285" s="59" t="s">
        <v>150</v>
      </c>
      <c r="AS285" s="59" t="s">
        <v>150</v>
      </c>
      <c r="AT285" s="59" t="s">
        <v>150</v>
      </c>
      <c r="AU285" s="59" t="s">
        <v>150</v>
      </c>
      <c r="AV285" s="59" t="s">
        <v>150</v>
      </c>
      <c r="AZ285" s="57" t="str">
        <f t="shared" si="259"/>
        <v>FICO 640-659</v>
      </c>
      <c r="BA285" s="59" t="s">
        <v>150</v>
      </c>
      <c r="BB285" s="59" t="s">
        <v>150</v>
      </c>
      <c r="BC285" s="59" t="s">
        <v>150</v>
      </c>
      <c r="BD285" s="59" t="s">
        <v>150</v>
      </c>
      <c r="BE285" s="59" t="s">
        <v>150</v>
      </c>
      <c r="BF285" s="59" t="s">
        <v>150</v>
      </c>
    </row>
    <row r="286" spans="2:58" ht="15" customHeight="1" x14ac:dyDescent="0.45">
      <c r="B286" s="46" t="s">
        <v>154</v>
      </c>
      <c r="C286" s="47">
        <f>C290+0.25%</f>
        <v>0.09</v>
      </c>
      <c r="D286" s="47">
        <f>C286</f>
        <v>0.09</v>
      </c>
      <c r="E286" s="49" t="s">
        <v>150</v>
      </c>
      <c r="F286" s="49" t="s">
        <v>150</v>
      </c>
      <c r="G286" s="49" t="s">
        <v>150</v>
      </c>
      <c r="H286" s="49" t="s">
        <v>150</v>
      </c>
      <c r="L286" s="46" t="s">
        <v>154</v>
      </c>
      <c r="M286" s="47">
        <f>M290+0.25%</f>
        <v>9.5000000000000001E-2</v>
      </c>
      <c r="N286" s="49" t="s">
        <v>150</v>
      </c>
      <c r="O286" s="49" t="s">
        <v>150</v>
      </c>
      <c r="P286" s="49" t="s">
        <v>150</v>
      </c>
      <c r="Q286" s="49" t="s">
        <v>150</v>
      </c>
      <c r="R286" s="49" t="s">
        <v>150</v>
      </c>
      <c r="S286" s="50"/>
      <c r="T286" s="51"/>
      <c r="V286" s="46" t="str">
        <f t="shared" si="256"/>
        <v>65.00%-70.00%</v>
      </c>
      <c r="W286" s="47">
        <f>W290+0.25%</f>
        <v>0.09</v>
      </c>
      <c r="X286" s="47">
        <f>W286</f>
        <v>0.09</v>
      </c>
      <c r="Y286" s="49" t="s">
        <v>150</v>
      </c>
      <c r="Z286" s="49" t="s">
        <v>150</v>
      </c>
      <c r="AA286" s="49" t="s">
        <v>150</v>
      </c>
      <c r="AB286" s="49" t="s">
        <v>150</v>
      </c>
      <c r="AF286" s="60" t="str">
        <f t="shared" si="257"/>
        <v>65.00%-70.00%</v>
      </c>
      <c r="AG286" s="47">
        <f>AG290+0.25%</f>
        <v>9.5000000000000001E-2</v>
      </c>
      <c r="AH286" s="49" t="s">
        <v>150</v>
      </c>
      <c r="AI286" s="49" t="s">
        <v>150</v>
      </c>
      <c r="AJ286" s="49" t="s">
        <v>150</v>
      </c>
      <c r="AK286" s="49" t="s">
        <v>150</v>
      </c>
      <c r="AL286" s="49" t="s">
        <v>150</v>
      </c>
      <c r="AM286" s="50"/>
      <c r="AN286" s="51"/>
      <c r="AP286" s="46" t="str">
        <f t="shared" si="258"/>
        <v>65.00%-70.00%</v>
      </c>
      <c r="AQ286" s="47">
        <f>AQ290+0.25%</f>
        <v>0.09</v>
      </c>
      <c r="AR286" s="47">
        <f>AQ286</f>
        <v>0.09</v>
      </c>
      <c r="AS286" s="49" t="s">
        <v>150</v>
      </c>
      <c r="AT286" s="49" t="s">
        <v>150</v>
      </c>
      <c r="AU286" s="49" t="s">
        <v>150</v>
      </c>
      <c r="AV286" s="49" t="s">
        <v>150</v>
      </c>
      <c r="AZ286" s="46" t="str">
        <f t="shared" si="259"/>
        <v>65.00%-70.00%</v>
      </c>
      <c r="BA286" s="47">
        <f>BA290+0.25%</f>
        <v>9.5000000000000001E-2</v>
      </c>
      <c r="BB286" s="49" t="s">
        <v>150</v>
      </c>
      <c r="BC286" s="49" t="s">
        <v>150</v>
      </c>
      <c r="BD286" s="49" t="s">
        <v>150</v>
      </c>
      <c r="BE286" s="49" t="s">
        <v>150</v>
      </c>
      <c r="BF286" s="49" t="s">
        <v>150</v>
      </c>
    </row>
    <row r="287" spans="2:58" ht="15" customHeight="1" x14ac:dyDescent="0.45">
      <c r="B287" s="52" t="s">
        <v>151</v>
      </c>
      <c r="C287" s="53">
        <f>C286+0</f>
        <v>0.09</v>
      </c>
      <c r="D287" s="53">
        <f>D286+0</f>
        <v>0.09</v>
      </c>
      <c r="E287" s="54" t="s">
        <v>150</v>
      </c>
      <c r="F287" s="54" t="s">
        <v>150</v>
      </c>
      <c r="G287" s="54" t="s">
        <v>150</v>
      </c>
      <c r="H287" s="54" t="s">
        <v>150</v>
      </c>
      <c r="L287" s="52" t="s">
        <v>151</v>
      </c>
      <c r="M287" s="53">
        <f>M286+0</f>
        <v>9.5000000000000001E-2</v>
      </c>
      <c r="N287" s="54" t="s">
        <v>150</v>
      </c>
      <c r="O287" s="54" t="s">
        <v>150</v>
      </c>
      <c r="P287" s="54" t="s">
        <v>150</v>
      </c>
      <c r="Q287" s="54" t="s">
        <v>150</v>
      </c>
      <c r="R287" s="54" t="s">
        <v>150</v>
      </c>
      <c r="S287" s="55"/>
      <c r="T287" s="56"/>
      <c r="V287" s="52" t="str">
        <f t="shared" si="256"/>
        <v>FICO 700+</v>
      </c>
      <c r="W287" s="53">
        <f>W286+0</f>
        <v>0.09</v>
      </c>
      <c r="X287" s="53">
        <f>X286+0</f>
        <v>0.09</v>
      </c>
      <c r="Y287" s="54" t="s">
        <v>150</v>
      </c>
      <c r="Z287" s="54" t="s">
        <v>150</v>
      </c>
      <c r="AA287" s="54" t="s">
        <v>150</v>
      </c>
      <c r="AB287" s="54" t="s">
        <v>150</v>
      </c>
      <c r="AF287" s="52" t="str">
        <f t="shared" si="257"/>
        <v>FICO 700+</v>
      </c>
      <c r="AG287" s="53">
        <f>AG286+0</f>
        <v>9.5000000000000001E-2</v>
      </c>
      <c r="AH287" s="54" t="s">
        <v>150</v>
      </c>
      <c r="AI287" s="54" t="s">
        <v>150</v>
      </c>
      <c r="AJ287" s="54" t="s">
        <v>150</v>
      </c>
      <c r="AK287" s="54" t="s">
        <v>150</v>
      </c>
      <c r="AL287" s="54" t="s">
        <v>150</v>
      </c>
      <c r="AM287" s="55"/>
      <c r="AN287" s="56"/>
      <c r="AP287" s="52" t="str">
        <f t="shared" si="258"/>
        <v>FICO 700+</v>
      </c>
      <c r="AQ287" s="53">
        <f>AQ286+0</f>
        <v>0.09</v>
      </c>
      <c r="AR287" s="53">
        <f>AR286+0</f>
        <v>0.09</v>
      </c>
      <c r="AS287" s="54" t="s">
        <v>150</v>
      </c>
      <c r="AT287" s="54" t="s">
        <v>150</v>
      </c>
      <c r="AU287" s="54" t="s">
        <v>150</v>
      </c>
      <c r="AV287" s="54" t="s">
        <v>150</v>
      </c>
      <c r="AZ287" s="52" t="str">
        <f t="shared" si="259"/>
        <v>FICO 700+</v>
      </c>
      <c r="BA287" s="53">
        <f>BA286+0</f>
        <v>9.5000000000000001E-2</v>
      </c>
      <c r="BB287" s="54" t="s">
        <v>150</v>
      </c>
      <c r="BC287" s="54" t="s">
        <v>150</v>
      </c>
      <c r="BD287" s="54" t="s">
        <v>150</v>
      </c>
      <c r="BE287" s="54" t="s">
        <v>150</v>
      </c>
      <c r="BF287" s="54" t="s">
        <v>150</v>
      </c>
    </row>
    <row r="288" spans="2:58" ht="15" customHeight="1" x14ac:dyDescent="0.45">
      <c r="B288" s="52" t="s">
        <v>152</v>
      </c>
      <c r="C288" s="53">
        <f>C286+0.25%</f>
        <v>9.2499999999999999E-2</v>
      </c>
      <c r="D288" s="53">
        <f>D286+0.25%</f>
        <v>9.2499999999999999E-2</v>
      </c>
      <c r="E288" s="54" t="s">
        <v>150</v>
      </c>
      <c r="F288" s="54" t="s">
        <v>150</v>
      </c>
      <c r="G288" s="54" t="s">
        <v>150</v>
      </c>
      <c r="H288" s="54" t="s">
        <v>150</v>
      </c>
      <c r="L288" s="52" t="s">
        <v>152</v>
      </c>
      <c r="M288" s="53">
        <f>M286+0.25%</f>
        <v>9.7500000000000003E-2</v>
      </c>
      <c r="N288" s="54" t="s">
        <v>150</v>
      </c>
      <c r="O288" s="54" t="s">
        <v>150</v>
      </c>
      <c r="P288" s="54" t="s">
        <v>150</v>
      </c>
      <c r="Q288" s="54" t="s">
        <v>150</v>
      </c>
      <c r="R288" s="54" t="s">
        <v>150</v>
      </c>
      <c r="S288" s="55"/>
      <c r="T288" s="56"/>
      <c r="V288" s="52" t="str">
        <f t="shared" si="256"/>
        <v>FICO 660-699</v>
      </c>
      <c r="W288" s="53">
        <f>W286+0.25%</f>
        <v>9.2499999999999999E-2</v>
      </c>
      <c r="X288" s="53">
        <f>X286+0.25%</f>
        <v>9.2499999999999999E-2</v>
      </c>
      <c r="Y288" s="54" t="s">
        <v>150</v>
      </c>
      <c r="Z288" s="54" t="s">
        <v>150</v>
      </c>
      <c r="AA288" s="54" t="s">
        <v>150</v>
      </c>
      <c r="AB288" s="54" t="s">
        <v>150</v>
      </c>
      <c r="AF288" s="52" t="str">
        <f t="shared" si="257"/>
        <v>FICO 660-699</v>
      </c>
      <c r="AG288" s="53">
        <f>AG286+0.25%</f>
        <v>9.7500000000000003E-2</v>
      </c>
      <c r="AH288" s="54" t="s">
        <v>150</v>
      </c>
      <c r="AI288" s="54" t="s">
        <v>150</v>
      </c>
      <c r="AJ288" s="54" t="s">
        <v>150</v>
      </c>
      <c r="AK288" s="54" t="s">
        <v>150</v>
      </c>
      <c r="AL288" s="54" t="s">
        <v>150</v>
      </c>
      <c r="AM288" s="55"/>
      <c r="AN288" s="56"/>
      <c r="AP288" s="52" t="str">
        <f t="shared" si="258"/>
        <v>FICO 660-699</v>
      </c>
      <c r="AQ288" s="53">
        <f>AQ286+0.25%</f>
        <v>9.2499999999999999E-2</v>
      </c>
      <c r="AR288" s="53">
        <f>AR286+0.25%</f>
        <v>9.2499999999999999E-2</v>
      </c>
      <c r="AS288" s="54" t="s">
        <v>150</v>
      </c>
      <c r="AT288" s="54" t="s">
        <v>150</v>
      </c>
      <c r="AU288" s="54" t="s">
        <v>150</v>
      </c>
      <c r="AV288" s="54" t="s">
        <v>150</v>
      </c>
      <c r="AZ288" s="52" t="str">
        <f t="shared" si="259"/>
        <v>FICO 660-699</v>
      </c>
      <c r="BA288" s="53">
        <f>BA286+0.25%</f>
        <v>9.7500000000000003E-2</v>
      </c>
      <c r="BB288" s="54" t="s">
        <v>150</v>
      </c>
      <c r="BC288" s="54" t="s">
        <v>150</v>
      </c>
      <c r="BD288" s="54" t="s">
        <v>150</v>
      </c>
      <c r="BE288" s="54" t="s">
        <v>150</v>
      </c>
      <c r="BF288" s="54" t="s">
        <v>150</v>
      </c>
    </row>
    <row r="289" spans="2:58" ht="15" customHeight="1" x14ac:dyDescent="0.45">
      <c r="B289" s="57" t="s">
        <v>153</v>
      </c>
      <c r="C289" s="59" t="s">
        <v>150</v>
      </c>
      <c r="D289" s="59" t="s">
        <v>150</v>
      </c>
      <c r="E289" s="59" t="s">
        <v>150</v>
      </c>
      <c r="F289" s="59" t="s">
        <v>150</v>
      </c>
      <c r="G289" s="59" t="s">
        <v>150</v>
      </c>
      <c r="H289" s="59" t="s">
        <v>150</v>
      </c>
      <c r="L289" s="57" t="s">
        <v>153</v>
      </c>
      <c r="M289" s="59" t="s">
        <v>150</v>
      </c>
      <c r="N289" s="59" t="s">
        <v>150</v>
      </c>
      <c r="O289" s="59" t="s">
        <v>150</v>
      </c>
      <c r="P289" s="59" t="s">
        <v>150</v>
      </c>
      <c r="Q289" s="59" t="s">
        <v>150</v>
      </c>
      <c r="R289" s="59" t="s">
        <v>150</v>
      </c>
      <c r="S289" s="55"/>
      <c r="T289" s="56"/>
      <c r="V289" s="57" t="s">
        <v>153</v>
      </c>
      <c r="W289" s="59" t="s">
        <v>150</v>
      </c>
      <c r="X289" s="59" t="s">
        <v>150</v>
      </c>
      <c r="Y289" s="59" t="s">
        <v>150</v>
      </c>
      <c r="Z289" s="59" t="s">
        <v>150</v>
      </c>
      <c r="AA289" s="59" t="s">
        <v>150</v>
      </c>
      <c r="AB289" s="59" t="s">
        <v>150</v>
      </c>
      <c r="AF289" s="57" t="str">
        <f t="shared" si="257"/>
        <v>FICO 640-659</v>
      </c>
      <c r="AG289" s="59" t="s">
        <v>150</v>
      </c>
      <c r="AH289" s="59" t="s">
        <v>150</v>
      </c>
      <c r="AI289" s="59" t="s">
        <v>150</v>
      </c>
      <c r="AJ289" s="59" t="s">
        <v>150</v>
      </c>
      <c r="AK289" s="59" t="s">
        <v>150</v>
      </c>
      <c r="AL289" s="59" t="s">
        <v>150</v>
      </c>
      <c r="AM289" s="55"/>
      <c r="AN289" s="56"/>
      <c r="AP289" s="57" t="str">
        <f t="shared" si="258"/>
        <v>FICO 640-659</v>
      </c>
      <c r="AQ289" s="59" t="s">
        <v>150</v>
      </c>
      <c r="AR289" s="59" t="s">
        <v>150</v>
      </c>
      <c r="AS289" s="59" t="s">
        <v>150</v>
      </c>
      <c r="AT289" s="59" t="s">
        <v>150</v>
      </c>
      <c r="AU289" s="59" t="s">
        <v>150</v>
      </c>
      <c r="AV289" s="59" t="s">
        <v>150</v>
      </c>
      <c r="AZ289" s="57" t="str">
        <f t="shared" si="259"/>
        <v>FICO 640-659</v>
      </c>
      <c r="BA289" s="59" t="s">
        <v>150</v>
      </c>
      <c r="BB289" s="59" t="s">
        <v>150</v>
      </c>
      <c r="BC289" s="59" t="s">
        <v>150</v>
      </c>
      <c r="BD289" s="59" t="s">
        <v>150</v>
      </c>
      <c r="BE289" s="59" t="s">
        <v>150</v>
      </c>
      <c r="BF289" s="59" t="s">
        <v>150</v>
      </c>
    </row>
    <row r="290" spans="2:58" ht="15" customHeight="1" x14ac:dyDescent="0.45">
      <c r="B290" s="60" t="s">
        <v>155</v>
      </c>
      <c r="C290" s="72">
        <v>8.7499999999999994E-2</v>
      </c>
      <c r="D290" s="47">
        <f>C290+0.25%</f>
        <v>0.09</v>
      </c>
      <c r="E290" s="49" t="s">
        <v>150</v>
      </c>
      <c r="F290" s="49" t="s">
        <v>150</v>
      </c>
      <c r="G290" s="49" t="s">
        <v>150</v>
      </c>
      <c r="H290" s="49" t="s">
        <v>150</v>
      </c>
      <c r="L290" s="60" t="s">
        <v>155</v>
      </c>
      <c r="M290" s="72">
        <v>9.2499999999999999E-2</v>
      </c>
      <c r="N290" s="49" t="s">
        <v>150</v>
      </c>
      <c r="O290" s="49" t="s">
        <v>150</v>
      </c>
      <c r="P290" s="49" t="s">
        <v>150</v>
      </c>
      <c r="Q290" s="49" t="s">
        <v>150</v>
      </c>
      <c r="R290" s="49" t="s">
        <v>150</v>
      </c>
      <c r="S290" s="50"/>
      <c r="T290" s="51"/>
      <c r="V290" s="60" t="s">
        <v>155</v>
      </c>
      <c r="W290" s="73">
        <v>8.7499999999999994E-2</v>
      </c>
      <c r="X290" s="47">
        <f>W290+0.25%</f>
        <v>0.09</v>
      </c>
      <c r="Y290" s="49" t="s">
        <v>150</v>
      </c>
      <c r="Z290" s="49" t="s">
        <v>150</v>
      </c>
      <c r="AA290" s="49" t="s">
        <v>150</v>
      </c>
      <c r="AB290" s="49" t="s">
        <v>150</v>
      </c>
      <c r="AF290" s="60" t="str">
        <f t="shared" si="257"/>
        <v>&lt;64.99%</v>
      </c>
      <c r="AG290" s="73">
        <v>9.2499999999999999E-2</v>
      </c>
      <c r="AH290" s="49" t="s">
        <v>150</v>
      </c>
      <c r="AI290" s="49" t="s">
        <v>150</v>
      </c>
      <c r="AJ290" s="49" t="s">
        <v>150</v>
      </c>
      <c r="AK290" s="49" t="s">
        <v>150</v>
      </c>
      <c r="AL290" s="49" t="s">
        <v>150</v>
      </c>
      <c r="AM290" s="50"/>
      <c r="AN290" s="51"/>
      <c r="AP290" s="60" t="str">
        <f t="shared" si="258"/>
        <v>&lt;64.99%</v>
      </c>
      <c r="AQ290" s="73">
        <v>8.7499999999999994E-2</v>
      </c>
      <c r="AR290" s="47">
        <f>AQ290+0.25%</f>
        <v>0.09</v>
      </c>
      <c r="AS290" s="49" t="s">
        <v>150</v>
      </c>
      <c r="AT290" s="49" t="s">
        <v>150</v>
      </c>
      <c r="AU290" s="49" t="s">
        <v>150</v>
      </c>
      <c r="AV290" s="49" t="s">
        <v>150</v>
      </c>
      <c r="AZ290" s="60" t="str">
        <f t="shared" si="259"/>
        <v>&lt;64.99%</v>
      </c>
      <c r="BA290" s="73">
        <v>9.2499999999999999E-2</v>
      </c>
      <c r="BB290" s="49" t="s">
        <v>150</v>
      </c>
      <c r="BC290" s="49" t="s">
        <v>150</v>
      </c>
      <c r="BD290" s="49" t="s">
        <v>150</v>
      </c>
      <c r="BE290" s="49" t="s">
        <v>150</v>
      </c>
      <c r="BF290" s="49" t="s">
        <v>150</v>
      </c>
    </row>
    <row r="291" spans="2:58" ht="15" customHeight="1" x14ac:dyDescent="0.45">
      <c r="B291" s="52" t="s">
        <v>151</v>
      </c>
      <c r="C291" s="53">
        <f>C290+0</f>
        <v>8.7499999999999994E-2</v>
      </c>
      <c r="D291" s="53">
        <f>D290+0</f>
        <v>0.09</v>
      </c>
      <c r="E291" s="54" t="s">
        <v>150</v>
      </c>
      <c r="F291" s="54" t="s">
        <v>150</v>
      </c>
      <c r="G291" s="54" t="s">
        <v>150</v>
      </c>
      <c r="H291" s="54" t="s">
        <v>150</v>
      </c>
      <c r="L291" s="52" t="s">
        <v>151</v>
      </c>
      <c r="M291" s="53">
        <f>M290+0</f>
        <v>9.2499999999999999E-2</v>
      </c>
      <c r="N291" s="54" t="s">
        <v>150</v>
      </c>
      <c r="O291" s="54" t="s">
        <v>150</v>
      </c>
      <c r="P291" s="54" t="s">
        <v>150</v>
      </c>
      <c r="Q291" s="54" t="s">
        <v>150</v>
      </c>
      <c r="R291" s="54" t="s">
        <v>150</v>
      </c>
      <c r="S291" s="55"/>
      <c r="T291" s="56"/>
      <c r="V291" s="52" t="s">
        <v>151</v>
      </c>
      <c r="W291" s="53">
        <f>W290+0</f>
        <v>8.7499999999999994E-2</v>
      </c>
      <c r="X291" s="53">
        <f>X290+0</f>
        <v>0.09</v>
      </c>
      <c r="Y291" s="54" t="s">
        <v>150</v>
      </c>
      <c r="Z291" s="54" t="s">
        <v>150</v>
      </c>
      <c r="AA291" s="54" t="s">
        <v>150</v>
      </c>
      <c r="AB291" s="54" t="s">
        <v>150</v>
      </c>
      <c r="AF291" s="52" t="str">
        <f t="shared" si="257"/>
        <v>FICO 700+</v>
      </c>
      <c r="AG291" s="53">
        <f>AG290+0</f>
        <v>9.2499999999999999E-2</v>
      </c>
      <c r="AH291" s="54" t="s">
        <v>150</v>
      </c>
      <c r="AI291" s="54" t="s">
        <v>150</v>
      </c>
      <c r="AJ291" s="54" t="s">
        <v>150</v>
      </c>
      <c r="AK291" s="54" t="s">
        <v>150</v>
      </c>
      <c r="AL291" s="54" t="s">
        <v>150</v>
      </c>
      <c r="AM291" s="55"/>
      <c r="AN291" s="56"/>
      <c r="AP291" s="52" t="str">
        <f t="shared" si="258"/>
        <v>FICO 700+</v>
      </c>
      <c r="AQ291" s="53">
        <f>AQ290+0</f>
        <v>8.7499999999999994E-2</v>
      </c>
      <c r="AR291" s="53">
        <f>AR290+0</f>
        <v>0.09</v>
      </c>
      <c r="AS291" s="54" t="s">
        <v>150</v>
      </c>
      <c r="AT291" s="54" t="s">
        <v>150</v>
      </c>
      <c r="AU291" s="54" t="s">
        <v>150</v>
      </c>
      <c r="AV291" s="54" t="s">
        <v>150</v>
      </c>
      <c r="AZ291" s="52" t="str">
        <f t="shared" si="259"/>
        <v>FICO 700+</v>
      </c>
      <c r="BA291" s="53">
        <f>BA290+0</f>
        <v>9.2499999999999999E-2</v>
      </c>
      <c r="BB291" s="54" t="s">
        <v>150</v>
      </c>
      <c r="BC291" s="54" t="s">
        <v>150</v>
      </c>
      <c r="BD291" s="54" t="s">
        <v>150</v>
      </c>
      <c r="BE291" s="54" t="s">
        <v>150</v>
      </c>
      <c r="BF291" s="54" t="s">
        <v>150</v>
      </c>
    </row>
    <row r="292" spans="2:58" ht="15" customHeight="1" x14ac:dyDescent="0.45">
      <c r="B292" s="52" t="s">
        <v>152</v>
      </c>
      <c r="C292" s="53">
        <f>C290+0.25%</f>
        <v>0.09</v>
      </c>
      <c r="D292" s="53">
        <f>D290+0.25%</f>
        <v>9.2499999999999999E-2</v>
      </c>
      <c r="E292" s="54" t="s">
        <v>150</v>
      </c>
      <c r="F292" s="54" t="s">
        <v>150</v>
      </c>
      <c r="G292" s="54" t="s">
        <v>150</v>
      </c>
      <c r="H292" s="54" t="s">
        <v>150</v>
      </c>
      <c r="L292" s="52" t="s">
        <v>152</v>
      </c>
      <c r="M292" s="53">
        <f>M290+0.25%</f>
        <v>9.5000000000000001E-2</v>
      </c>
      <c r="N292" s="54" t="s">
        <v>150</v>
      </c>
      <c r="O292" s="54" t="s">
        <v>150</v>
      </c>
      <c r="P292" s="54" t="s">
        <v>150</v>
      </c>
      <c r="Q292" s="54" t="s">
        <v>150</v>
      </c>
      <c r="R292" s="54" t="s">
        <v>150</v>
      </c>
      <c r="S292" s="55"/>
      <c r="T292" s="56"/>
      <c r="V292" s="52" t="s">
        <v>152</v>
      </c>
      <c r="W292" s="53">
        <f>W290+0.25%</f>
        <v>0.09</v>
      </c>
      <c r="X292" s="53">
        <f>X290+0.25%</f>
        <v>9.2499999999999999E-2</v>
      </c>
      <c r="Y292" s="54" t="s">
        <v>150</v>
      </c>
      <c r="Z292" s="54" t="s">
        <v>150</v>
      </c>
      <c r="AA292" s="54" t="s">
        <v>150</v>
      </c>
      <c r="AB292" s="54" t="s">
        <v>150</v>
      </c>
      <c r="AF292" s="52" t="str">
        <f t="shared" si="257"/>
        <v>FICO 660-699</v>
      </c>
      <c r="AG292" s="53">
        <f>AG290+0.25%</f>
        <v>9.5000000000000001E-2</v>
      </c>
      <c r="AH292" s="54" t="s">
        <v>150</v>
      </c>
      <c r="AI292" s="54" t="s">
        <v>150</v>
      </c>
      <c r="AJ292" s="54" t="s">
        <v>150</v>
      </c>
      <c r="AK292" s="54" t="s">
        <v>150</v>
      </c>
      <c r="AL292" s="54" t="s">
        <v>150</v>
      </c>
      <c r="AM292" s="55"/>
      <c r="AN292" s="56"/>
      <c r="AP292" s="52" t="str">
        <f t="shared" si="258"/>
        <v>FICO 660-699</v>
      </c>
      <c r="AQ292" s="53">
        <f>AQ290+0.25%</f>
        <v>0.09</v>
      </c>
      <c r="AR292" s="53">
        <f>AR290+0.25%</f>
        <v>9.2499999999999999E-2</v>
      </c>
      <c r="AS292" s="54" t="s">
        <v>150</v>
      </c>
      <c r="AT292" s="54" t="s">
        <v>150</v>
      </c>
      <c r="AU292" s="54" t="s">
        <v>150</v>
      </c>
      <c r="AV292" s="54" t="s">
        <v>150</v>
      </c>
      <c r="AZ292" s="52" t="str">
        <f t="shared" si="259"/>
        <v>FICO 660-699</v>
      </c>
      <c r="BA292" s="53">
        <f>BA290+0.25%</f>
        <v>9.5000000000000001E-2</v>
      </c>
      <c r="BB292" s="54" t="s">
        <v>150</v>
      </c>
      <c r="BC292" s="54" t="s">
        <v>150</v>
      </c>
      <c r="BD292" s="54" t="s">
        <v>150</v>
      </c>
      <c r="BE292" s="54" t="s">
        <v>150</v>
      </c>
      <c r="BF292" s="54" t="s">
        <v>150</v>
      </c>
    </row>
    <row r="293" spans="2:58" ht="15" customHeight="1" x14ac:dyDescent="0.45">
      <c r="B293" s="52" t="s">
        <v>153</v>
      </c>
      <c r="C293" s="54" t="s">
        <v>150</v>
      </c>
      <c r="D293" s="54" t="s">
        <v>150</v>
      </c>
      <c r="E293" s="54" t="s">
        <v>150</v>
      </c>
      <c r="F293" s="54" t="s">
        <v>150</v>
      </c>
      <c r="G293" s="54" t="s">
        <v>150</v>
      </c>
      <c r="H293" s="54" t="s">
        <v>150</v>
      </c>
      <c r="L293" s="52" t="s">
        <v>153</v>
      </c>
      <c r="M293" s="54" t="s">
        <v>150</v>
      </c>
      <c r="N293" s="54" t="s">
        <v>150</v>
      </c>
      <c r="O293" s="54" t="s">
        <v>150</v>
      </c>
      <c r="P293" s="54" t="s">
        <v>150</v>
      </c>
      <c r="Q293" s="54" t="s">
        <v>150</v>
      </c>
      <c r="R293" s="54" t="s">
        <v>150</v>
      </c>
      <c r="S293" s="55"/>
      <c r="T293" s="56"/>
      <c r="V293" s="52" t="s">
        <v>153</v>
      </c>
      <c r="W293" s="54" t="s">
        <v>150</v>
      </c>
      <c r="X293" s="54" t="s">
        <v>150</v>
      </c>
      <c r="Y293" s="54" t="s">
        <v>150</v>
      </c>
      <c r="Z293" s="54" t="s">
        <v>150</v>
      </c>
      <c r="AA293" s="54" t="s">
        <v>150</v>
      </c>
      <c r="AB293" s="54" t="s">
        <v>150</v>
      </c>
      <c r="AF293" s="52" t="s">
        <v>153</v>
      </c>
      <c r="AG293" s="54" t="s">
        <v>150</v>
      </c>
      <c r="AH293" s="54" t="s">
        <v>150</v>
      </c>
      <c r="AI293" s="54" t="s">
        <v>150</v>
      </c>
      <c r="AJ293" s="54" t="s">
        <v>150</v>
      </c>
      <c r="AK293" s="54" t="s">
        <v>150</v>
      </c>
      <c r="AL293" s="54" t="s">
        <v>150</v>
      </c>
      <c r="AM293" s="55"/>
      <c r="AN293" s="56"/>
      <c r="AP293" s="52" t="str">
        <f t="shared" si="258"/>
        <v>FICO 640-659</v>
      </c>
      <c r="AQ293" s="54" t="s">
        <v>150</v>
      </c>
      <c r="AR293" s="54" t="s">
        <v>150</v>
      </c>
      <c r="AS293" s="54" t="s">
        <v>150</v>
      </c>
      <c r="AT293" s="54" t="s">
        <v>150</v>
      </c>
      <c r="AU293" s="54" t="s">
        <v>150</v>
      </c>
      <c r="AV293" s="54" t="s">
        <v>150</v>
      </c>
      <c r="AZ293" s="52" t="str">
        <f t="shared" si="259"/>
        <v>FICO 640-659</v>
      </c>
      <c r="BA293" s="54" t="s">
        <v>150</v>
      </c>
      <c r="BB293" s="54" t="s">
        <v>150</v>
      </c>
      <c r="BC293" s="54" t="s">
        <v>150</v>
      </c>
      <c r="BD293" s="54" t="s">
        <v>150</v>
      </c>
      <c r="BE293" s="54" t="s">
        <v>150</v>
      </c>
      <c r="BF293" s="54" t="s">
        <v>150</v>
      </c>
    </row>
    <row r="295" spans="2:58" ht="15.75" customHeight="1" x14ac:dyDescent="0.45">
      <c r="B295" s="94" t="s">
        <v>167</v>
      </c>
      <c r="C295" s="94"/>
      <c r="D295" s="94"/>
      <c r="E295" s="94"/>
      <c r="F295" s="94"/>
      <c r="G295" s="94"/>
      <c r="H295" s="94"/>
      <c r="L295" s="94" t="s">
        <v>167</v>
      </c>
      <c r="M295" s="94"/>
      <c r="N295" s="94"/>
      <c r="O295" s="94"/>
      <c r="P295" s="94"/>
      <c r="Q295" s="94"/>
      <c r="R295" s="94"/>
      <c r="S295" s="39"/>
      <c r="T295" s="40"/>
      <c r="V295" s="94" t="s">
        <v>167</v>
      </c>
      <c r="W295" s="94"/>
      <c r="X295" s="94"/>
      <c r="Y295" s="94"/>
      <c r="Z295" s="94"/>
      <c r="AA295" s="94"/>
      <c r="AB295" s="94"/>
      <c r="AF295" s="94" t="s">
        <v>167</v>
      </c>
      <c r="AG295" s="94"/>
      <c r="AH295" s="94"/>
      <c r="AI295" s="94"/>
      <c r="AJ295" s="94"/>
      <c r="AK295" s="94"/>
      <c r="AL295" s="94"/>
      <c r="AM295" s="39"/>
      <c r="AN295" s="40"/>
      <c r="AP295" s="94" t="s">
        <v>167</v>
      </c>
      <c r="AQ295" s="94"/>
      <c r="AR295" s="94"/>
      <c r="AS295" s="94"/>
      <c r="AT295" s="94"/>
      <c r="AU295" s="94"/>
      <c r="AV295" s="94"/>
      <c r="AZ295" s="94" t="s">
        <v>167</v>
      </c>
      <c r="BA295" s="94"/>
      <c r="BB295" s="94"/>
      <c r="BC295" s="94"/>
      <c r="BD295" s="94"/>
      <c r="BE295" s="94"/>
      <c r="BF295" s="94"/>
    </row>
    <row r="296" spans="2:58" ht="15" customHeight="1" x14ac:dyDescent="0.45">
      <c r="B296" s="45"/>
      <c r="C296" s="95" t="s">
        <v>50</v>
      </c>
      <c r="D296" s="95"/>
      <c r="E296" s="95"/>
      <c r="F296" s="95"/>
      <c r="G296" s="95"/>
      <c r="H296" s="95"/>
      <c r="L296" s="45"/>
      <c r="M296" s="95" t="s">
        <v>50</v>
      </c>
      <c r="N296" s="95"/>
      <c r="O296" s="95"/>
      <c r="P296" s="95"/>
      <c r="Q296" s="95"/>
      <c r="R296" s="95"/>
      <c r="S296" s="41"/>
      <c r="T296" s="43"/>
      <c r="V296" s="45"/>
      <c r="W296" s="95" t="str">
        <f>C296</f>
        <v>LTC</v>
      </c>
      <c r="X296" s="95"/>
      <c r="Y296" s="95"/>
      <c r="Z296" s="95"/>
      <c r="AA296" s="95"/>
      <c r="AB296" s="95"/>
      <c r="AF296" s="45"/>
      <c r="AG296" s="95" t="str">
        <f>W296</f>
        <v>LTC</v>
      </c>
      <c r="AH296" s="95"/>
      <c r="AI296" s="95"/>
      <c r="AJ296" s="95"/>
      <c r="AK296" s="95"/>
      <c r="AL296" s="95"/>
      <c r="AM296" s="41"/>
      <c r="AN296" s="43"/>
      <c r="AP296" s="45"/>
      <c r="AQ296" s="95" t="str">
        <f>C296</f>
        <v>LTC</v>
      </c>
      <c r="AR296" s="95"/>
      <c r="AS296" s="95"/>
      <c r="AT296" s="95"/>
      <c r="AU296" s="95"/>
      <c r="AV296" s="95"/>
      <c r="AZ296" s="45"/>
      <c r="BA296" s="95" t="str">
        <f>C296</f>
        <v>LTC</v>
      </c>
      <c r="BB296" s="95"/>
      <c r="BC296" s="95"/>
      <c r="BD296" s="95"/>
      <c r="BE296" s="95"/>
      <c r="BF296" s="95"/>
    </row>
    <row r="297" spans="2:58" ht="15" customHeight="1" x14ac:dyDescent="0.45">
      <c r="B297" s="44" t="s">
        <v>52</v>
      </c>
      <c r="C297" s="70" t="s">
        <v>143</v>
      </c>
      <c r="D297" s="70" t="s">
        <v>144</v>
      </c>
      <c r="E297" s="70" t="s">
        <v>145</v>
      </c>
      <c r="F297" s="70" t="s">
        <v>146</v>
      </c>
      <c r="G297" s="70" t="s">
        <v>147</v>
      </c>
      <c r="H297" s="70" t="s">
        <v>148</v>
      </c>
      <c r="L297" s="71" t="s">
        <v>52</v>
      </c>
      <c r="M297" s="45" t="s">
        <v>143</v>
      </c>
      <c r="N297" s="45" t="s">
        <v>144</v>
      </c>
      <c r="O297" s="45" t="s">
        <v>145</v>
      </c>
      <c r="P297" s="45" t="s">
        <v>146</v>
      </c>
      <c r="Q297" s="45" t="s">
        <v>147</v>
      </c>
      <c r="R297" s="45" t="s">
        <v>148</v>
      </c>
      <c r="S297" s="41"/>
      <c r="T297" s="43"/>
      <c r="V297" s="44" t="str">
        <f t="shared" ref="V297:V309" si="260">B297</f>
        <v>AR-LTV</v>
      </c>
      <c r="W297" s="70" t="str">
        <f>C297</f>
        <v>&lt;74.99%</v>
      </c>
      <c r="X297" s="70" t="str">
        <f>D297</f>
        <v>75.00%-80.00%</v>
      </c>
      <c r="Y297" s="70" t="str">
        <f>E297</f>
        <v>80.01%-85.00%</v>
      </c>
      <c r="Z297" s="70" t="str">
        <f>F297</f>
        <v>85.01%-87.50%</v>
      </c>
      <c r="AA297" s="70" t="str">
        <f>G297</f>
        <v>87.51%-89.99%</v>
      </c>
      <c r="AB297" s="70" t="str">
        <f>H297</f>
        <v>90.00%-92.50%</v>
      </c>
      <c r="AF297" s="44" t="str">
        <f t="shared" ref="AF297:AF313" si="261">V297</f>
        <v>AR-LTV</v>
      </c>
      <c r="AG297" s="45" t="str">
        <f>W297</f>
        <v>&lt;74.99%</v>
      </c>
      <c r="AH297" s="45" t="str">
        <f>X297</f>
        <v>75.00%-80.00%</v>
      </c>
      <c r="AI297" s="45" t="str">
        <f>Y297</f>
        <v>80.01%-85.00%</v>
      </c>
      <c r="AJ297" s="45" t="str">
        <f>Z297</f>
        <v>85.01%-87.50%</v>
      </c>
      <c r="AK297" s="45" t="str">
        <f>AA297</f>
        <v>87.51%-89.99%</v>
      </c>
      <c r="AL297" s="45" t="str">
        <f>AB297</f>
        <v>90.00%-92.50%</v>
      </c>
      <c r="AM297" s="41"/>
      <c r="AN297" s="43"/>
      <c r="AP297" s="44" t="str">
        <f t="shared" ref="AP297:AP313" si="262">B297</f>
        <v>AR-LTV</v>
      </c>
      <c r="AQ297" s="70" t="str">
        <f>C297</f>
        <v>&lt;74.99%</v>
      </c>
      <c r="AR297" s="70" t="str">
        <f>D297</f>
        <v>75.00%-80.00%</v>
      </c>
      <c r="AS297" s="70" t="str">
        <f>E297</f>
        <v>80.01%-85.00%</v>
      </c>
      <c r="AT297" s="70" t="str">
        <f>F297</f>
        <v>85.01%-87.50%</v>
      </c>
      <c r="AU297" s="70" t="str">
        <f>G297</f>
        <v>87.51%-89.99%</v>
      </c>
      <c r="AV297" s="70" t="str">
        <f>H297</f>
        <v>90.00%-92.50%</v>
      </c>
      <c r="AZ297" s="71" t="str">
        <f t="shared" ref="AZ297:AZ313" si="263">B297</f>
        <v>AR-LTV</v>
      </c>
      <c r="BA297" s="45" t="str">
        <f>C297</f>
        <v>&lt;74.99%</v>
      </c>
      <c r="BB297" s="45" t="str">
        <f>D297</f>
        <v>75.00%-80.00%</v>
      </c>
      <c r="BC297" s="45" t="str">
        <f>E297</f>
        <v>80.01%-85.00%</v>
      </c>
      <c r="BD297" s="45" t="str">
        <f>F297</f>
        <v>85.01%-87.50%</v>
      </c>
      <c r="BE297" s="45" t="str">
        <f>G297</f>
        <v>87.51%-89.99%</v>
      </c>
      <c r="BF297" s="45" t="str">
        <f>H297</f>
        <v>90.00%-92.50%</v>
      </c>
    </row>
    <row r="298" spans="2:58" ht="15" hidden="1" customHeight="1" x14ac:dyDescent="0.45">
      <c r="B298" s="46" t="s">
        <v>164</v>
      </c>
      <c r="C298" s="47">
        <f>C310+0.75%</f>
        <v>9.7500000000000003E-2</v>
      </c>
      <c r="D298" s="47">
        <f>C298+0.25%</f>
        <v>0.1</v>
      </c>
      <c r="E298" s="49" t="s">
        <v>150</v>
      </c>
      <c r="F298" s="49" t="s">
        <v>150</v>
      </c>
      <c r="G298" s="49" t="s">
        <v>150</v>
      </c>
      <c r="H298" s="49" t="s">
        <v>150</v>
      </c>
      <c r="L298" s="46" t="s">
        <v>164</v>
      </c>
      <c r="M298" s="49" t="s">
        <v>150</v>
      </c>
      <c r="N298" s="49" t="s">
        <v>150</v>
      </c>
      <c r="O298" s="49" t="s">
        <v>150</v>
      </c>
      <c r="P298" s="49" t="s">
        <v>150</v>
      </c>
      <c r="Q298" s="49" t="s">
        <v>150</v>
      </c>
      <c r="R298" s="49" t="s">
        <v>150</v>
      </c>
      <c r="S298" s="50"/>
      <c r="T298" s="51"/>
      <c r="V298" s="46" t="str">
        <f t="shared" si="260"/>
        <v>75.01%-80.00%</v>
      </c>
      <c r="W298" s="47">
        <f>W310+0.75%</f>
        <v>9.7500000000000003E-2</v>
      </c>
      <c r="X298" s="47">
        <f>W298+0.25%</f>
        <v>0.1</v>
      </c>
      <c r="Y298" s="49" t="s">
        <v>150</v>
      </c>
      <c r="Z298" s="49" t="s">
        <v>150</v>
      </c>
      <c r="AA298" s="49" t="s">
        <v>150</v>
      </c>
      <c r="AB298" s="49" t="s">
        <v>150</v>
      </c>
      <c r="AF298" s="46" t="str">
        <f t="shared" si="261"/>
        <v>75.01%-80.00%</v>
      </c>
      <c r="AG298" s="49" t="s">
        <v>150</v>
      </c>
      <c r="AH298" s="49" t="s">
        <v>150</v>
      </c>
      <c r="AI298" s="49" t="s">
        <v>150</v>
      </c>
      <c r="AJ298" s="49" t="s">
        <v>150</v>
      </c>
      <c r="AK298" s="49" t="s">
        <v>150</v>
      </c>
      <c r="AL298" s="49" t="s">
        <v>150</v>
      </c>
      <c r="AM298" s="50"/>
      <c r="AN298" s="51"/>
      <c r="AP298" s="46" t="str">
        <f t="shared" si="262"/>
        <v>75.01%-80.00%</v>
      </c>
      <c r="AQ298" s="47">
        <f>AQ310+0.75%</f>
        <v>9.7500000000000003E-2</v>
      </c>
      <c r="AR298" s="47">
        <f>AQ298+0.25%</f>
        <v>0.1</v>
      </c>
      <c r="AS298" s="49" t="s">
        <v>150</v>
      </c>
      <c r="AT298" s="49" t="s">
        <v>150</v>
      </c>
      <c r="AU298" s="49" t="s">
        <v>150</v>
      </c>
      <c r="AV298" s="49" t="s">
        <v>150</v>
      </c>
      <c r="AZ298" s="46" t="str">
        <f t="shared" si="263"/>
        <v>75.01%-80.00%</v>
      </c>
      <c r="BA298" s="49" t="s">
        <v>150</v>
      </c>
      <c r="BB298" s="49" t="s">
        <v>150</v>
      </c>
      <c r="BC298" s="49" t="s">
        <v>150</v>
      </c>
      <c r="BD298" s="49" t="s">
        <v>150</v>
      </c>
      <c r="BE298" s="49" t="s">
        <v>150</v>
      </c>
      <c r="BF298" s="49" t="s">
        <v>150</v>
      </c>
    </row>
    <row r="299" spans="2:58" ht="15" hidden="1" customHeight="1" x14ac:dyDescent="0.45">
      <c r="B299" s="52" t="s">
        <v>151</v>
      </c>
      <c r="C299" s="53">
        <f>C298+0</f>
        <v>9.7500000000000003E-2</v>
      </c>
      <c r="D299" s="53">
        <f>D298+0</f>
        <v>0.1</v>
      </c>
      <c r="E299" s="54" t="s">
        <v>150</v>
      </c>
      <c r="F299" s="54" t="s">
        <v>150</v>
      </c>
      <c r="G299" s="54" t="s">
        <v>150</v>
      </c>
      <c r="H299" s="54" t="s">
        <v>150</v>
      </c>
      <c r="L299" s="52" t="s">
        <v>151</v>
      </c>
      <c r="M299" s="54" t="s">
        <v>150</v>
      </c>
      <c r="N299" s="54" t="s">
        <v>150</v>
      </c>
      <c r="O299" s="54" t="s">
        <v>150</v>
      </c>
      <c r="P299" s="54" t="s">
        <v>150</v>
      </c>
      <c r="Q299" s="54" t="s">
        <v>150</v>
      </c>
      <c r="R299" s="54" t="s">
        <v>150</v>
      </c>
      <c r="S299" s="55"/>
      <c r="T299" s="56"/>
      <c r="V299" s="52" t="str">
        <f t="shared" si="260"/>
        <v>FICO 700+</v>
      </c>
      <c r="W299" s="53">
        <f>W298+0</f>
        <v>9.7500000000000003E-2</v>
      </c>
      <c r="X299" s="53">
        <f>X298+0</f>
        <v>0.1</v>
      </c>
      <c r="Y299" s="54" t="s">
        <v>150</v>
      </c>
      <c r="Z299" s="54" t="s">
        <v>150</v>
      </c>
      <c r="AA299" s="54" t="s">
        <v>150</v>
      </c>
      <c r="AB299" s="54" t="s">
        <v>150</v>
      </c>
      <c r="AF299" s="52" t="str">
        <f t="shared" si="261"/>
        <v>FICO 700+</v>
      </c>
      <c r="AG299" s="54" t="s">
        <v>150</v>
      </c>
      <c r="AH299" s="54" t="s">
        <v>150</v>
      </c>
      <c r="AI299" s="54" t="s">
        <v>150</v>
      </c>
      <c r="AJ299" s="54" t="s">
        <v>150</v>
      </c>
      <c r="AK299" s="54" t="s">
        <v>150</v>
      </c>
      <c r="AL299" s="54" t="s">
        <v>150</v>
      </c>
      <c r="AM299" s="55"/>
      <c r="AN299" s="56"/>
      <c r="AP299" s="52" t="str">
        <f t="shared" si="262"/>
        <v>FICO 700+</v>
      </c>
      <c r="AQ299" s="53">
        <f>AQ298+0</f>
        <v>9.7500000000000003E-2</v>
      </c>
      <c r="AR299" s="53">
        <f>AR298+0</f>
        <v>0.1</v>
      </c>
      <c r="AS299" s="54" t="s">
        <v>150</v>
      </c>
      <c r="AT299" s="54" t="s">
        <v>150</v>
      </c>
      <c r="AU299" s="54" t="s">
        <v>150</v>
      </c>
      <c r="AV299" s="54" t="s">
        <v>150</v>
      </c>
      <c r="AZ299" s="52" t="str">
        <f t="shared" si="263"/>
        <v>FICO 700+</v>
      </c>
      <c r="BA299" s="54" t="s">
        <v>150</v>
      </c>
      <c r="BB299" s="54" t="s">
        <v>150</v>
      </c>
      <c r="BC299" s="54" t="s">
        <v>150</v>
      </c>
      <c r="BD299" s="54" t="s">
        <v>150</v>
      </c>
      <c r="BE299" s="54" t="s">
        <v>150</v>
      </c>
      <c r="BF299" s="54" t="s">
        <v>150</v>
      </c>
    </row>
    <row r="300" spans="2:58" ht="15" hidden="1" customHeight="1" x14ac:dyDescent="0.45">
      <c r="B300" s="52" t="s">
        <v>152</v>
      </c>
      <c r="C300" s="53">
        <f>C298+0.25%</f>
        <v>0.1</v>
      </c>
      <c r="D300" s="53">
        <f>D298+0.25%</f>
        <v>0.10250000000000001</v>
      </c>
      <c r="E300" s="54" t="s">
        <v>150</v>
      </c>
      <c r="F300" s="54" t="s">
        <v>150</v>
      </c>
      <c r="G300" s="54" t="s">
        <v>150</v>
      </c>
      <c r="H300" s="54" t="s">
        <v>150</v>
      </c>
      <c r="L300" s="52" t="s">
        <v>152</v>
      </c>
      <c r="M300" s="54" t="s">
        <v>150</v>
      </c>
      <c r="N300" s="54" t="s">
        <v>150</v>
      </c>
      <c r="O300" s="54" t="s">
        <v>150</v>
      </c>
      <c r="P300" s="54" t="s">
        <v>150</v>
      </c>
      <c r="Q300" s="54" t="s">
        <v>150</v>
      </c>
      <c r="R300" s="54" t="s">
        <v>150</v>
      </c>
      <c r="S300" s="55"/>
      <c r="T300" s="56"/>
      <c r="V300" s="52" t="str">
        <f t="shared" si="260"/>
        <v>FICO 660-699</v>
      </c>
      <c r="W300" s="53">
        <f>W298+0.25%</f>
        <v>0.1</v>
      </c>
      <c r="X300" s="53">
        <f>X298+0.25%</f>
        <v>0.10250000000000001</v>
      </c>
      <c r="Y300" s="54" t="s">
        <v>150</v>
      </c>
      <c r="Z300" s="54" t="s">
        <v>150</v>
      </c>
      <c r="AA300" s="54" t="s">
        <v>150</v>
      </c>
      <c r="AB300" s="54" t="s">
        <v>150</v>
      </c>
      <c r="AF300" s="52" t="str">
        <f t="shared" si="261"/>
        <v>FICO 660-699</v>
      </c>
      <c r="AG300" s="54" t="s">
        <v>150</v>
      </c>
      <c r="AH300" s="54" t="s">
        <v>150</v>
      </c>
      <c r="AI300" s="54" t="s">
        <v>150</v>
      </c>
      <c r="AJ300" s="54" t="s">
        <v>150</v>
      </c>
      <c r="AK300" s="54" t="s">
        <v>150</v>
      </c>
      <c r="AL300" s="54" t="s">
        <v>150</v>
      </c>
      <c r="AM300" s="55"/>
      <c r="AN300" s="56"/>
      <c r="AP300" s="52" t="str">
        <f t="shared" si="262"/>
        <v>FICO 660-699</v>
      </c>
      <c r="AQ300" s="53">
        <f>AQ298+0.25%</f>
        <v>0.1</v>
      </c>
      <c r="AR300" s="53">
        <f>AR298+0.25%</f>
        <v>0.10250000000000001</v>
      </c>
      <c r="AS300" s="54" t="s">
        <v>150</v>
      </c>
      <c r="AT300" s="54" t="s">
        <v>150</v>
      </c>
      <c r="AU300" s="54" t="s">
        <v>150</v>
      </c>
      <c r="AV300" s="54" t="s">
        <v>150</v>
      </c>
      <c r="AZ300" s="52" t="str">
        <f t="shared" si="263"/>
        <v>FICO 660-699</v>
      </c>
      <c r="BA300" s="54" t="s">
        <v>150</v>
      </c>
      <c r="BB300" s="54" t="s">
        <v>150</v>
      </c>
      <c r="BC300" s="54" t="s">
        <v>150</v>
      </c>
      <c r="BD300" s="54" t="s">
        <v>150</v>
      </c>
      <c r="BE300" s="54" t="s">
        <v>150</v>
      </c>
      <c r="BF300" s="54" t="s">
        <v>150</v>
      </c>
    </row>
    <row r="301" spans="2:58" ht="15" hidden="1" customHeight="1" x14ac:dyDescent="0.45">
      <c r="B301" s="57" t="s">
        <v>153</v>
      </c>
      <c r="C301" s="59" t="s">
        <v>150</v>
      </c>
      <c r="D301" s="59" t="s">
        <v>150</v>
      </c>
      <c r="E301" s="59" t="s">
        <v>150</v>
      </c>
      <c r="F301" s="59" t="s">
        <v>150</v>
      </c>
      <c r="G301" s="59" t="s">
        <v>150</v>
      </c>
      <c r="H301" s="59" t="s">
        <v>150</v>
      </c>
      <c r="L301" s="57" t="s">
        <v>153</v>
      </c>
      <c r="M301" s="59" t="s">
        <v>150</v>
      </c>
      <c r="N301" s="59" t="s">
        <v>150</v>
      </c>
      <c r="O301" s="59" t="s">
        <v>150</v>
      </c>
      <c r="P301" s="59" t="s">
        <v>150</v>
      </c>
      <c r="Q301" s="59" t="s">
        <v>150</v>
      </c>
      <c r="R301" s="59" t="s">
        <v>150</v>
      </c>
      <c r="S301" s="55"/>
      <c r="T301" s="56"/>
      <c r="V301" s="57" t="str">
        <f t="shared" si="260"/>
        <v>FICO 640-659</v>
      </c>
      <c r="W301" s="59" t="s">
        <v>150</v>
      </c>
      <c r="X301" s="59" t="s">
        <v>150</v>
      </c>
      <c r="Y301" s="59" t="s">
        <v>150</v>
      </c>
      <c r="Z301" s="59" t="s">
        <v>150</v>
      </c>
      <c r="AA301" s="59" t="s">
        <v>150</v>
      </c>
      <c r="AB301" s="59" t="s">
        <v>150</v>
      </c>
      <c r="AF301" s="57" t="str">
        <f t="shared" si="261"/>
        <v>FICO 640-659</v>
      </c>
      <c r="AG301" s="59" t="s">
        <v>150</v>
      </c>
      <c r="AH301" s="59" t="s">
        <v>150</v>
      </c>
      <c r="AI301" s="59" t="s">
        <v>150</v>
      </c>
      <c r="AJ301" s="59" t="s">
        <v>150</v>
      </c>
      <c r="AK301" s="59" t="s">
        <v>150</v>
      </c>
      <c r="AL301" s="59" t="s">
        <v>150</v>
      </c>
      <c r="AM301" s="55"/>
      <c r="AN301" s="56"/>
      <c r="AP301" s="57" t="str">
        <f t="shared" si="262"/>
        <v>FICO 640-659</v>
      </c>
      <c r="AQ301" s="59" t="s">
        <v>150</v>
      </c>
      <c r="AR301" s="59" t="s">
        <v>150</v>
      </c>
      <c r="AS301" s="59" t="s">
        <v>150</v>
      </c>
      <c r="AT301" s="59" t="s">
        <v>150</v>
      </c>
      <c r="AU301" s="59" t="s">
        <v>150</v>
      </c>
      <c r="AV301" s="59" t="s">
        <v>150</v>
      </c>
      <c r="AZ301" s="57" t="str">
        <f t="shared" si="263"/>
        <v>FICO 640-659</v>
      </c>
      <c r="BA301" s="59" t="s">
        <v>150</v>
      </c>
      <c r="BB301" s="59" t="s">
        <v>150</v>
      </c>
      <c r="BC301" s="59" t="s">
        <v>150</v>
      </c>
      <c r="BD301" s="59" t="s">
        <v>150</v>
      </c>
      <c r="BE301" s="59" t="s">
        <v>150</v>
      </c>
      <c r="BF301" s="59" t="s">
        <v>150</v>
      </c>
    </row>
    <row r="302" spans="2:58" ht="15" customHeight="1" x14ac:dyDescent="0.45">
      <c r="B302" s="46" t="s">
        <v>149</v>
      </c>
      <c r="C302" s="47">
        <f>C310+0.5%</f>
        <v>9.5000000000000001E-2</v>
      </c>
      <c r="D302" s="47">
        <f>C302+0.25%</f>
        <v>9.7500000000000003E-2</v>
      </c>
      <c r="E302" s="49" t="s">
        <v>150</v>
      </c>
      <c r="F302" s="49" t="s">
        <v>150</v>
      </c>
      <c r="G302" s="49" t="s">
        <v>150</v>
      </c>
      <c r="H302" s="49" t="s">
        <v>150</v>
      </c>
      <c r="L302" s="46" t="s">
        <v>149</v>
      </c>
      <c r="M302" s="49" t="s">
        <v>150</v>
      </c>
      <c r="N302" s="49" t="s">
        <v>150</v>
      </c>
      <c r="O302" s="49" t="s">
        <v>150</v>
      </c>
      <c r="P302" s="49" t="s">
        <v>150</v>
      </c>
      <c r="Q302" s="49" t="s">
        <v>150</v>
      </c>
      <c r="R302" s="49" t="s">
        <v>150</v>
      </c>
      <c r="S302" s="50"/>
      <c r="T302" s="51"/>
      <c r="V302" s="46" t="str">
        <f t="shared" si="260"/>
        <v>70.01%-75.00%</v>
      </c>
      <c r="W302" s="47">
        <f>W310+0.5%</f>
        <v>9.5000000000000001E-2</v>
      </c>
      <c r="X302" s="47">
        <f>W302+0.25%</f>
        <v>9.7500000000000003E-2</v>
      </c>
      <c r="Y302" s="49" t="s">
        <v>150</v>
      </c>
      <c r="Z302" s="49" t="s">
        <v>150</v>
      </c>
      <c r="AA302" s="49" t="s">
        <v>150</v>
      </c>
      <c r="AB302" s="49" t="s">
        <v>150</v>
      </c>
      <c r="AF302" s="60" t="str">
        <f t="shared" si="261"/>
        <v>70.01%-75.00%</v>
      </c>
      <c r="AG302" s="49" t="s">
        <v>150</v>
      </c>
      <c r="AH302" s="49" t="s">
        <v>150</v>
      </c>
      <c r="AI302" s="49" t="s">
        <v>150</v>
      </c>
      <c r="AJ302" s="49" t="s">
        <v>150</v>
      </c>
      <c r="AK302" s="49" t="s">
        <v>150</v>
      </c>
      <c r="AL302" s="49" t="s">
        <v>150</v>
      </c>
      <c r="AM302" s="50"/>
      <c r="AN302" s="51"/>
      <c r="AP302" s="46" t="str">
        <f t="shared" si="262"/>
        <v>70.01%-75.00%</v>
      </c>
      <c r="AQ302" s="47">
        <f>AQ310+0.5%</f>
        <v>9.5000000000000001E-2</v>
      </c>
      <c r="AR302" s="47">
        <f>AQ302+0.25%</f>
        <v>9.7500000000000003E-2</v>
      </c>
      <c r="AS302" s="49" t="s">
        <v>150</v>
      </c>
      <c r="AT302" s="49" t="s">
        <v>150</v>
      </c>
      <c r="AU302" s="49" t="s">
        <v>150</v>
      </c>
      <c r="AV302" s="49" t="s">
        <v>150</v>
      </c>
      <c r="AZ302" s="46" t="str">
        <f t="shared" si="263"/>
        <v>70.01%-75.00%</v>
      </c>
      <c r="BA302" s="49" t="s">
        <v>150</v>
      </c>
      <c r="BB302" s="49" t="s">
        <v>150</v>
      </c>
      <c r="BC302" s="49" t="s">
        <v>150</v>
      </c>
      <c r="BD302" s="49" t="s">
        <v>150</v>
      </c>
      <c r="BE302" s="49" t="s">
        <v>150</v>
      </c>
      <c r="BF302" s="49" t="s">
        <v>150</v>
      </c>
    </row>
    <row r="303" spans="2:58" ht="15" customHeight="1" x14ac:dyDescent="0.45">
      <c r="B303" s="52" t="s">
        <v>151</v>
      </c>
      <c r="C303" s="53">
        <f>C302+0</f>
        <v>9.5000000000000001E-2</v>
      </c>
      <c r="D303" s="53">
        <f>D302+0</f>
        <v>9.7500000000000003E-2</v>
      </c>
      <c r="E303" s="54" t="s">
        <v>150</v>
      </c>
      <c r="F303" s="54" t="s">
        <v>150</v>
      </c>
      <c r="G303" s="54" t="s">
        <v>150</v>
      </c>
      <c r="H303" s="54" t="s">
        <v>150</v>
      </c>
      <c r="L303" s="52" t="s">
        <v>151</v>
      </c>
      <c r="M303" s="54" t="s">
        <v>150</v>
      </c>
      <c r="N303" s="54" t="s">
        <v>150</v>
      </c>
      <c r="O303" s="54" t="s">
        <v>150</v>
      </c>
      <c r="P303" s="54" t="s">
        <v>150</v>
      </c>
      <c r="Q303" s="54" t="s">
        <v>150</v>
      </c>
      <c r="R303" s="54" t="s">
        <v>150</v>
      </c>
      <c r="S303" s="55"/>
      <c r="T303" s="56"/>
      <c r="V303" s="52" t="str">
        <f t="shared" si="260"/>
        <v>FICO 700+</v>
      </c>
      <c r="W303" s="53">
        <f>W302+0</f>
        <v>9.5000000000000001E-2</v>
      </c>
      <c r="X303" s="53">
        <f>X302+0</f>
        <v>9.7500000000000003E-2</v>
      </c>
      <c r="Y303" s="54" t="s">
        <v>150</v>
      </c>
      <c r="Z303" s="54" t="s">
        <v>150</v>
      </c>
      <c r="AA303" s="54" t="s">
        <v>150</v>
      </c>
      <c r="AB303" s="54" t="s">
        <v>150</v>
      </c>
      <c r="AF303" s="52" t="str">
        <f t="shared" si="261"/>
        <v>FICO 700+</v>
      </c>
      <c r="AG303" s="54" t="s">
        <v>150</v>
      </c>
      <c r="AH303" s="54" t="s">
        <v>150</v>
      </c>
      <c r="AI303" s="54" t="s">
        <v>150</v>
      </c>
      <c r="AJ303" s="54" t="s">
        <v>150</v>
      </c>
      <c r="AK303" s="54" t="s">
        <v>150</v>
      </c>
      <c r="AL303" s="54" t="s">
        <v>150</v>
      </c>
      <c r="AM303" s="55"/>
      <c r="AN303" s="56"/>
      <c r="AP303" s="52" t="str">
        <f t="shared" si="262"/>
        <v>FICO 700+</v>
      </c>
      <c r="AQ303" s="53">
        <f>AQ302+0</f>
        <v>9.5000000000000001E-2</v>
      </c>
      <c r="AR303" s="53">
        <f>AR302+0</f>
        <v>9.7500000000000003E-2</v>
      </c>
      <c r="AS303" s="54" t="s">
        <v>150</v>
      </c>
      <c r="AT303" s="54" t="s">
        <v>150</v>
      </c>
      <c r="AU303" s="54" t="s">
        <v>150</v>
      </c>
      <c r="AV303" s="54" t="s">
        <v>150</v>
      </c>
      <c r="AZ303" s="52" t="str">
        <f t="shared" si="263"/>
        <v>FICO 700+</v>
      </c>
      <c r="BA303" s="54" t="s">
        <v>150</v>
      </c>
      <c r="BB303" s="54" t="s">
        <v>150</v>
      </c>
      <c r="BC303" s="54" t="s">
        <v>150</v>
      </c>
      <c r="BD303" s="54" t="s">
        <v>150</v>
      </c>
      <c r="BE303" s="54" t="s">
        <v>150</v>
      </c>
      <c r="BF303" s="54" t="s">
        <v>150</v>
      </c>
    </row>
    <row r="304" spans="2:58" ht="15" customHeight="1" x14ac:dyDescent="0.45">
      <c r="B304" s="52" t="s">
        <v>152</v>
      </c>
      <c r="C304" s="53">
        <f>C302+0.25%</f>
        <v>9.7500000000000003E-2</v>
      </c>
      <c r="D304" s="53">
        <f>D302+0.25%</f>
        <v>0.1</v>
      </c>
      <c r="E304" s="54" t="s">
        <v>150</v>
      </c>
      <c r="F304" s="54" t="s">
        <v>150</v>
      </c>
      <c r="G304" s="54" t="s">
        <v>150</v>
      </c>
      <c r="H304" s="54" t="s">
        <v>150</v>
      </c>
      <c r="L304" s="52" t="s">
        <v>152</v>
      </c>
      <c r="M304" s="54" t="s">
        <v>150</v>
      </c>
      <c r="N304" s="54" t="s">
        <v>150</v>
      </c>
      <c r="O304" s="54" t="s">
        <v>150</v>
      </c>
      <c r="P304" s="54" t="s">
        <v>150</v>
      </c>
      <c r="Q304" s="54" t="s">
        <v>150</v>
      </c>
      <c r="R304" s="54" t="s">
        <v>150</v>
      </c>
      <c r="S304" s="55"/>
      <c r="T304" s="56"/>
      <c r="V304" s="52" t="str">
        <f t="shared" si="260"/>
        <v>FICO 660-699</v>
      </c>
      <c r="W304" s="53">
        <f>W302+0.25%</f>
        <v>9.7500000000000003E-2</v>
      </c>
      <c r="X304" s="53">
        <f>X302+0.25%</f>
        <v>0.1</v>
      </c>
      <c r="Y304" s="54" t="s">
        <v>150</v>
      </c>
      <c r="Z304" s="54" t="s">
        <v>150</v>
      </c>
      <c r="AA304" s="54" t="s">
        <v>150</v>
      </c>
      <c r="AB304" s="54" t="s">
        <v>150</v>
      </c>
      <c r="AF304" s="52" t="str">
        <f t="shared" si="261"/>
        <v>FICO 660-699</v>
      </c>
      <c r="AG304" s="54" t="s">
        <v>150</v>
      </c>
      <c r="AH304" s="54" t="s">
        <v>150</v>
      </c>
      <c r="AI304" s="54" t="s">
        <v>150</v>
      </c>
      <c r="AJ304" s="54" t="s">
        <v>150</v>
      </c>
      <c r="AK304" s="54" t="s">
        <v>150</v>
      </c>
      <c r="AL304" s="54" t="s">
        <v>150</v>
      </c>
      <c r="AM304" s="55"/>
      <c r="AN304" s="56"/>
      <c r="AP304" s="52" t="str">
        <f t="shared" si="262"/>
        <v>FICO 660-699</v>
      </c>
      <c r="AQ304" s="53">
        <f>AQ302+0.25%</f>
        <v>9.7500000000000003E-2</v>
      </c>
      <c r="AR304" s="53">
        <f>AR302+0.25%</f>
        <v>0.1</v>
      </c>
      <c r="AS304" s="54" t="s">
        <v>150</v>
      </c>
      <c r="AT304" s="54" t="s">
        <v>150</v>
      </c>
      <c r="AU304" s="54" t="s">
        <v>150</v>
      </c>
      <c r="AV304" s="54" t="s">
        <v>150</v>
      </c>
      <c r="AZ304" s="52" t="str">
        <f t="shared" si="263"/>
        <v>FICO 660-699</v>
      </c>
      <c r="BA304" s="54" t="s">
        <v>150</v>
      </c>
      <c r="BB304" s="54" t="s">
        <v>150</v>
      </c>
      <c r="BC304" s="54" t="s">
        <v>150</v>
      </c>
      <c r="BD304" s="54" t="s">
        <v>150</v>
      </c>
      <c r="BE304" s="54" t="s">
        <v>150</v>
      </c>
      <c r="BF304" s="54" t="s">
        <v>150</v>
      </c>
    </row>
    <row r="305" spans="2:58" ht="15" customHeight="1" x14ac:dyDescent="0.45">
      <c r="B305" s="57" t="s">
        <v>153</v>
      </c>
      <c r="C305" s="59" t="s">
        <v>150</v>
      </c>
      <c r="D305" s="59" t="s">
        <v>150</v>
      </c>
      <c r="E305" s="59" t="s">
        <v>150</v>
      </c>
      <c r="F305" s="59" t="s">
        <v>150</v>
      </c>
      <c r="G305" s="59" t="s">
        <v>150</v>
      </c>
      <c r="H305" s="59" t="s">
        <v>150</v>
      </c>
      <c r="L305" s="57" t="s">
        <v>153</v>
      </c>
      <c r="M305" s="59" t="s">
        <v>150</v>
      </c>
      <c r="N305" s="59" t="s">
        <v>150</v>
      </c>
      <c r="O305" s="59" t="s">
        <v>150</v>
      </c>
      <c r="P305" s="59" t="s">
        <v>150</v>
      </c>
      <c r="Q305" s="59" t="s">
        <v>150</v>
      </c>
      <c r="R305" s="59" t="s">
        <v>150</v>
      </c>
      <c r="S305" s="55"/>
      <c r="T305" s="56"/>
      <c r="V305" s="57" t="str">
        <f t="shared" si="260"/>
        <v>FICO 640-659</v>
      </c>
      <c r="W305" s="59" t="s">
        <v>150</v>
      </c>
      <c r="X305" s="59" t="s">
        <v>150</v>
      </c>
      <c r="Y305" s="59" t="s">
        <v>150</v>
      </c>
      <c r="Z305" s="59" t="s">
        <v>150</v>
      </c>
      <c r="AA305" s="59" t="s">
        <v>150</v>
      </c>
      <c r="AB305" s="59" t="s">
        <v>150</v>
      </c>
      <c r="AF305" s="57" t="str">
        <f t="shared" si="261"/>
        <v>FICO 640-659</v>
      </c>
      <c r="AG305" s="59" t="s">
        <v>150</v>
      </c>
      <c r="AH305" s="59" t="s">
        <v>150</v>
      </c>
      <c r="AI305" s="59" t="s">
        <v>150</v>
      </c>
      <c r="AJ305" s="59" t="s">
        <v>150</v>
      </c>
      <c r="AK305" s="59" t="s">
        <v>150</v>
      </c>
      <c r="AL305" s="59" t="s">
        <v>150</v>
      </c>
      <c r="AM305" s="55"/>
      <c r="AN305" s="56"/>
      <c r="AP305" s="57" t="str">
        <f t="shared" si="262"/>
        <v>FICO 640-659</v>
      </c>
      <c r="AQ305" s="59" t="s">
        <v>150</v>
      </c>
      <c r="AR305" s="59" t="s">
        <v>150</v>
      </c>
      <c r="AS305" s="59" t="s">
        <v>150</v>
      </c>
      <c r="AT305" s="59" t="s">
        <v>150</v>
      </c>
      <c r="AU305" s="59" t="s">
        <v>150</v>
      </c>
      <c r="AV305" s="59" t="s">
        <v>150</v>
      </c>
      <c r="AZ305" s="57" t="str">
        <f t="shared" si="263"/>
        <v>FICO 640-659</v>
      </c>
      <c r="BA305" s="59" t="s">
        <v>150</v>
      </c>
      <c r="BB305" s="59" t="s">
        <v>150</v>
      </c>
      <c r="BC305" s="59" t="s">
        <v>150</v>
      </c>
      <c r="BD305" s="59" t="s">
        <v>150</v>
      </c>
      <c r="BE305" s="59" t="s">
        <v>150</v>
      </c>
      <c r="BF305" s="59" t="s">
        <v>150</v>
      </c>
    </row>
    <row r="306" spans="2:58" ht="15" customHeight="1" x14ac:dyDescent="0.45">
      <c r="B306" s="46" t="s">
        <v>154</v>
      </c>
      <c r="C306" s="47">
        <f>C310+0.25%</f>
        <v>9.2499999999999999E-2</v>
      </c>
      <c r="D306" s="47">
        <f>C306+0.25%</f>
        <v>9.5000000000000001E-2</v>
      </c>
      <c r="E306" s="49" t="s">
        <v>150</v>
      </c>
      <c r="F306" s="49" t="s">
        <v>150</v>
      </c>
      <c r="G306" s="49" t="s">
        <v>150</v>
      </c>
      <c r="H306" s="49" t="s">
        <v>150</v>
      </c>
      <c r="L306" s="46" t="s">
        <v>154</v>
      </c>
      <c r="M306" s="73">
        <f>M310+0.25%</f>
        <v>0.105</v>
      </c>
      <c r="N306" s="49" t="s">
        <v>150</v>
      </c>
      <c r="O306" s="49" t="s">
        <v>150</v>
      </c>
      <c r="P306" s="49" t="s">
        <v>150</v>
      </c>
      <c r="Q306" s="49" t="s">
        <v>150</v>
      </c>
      <c r="R306" s="49" t="s">
        <v>150</v>
      </c>
      <c r="S306" s="50"/>
      <c r="T306" s="51"/>
      <c r="V306" s="46" t="str">
        <f t="shared" si="260"/>
        <v>65.00%-70.00%</v>
      </c>
      <c r="W306" s="47">
        <f>W310+0.25%</f>
        <v>9.2499999999999999E-2</v>
      </c>
      <c r="X306" s="47">
        <f>W306+0.25%</f>
        <v>9.5000000000000001E-2</v>
      </c>
      <c r="Y306" s="49" t="s">
        <v>150</v>
      </c>
      <c r="Z306" s="49" t="s">
        <v>150</v>
      </c>
      <c r="AA306" s="49" t="s">
        <v>150</v>
      </c>
      <c r="AB306" s="49" t="s">
        <v>150</v>
      </c>
      <c r="AF306" s="60" t="str">
        <f t="shared" si="261"/>
        <v>65.00%-70.00%</v>
      </c>
      <c r="AG306" s="73">
        <f>AG310+0.25%</f>
        <v>0.105</v>
      </c>
      <c r="AH306" s="49" t="s">
        <v>150</v>
      </c>
      <c r="AI306" s="49" t="s">
        <v>150</v>
      </c>
      <c r="AJ306" s="49" t="s">
        <v>150</v>
      </c>
      <c r="AK306" s="49" t="s">
        <v>150</v>
      </c>
      <c r="AL306" s="49" t="s">
        <v>150</v>
      </c>
      <c r="AM306" s="50"/>
      <c r="AN306" s="51"/>
      <c r="AP306" s="46" t="str">
        <f t="shared" si="262"/>
        <v>65.00%-70.00%</v>
      </c>
      <c r="AQ306" s="47">
        <f>AQ310+0.25%</f>
        <v>9.2499999999999999E-2</v>
      </c>
      <c r="AR306" s="47">
        <f>AQ306+0.25%</f>
        <v>9.5000000000000001E-2</v>
      </c>
      <c r="AS306" s="49" t="s">
        <v>150</v>
      </c>
      <c r="AT306" s="49" t="s">
        <v>150</v>
      </c>
      <c r="AU306" s="49" t="s">
        <v>150</v>
      </c>
      <c r="AV306" s="49" t="s">
        <v>150</v>
      </c>
      <c r="AZ306" s="46" t="str">
        <f t="shared" si="263"/>
        <v>65.00%-70.00%</v>
      </c>
      <c r="BA306" s="73">
        <f>BA310+0.25%</f>
        <v>0.105</v>
      </c>
      <c r="BB306" s="49" t="s">
        <v>150</v>
      </c>
      <c r="BC306" s="49" t="s">
        <v>150</v>
      </c>
      <c r="BD306" s="49" t="s">
        <v>150</v>
      </c>
      <c r="BE306" s="49" t="s">
        <v>150</v>
      </c>
      <c r="BF306" s="49" t="s">
        <v>150</v>
      </c>
    </row>
    <row r="307" spans="2:58" ht="15" customHeight="1" x14ac:dyDescent="0.45">
      <c r="B307" s="52" t="s">
        <v>151</v>
      </c>
      <c r="C307" s="53">
        <f>C306+0</f>
        <v>9.2499999999999999E-2</v>
      </c>
      <c r="D307" s="53">
        <f>D306+0</f>
        <v>9.5000000000000001E-2</v>
      </c>
      <c r="E307" s="54" t="s">
        <v>150</v>
      </c>
      <c r="F307" s="54" t="s">
        <v>150</v>
      </c>
      <c r="G307" s="54" t="s">
        <v>150</v>
      </c>
      <c r="H307" s="54" t="s">
        <v>150</v>
      </c>
      <c r="L307" s="52" t="s">
        <v>151</v>
      </c>
      <c r="M307" s="53">
        <f>M306+0</f>
        <v>0.105</v>
      </c>
      <c r="N307" s="54" t="s">
        <v>150</v>
      </c>
      <c r="O307" s="54" t="s">
        <v>150</v>
      </c>
      <c r="P307" s="54" t="s">
        <v>150</v>
      </c>
      <c r="Q307" s="54" t="s">
        <v>150</v>
      </c>
      <c r="R307" s="54" t="s">
        <v>150</v>
      </c>
      <c r="S307" s="55"/>
      <c r="T307" s="56"/>
      <c r="V307" s="52" t="str">
        <f t="shared" si="260"/>
        <v>FICO 700+</v>
      </c>
      <c r="W307" s="53">
        <f>W306+0</f>
        <v>9.2499999999999999E-2</v>
      </c>
      <c r="X307" s="53">
        <f>X306+0</f>
        <v>9.5000000000000001E-2</v>
      </c>
      <c r="Y307" s="54" t="s">
        <v>150</v>
      </c>
      <c r="Z307" s="54" t="s">
        <v>150</v>
      </c>
      <c r="AA307" s="54" t="s">
        <v>150</v>
      </c>
      <c r="AB307" s="54" t="s">
        <v>150</v>
      </c>
      <c r="AF307" s="52" t="str">
        <f t="shared" si="261"/>
        <v>FICO 700+</v>
      </c>
      <c r="AG307" s="53">
        <f>AG306+0</f>
        <v>0.105</v>
      </c>
      <c r="AH307" s="54" t="s">
        <v>150</v>
      </c>
      <c r="AI307" s="54" t="s">
        <v>150</v>
      </c>
      <c r="AJ307" s="54" t="s">
        <v>150</v>
      </c>
      <c r="AK307" s="54" t="s">
        <v>150</v>
      </c>
      <c r="AL307" s="54" t="s">
        <v>150</v>
      </c>
      <c r="AM307" s="55"/>
      <c r="AN307" s="56"/>
      <c r="AP307" s="52" t="str">
        <f t="shared" si="262"/>
        <v>FICO 700+</v>
      </c>
      <c r="AQ307" s="53">
        <f>AQ306+0</f>
        <v>9.2499999999999999E-2</v>
      </c>
      <c r="AR307" s="53">
        <f>AR306+0</f>
        <v>9.5000000000000001E-2</v>
      </c>
      <c r="AS307" s="54" t="s">
        <v>150</v>
      </c>
      <c r="AT307" s="54" t="s">
        <v>150</v>
      </c>
      <c r="AU307" s="54" t="s">
        <v>150</v>
      </c>
      <c r="AV307" s="54" t="s">
        <v>150</v>
      </c>
      <c r="AZ307" s="52" t="str">
        <f t="shared" si="263"/>
        <v>FICO 700+</v>
      </c>
      <c r="BA307" s="53">
        <f>BA306+0</f>
        <v>0.105</v>
      </c>
      <c r="BB307" s="54" t="s">
        <v>150</v>
      </c>
      <c r="BC307" s="54" t="s">
        <v>150</v>
      </c>
      <c r="BD307" s="54" t="s">
        <v>150</v>
      </c>
      <c r="BE307" s="54" t="s">
        <v>150</v>
      </c>
      <c r="BF307" s="54" t="s">
        <v>150</v>
      </c>
    </row>
    <row r="308" spans="2:58" ht="15" customHeight="1" x14ac:dyDescent="0.45">
      <c r="B308" s="52" t="s">
        <v>152</v>
      </c>
      <c r="C308" s="53">
        <f>C306+0.25%</f>
        <v>9.5000000000000001E-2</v>
      </c>
      <c r="D308" s="53">
        <f>D306+0.25%</f>
        <v>9.7500000000000003E-2</v>
      </c>
      <c r="E308" s="54" t="s">
        <v>150</v>
      </c>
      <c r="F308" s="54" t="s">
        <v>150</v>
      </c>
      <c r="G308" s="54" t="s">
        <v>150</v>
      </c>
      <c r="H308" s="54" t="s">
        <v>150</v>
      </c>
      <c r="L308" s="52" t="s">
        <v>152</v>
      </c>
      <c r="M308" s="53">
        <f>M306+0.25%</f>
        <v>0.1075</v>
      </c>
      <c r="N308" s="54" t="s">
        <v>150</v>
      </c>
      <c r="O308" s="54" t="s">
        <v>150</v>
      </c>
      <c r="P308" s="54" t="s">
        <v>150</v>
      </c>
      <c r="Q308" s="54" t="s">
        <v>150</v>
      </c>
      <c r="R308" s="54" t="s">
        <v>150</v>
      </c>
      <c r="S308" s="55"/>
      <c r="T308" s="56"/>
      <c r="V308" s="52" t="str">
        <f t="shared" si="260"/>
        <v>FICO 660-699</v>
      </c>
      <c r="W308" s="53">
        <f>W306+0.25%</f>
        <v>9.5000000000000001E-2</v>
      </c>
      <c r="X308" s="53">
        <f>X306+0.25%</f>
        <v>9.7500000000000003E-2</v>
      </c>
      <c r="Y308" s="54" t="s">
        <v>150</v>
      </c>
      <c r="Z308" s="54" t="s">
        <v>150</v>
      </c>
      <c r="AA308" s="54" t="s">
        <v>150</v>
      </c>
      <c r="AB308" s="54" t="s">
        <v>150</v>
      </c>
      <c r="AF308" s="52" t="str">
        <f t="shared" si="261"/>
        <v>FICO 660-699</v>
      </c>
      <c r="AG308" s="53">
        <f>AG306+0.25%</f>
        <v>0.1075</v>
      </c>
      <c r="AH308" s="54" t="s">
        <v>150</v>
      </c>
      <c r="AI308" s="54" t="s">
        <v>150</v>
      </c>
      <c r="AJ308" s="54" t="s">
        <v>150</v>
      </c>
      <c r="AK308" s="54" t="s">
        <v>150</v>
      </c>
      <c r="AL308" s="54" t="s">
        <v>150</v>
      </c>
      <c r="AM308" s="55"/>
      <c r="AN308" s="56"/>
      <c r="AP308" s="52" t="str">
        <f t="shared" si="262"/>
        <v>FICO 660-699</v>
      </c>
      <c r="AQ308" s="53">
        <f>AQ306+0.25%</f>
        <v>9.5000000000000001E-2</v>
      </c>
      <c r="AR308" s="53">
        <f>AR306+0.25%</f>
        <v>9.7500000000000003E-2</v>
      </c>
      <c r="AS308" s="54" t="s">
        <v>150</v>
      </c>
      <c r="AT308" s="54" t="s">
        <v>150</v>
      </c>
      <c r="AU308" s="54" t="s">
        <v>150</v>
      </c>
      <c r="AV308" s="54" t="s">
        <v>150</v>
      </c>
      <c r="AZ308" s="52" t="str">
        <f t="shared" si="263"/>
        <v>FICO 660-699</v>
      </c>
      <c r="BA308" s="53">
        <f>BA306+0.25%</f>
        <v>0.1075</v>
      </c>
      <c r="BB308" s="54" t="s">
        <v>150</v>
      </c>
      <c r="BC308" s="54" t="s">
        <v>150</v>
      </c>
      <c r="BD308" s="54" t="s">
        <v>150</v>
      </c>
      <c r="BE308" s="54" t="s">
        <v>150</v>
      </c>
      <c r="BF308" s="54" t="s">
        <v>150</v>
      </c>
    </row>
    <row r="309" spans="2:58" ht="15" customHeight="1" x14ac:dyDescent="0.45">
      <c r="B309" s="57" t="s">
        <v>153</v>
      </c>
      <c r="C309" s="59" t="s">
        <v>150</v>
      </c>
      <c r="D309" s="59" t="s">
        <v>150</v>
      </c>
      <c r="E309" s="59" t="s">
        <v>150</v>
      </c>
      <c r="F309" s="59" t="s">
        <v>150</v>
      </c>
      <c r="G309" s="59" t="s">
        <v>150</v>
      </c>
      <c r="H309" s="59" t="s">
        <v>150</v>
      </c>
      <c r="L309" s="57" t="s">
        <v>153</v>
      </c>
      <c r="M309" s="59" t="s">
        <v>150</v>
      </c>
      <c r="N309" s="59" t="s">
        <v>150</v>
      </c>
      <c r="O309" s="59" t="s">
        <v>150</v>
      </c>
      <c r="P309" s="59" t="s">
        <v>150</v>
      </c>
      <c r="Q309" s="59" t="s">
        <v>150</v>
      </c>
      <c r="R309" s="59" t="s">
        <v>150</v>
      </c>
      <c r="S309" s="55"/>
      <c r="T309" s="56"/>
      <c r="V309" s="57" t="str">
        <f t="shared" si="260"/>
        <v>FICO 640-659</v>
      </c>
      <c r="W309" s="59" t="s">
        <v>150</v>
      </c>
      <c r="X309" s="59" t="s">
        <v>150</v>
      </c>
      <c r="Y309" s="59" t="s">
        <v>150</v>
      </c>
      <c r="Z309" s="59" t="s">
        <v>150</v>
      </c>
      <c r="AA309" s="59" t="s">
        <v>150</v>
      </c>
      <c r="AB309" s="59" t="s">
        <v>150</v>
      </c>
      <c r="AF309" s="57" t="str">
        <f t="shared" si="261"/>
        <v>FICO 640-659</v>
      </c>
      <c r="AG309" s="59" t="s">
        <v>150</v>
      </c>
      <c r="AH309" s="59" t="s">
        <v>150</v>
      </c>
      <c r="AI309" s="59" t="s">
        <v>150</v>
      </c>
      <c r="AJ309" s="59" t="s">
        <v>150</v>
      </c>
      <c r="AK309" s="59" t="s">
        <v>150</v>
      </c>
      <c r="AL309" s="59" t="s">
        <v>150</v>
      </c>
      <c r="AM309" s="55"/>
      <c r="AN309" s="56"/>
      <c r="AP309" s="57" t="str">
        <f t="shared" si="262"/>
        <v>FICO 640-659</v>
      </c>
      <c r="AQ309" s="59" t="s">
        <v>150</v>
      </c>
      <c r="AR309" s="59" t="s">
        <v>150</v>
      </c>
      <c r="AS309" s="59" t="s">
        <v>150</v>
      </c>
      <c r="AT309" s="59" t="s">
        <v>150</v>
      </c>
      <c r="AU309" s="59" t="s">
        <v>150</v>
      </c>
      <c r="AV309" s="59" t="s">
        <v>150</v>
      </c>
      <c r="AZ309" s="57" t="str">
        <f t="shared" si="263"/>
        <v>FICO 640-659</v>
      </c>
      <c r="BA309" s="59" t="s">
        <v>150</v>
      </c>
      <c r="BB309" s="59" t="s">
        <v>150</v>
      </c>
      <c r="BC309" s="59" t="s">
        <v>150</v>
      </c>
      <c r="BD309" s="59" t="s">
        <v>150</v>
      </c>
      <c r="BE309" s="59" t="s">
        <v>150</v>
      </c>
      <c r="BF309" s="59" t="s">
        <v>150</v>
      </c>
    </row>
    <row r="310" spans="2:58" ht="15" customHeight="1" x14ac:dyDescent="0.45">
      <c r="B310" s="60" t="s">
        <v>155</v>
      </c>
      <c r="C310" s="72">
        <v>0.09</v>
      </c>
      <c r="D310" s="47">
        <f>C310+0.25%</f>
        <v>9.2499999999999999E-2</v>
      </c>
      <c r="E310" s="49" t="s">
        <v>150</v>
      </c>
      <c r="F310" s="49" t="s">
        <v>150</v>
      </c>
      <c r="G310" s="49" t="s">
        <v>150</v>
      </c>
      <c r="H310" s="49" t="s">
        <v>150</v>
      </c>
      <c r="L310" s="60" t="s">
        <v>155</v>
      </c>
      <c r="M310" s="72">
        <v>0.10249999999999999</v>
      </c>
      <c r="N310" s="49" t="s">
        <v>150</v>
      </c>
      <c r="O310" s="49" t="s">
        <v>150</v>
      </c>
      <c r="P310" s="49" t="s">
        <v>150</v>
      </c>
      <c r="Q310" s="49" t="s">
        <v>150</v>
      </c>
      <c r="R310" s="49" t="s">
        <v>150</v>
      </c>
      <c r="S310" s="50"/>
      <c r="T310" s="51"/>
      <c r="V310" s="60" t="s">
        <v>155</v>
      </c>
      <c r="W310" s="73">
        <v>0.09</v>
      </c>
      <c r="X310" s="47">
        <f>W310+0.25%</f>
        <v>9.2499999999999999E-2</v>
      </c>
      <c r="Y310" s="49" t="s">
        <v>150</v>
      </c>
      <c r="Z310" s="49" t="s">
        <v>150</v>
      </c>
      <c r="AA310" s="49" t="s">
        <v>150</v>
      </c>
      <c r="AB310" s="49" t="s">
        <v>150</v>
      </c>
      <c r="AF310" s="60" t="str">
        <f t="shared" si="261"/>
        <v>&lt;64.99%</v>
      </c>
      <c r="AG310" s="73">
        <v>0.10249999999999999</v>
      </c>
      <c r="AH310" s="49" t="s">
        <v>150</v>
      </c>
      <c r="AI310" s="49" t="s">
        <v>150</v>
      </c>
      <c r="AJ310" s="49" t="s">
        <v>150</v>
      </c>
      <c r="AK310" s="49" t="s">
        <v>150</v>
      </c>
      <c r="AL310" s="49" t="s">
        <v>150</v>
      </c>
      <c r="AM310" s="50"/>
      <c r="AN310" s="51"/>
      <c r="AP310" s="60" t="str">
        <f t="shared" si="262"/>
        <v>&lt;64.99%</v>
      </c>
      <c r="AQ310" s="73">
        <v>0.09</v>
      </c>
      <c r="AR310" s="47">
        <f>AQ310+0.25%</f>
        <v>9.2499999999999999E-2</v>
      </c>
      <c r="AS310" s="49" t="s">
        <v>150</v>
      </c>
      <c r="AT310" s="49" t="s">
        <v>150</v>
      </c>
      <c r="AU310" s="49" t="s">
        <v>150</v>
      </c>
      <c r="AV310" s="49" t="s">
        <v>150</v>
      </c>
      <c r="AZ310" s="60" t="str">
        <f t="shared" si="263"/>
        <v>&lt;64.99%</v>
      </c>
      <c r="BA310" s="73">
        <v>0.10249999999999999</v>
      </c>
      <c r="BB310" s="49" t="s">
        <v>150</v>
      </c>
      <c r="BC310" s="49" t="s">
        <v>150</v>
      </c>
      <c r="BD310" s="49" t="s">
        <v>150</v>
      </c>
      <c r="BE310" s="49" t="s">
        <v>150</v>
      </c>
      <c r="BF310" s="49" t="s">
        <v>150</v>
      </c>
    </row>
    <row r="311" spans="2:58" ht="15" customHeight="1" x14ac:dyDescent="0.45">
      <c r="B311" s="52" t="s">
        <v>151</v>
      </c>
      <c r="C311" s="53">
        <f>C310+0</f>
        <v>0.09</v>
      </c>
      <c r="D311" s="53">
        <f>D310+0</f>
        <v>9.2499999999999999E-2</v>
      </c>
      <c r="E311" s="54" t="s">
        <v>150</v>
      </c>
      <c r="F311" s="54" t="s">
        <v>150</v>
      </c>
      <c r="G311" s="54" t="s">
        <v>150</v>
      </c>
      <c r="H311" s="54" t="s">
        <v>150</v>
      </c>
      <c r="L311" s="52" t="s">
        <v>151</v>
      </c>
      <c r="M311" s="53">
        <f>M310+0</f>
        <v>0.10249999999999999</v>
      </c>
      <c r="N311" s="54" t="s">
        <v>150</v>
      </c>
      <c r="O311" s="54" t="s">
        <v>150</v>
      </c>
      <c r="P311" s="54" t="s">
        <v>150</v>
      </c>
      <c r="Q311" s="54" t="s">
        <v>150</v>
      </c>
      <c r="R311" s="54" t="s">
        <v>150</v>
      </c>
      <c r="S311" s="55"/>
      <c r="T311" s="56"/>
      <c r="V311" s="52" t="s">
        <v>151</v>
      </c>
      <c r="W311" s="53">
        <f>W310+0</f>
        <v>0.09</v>
      </c>
      <c r="X311" s="53">
        <f>X310+0</f>
        <v>9.2499999999999999E-2</v>
      </c>
      <c r="Y311" s="54" t="s">
        <v>150</v>
      </c>
      <c r="Z311" s="54" t="s">
        <v>150</v>
      </c>
      <c r="AA311" s="54" t="s">
        <v>150</v>
      </c>
      <c r="AB311" s="54" t="s">
        <v>150</v>
      </c>
      <c r="AF311" s="52" t="str">
        <f t="shared" si="261"/>
        <v>FICO 700+</v>
      </c>
      <c r="AG311" s="53">
        <f>AG310+0</f>
        <v>0.10249999999999999</v>
      </c>
      <c r="AH311" s="54" t="s">
        <v>150</v>
      </c>
      <c r="AI311" s="54" t="s">
        <v>150</v>
      </c>
      <c r="AJ311" s="54" t="s">
        <v>150</v>
      </c>
      <c r="AK311" s="54" t="s">
        <v>150</v>
      </c>
      <c r="AL311" s="54" t="s">
        <v>150</v>
      </c>
      <c r="AM311" s="55"/>
      <c r="AN311" s="56"/>
      <c r="AP311" s="52" t="str">
        <f t="shared" si="262"/>
        <v>FICO 700+</v>
      </c>
      <c r="AQ311" s="53">
        <f>AQ310+0</f>
        <v>0.09</v>
      </c>
      <c r="AR311" s="53">
        <f>AR310+0</f>
        <v>9.2499999999999999E-2</v>
      </c>
      <c r="AS311" s="54" t="s">
        <v>150</v>
      </c>
      <c r="AT311" s="54" t="s">
        <v>150</v>
      </c>
      <c r="AU311" s="54" t="s">
        <v>150</v>
      </c>
      <c r="AV311" s="54" t="s">
        <v>150</v>
      </c>
      <c r="AZ311" s="52" t="str">
        <f t="shared" si="263"/>
        <v>FICO 700+</v>
      </c>
      <c r="BA311" s="53">
        <f>BA310+0</f>
        <v>0.10249999999999999</v>
      </c>
      <c r="BB311" s="54" t="s">
        <v>150</v>
      </c>
      <c r="BC311" s="54" t="s">
        <v>150</v>
      </c>
      <c r="BD311" s="54" t="s">
        <v>150</v>
      </c>
      <c r="BE311" s="54" t="s">
        <v>150</v>
      </c>
      <c r="BF311" s="54" t="s">
        <v>150</v>
      </c>
    </row>
    <row r="312" spans="2:58" ht="15" customHeight="1" x14ac:dyDescent="0.45">
      <c r="B312" s="52" t="s">
        <v>152</v>
      </c>
      <c r="C312" s="53">
        <f>C310+0.25%</f>
        <v>9.2499999999999999E-2</v>
      </c>
      <c r="D312" s="53">
        <f>D310+0.25%</f>
        <v>9.5000000000000001E-2</v>
      </c>
      <c r="E312" s="54" t="s">
        <v>150</v>
      </c>
      <c r="F312" s="54" t="s">
        <v>150</v>
      </c>
      <c r="G312" s="54" t="s">
        <v>150</v>
      </c>
      <c r="H312" s="54" t="s">
        <v>150</v>
      </c>
      <c r="L312" s="52" t="s">
        <v>152</v>
      </c>
      <c r="M312" s="53">
        <f>M310+0.25%</f>
        <v>0.105</v>
      </c>
      <c r="N312" s="54" t="s">
        <v>150</v>
      </c>
      <c r="O312" s="54" t="s">
        <v>150</v>
      </c>
      <c r="P312" s="54" t="s">
        <v>150</v>
      </c>
      <c r="Q312" s="54" t="s">
        <v>150</v>
      </c>
      <c r="R312" s="54" t="s">
        <v>150</v>
      </c>
      <c r="S312" s="55"/>
      <c r="T312" s="56"/>
      <c r="V312" s="52" t="s">
        <v>152</v>
      </c>
      <c r="W312" s="53">
        <f>W310+0.25%</f>
        <v>9.2499999999999999E-2</v>
      </c>
      <c r="X312" s="53">
        <f>X310+0.25%</f>
        <v>9.5000000000000001E-2</v>
      </c>
      <c r="Y312" s="54" t="s">
        <v>150</v>
      </c>
      <c r="Z312" s="54" t="s">
        <v>150</v>
      </c>
      <c r="AA312" s="54" t="s">
        <v>150</v>
      </c>
      <c r="AB312" s="54" t="s">
        <v>150</v>
      </c>
      <c r="AF312" s="52" t="str">
        <f t="shared" si="261"/>
        <v>FICO 660-699</v>
      </c>
      <c r="AG312" s="53">
        <f>AG310+0.25%</f>
        <v>0.105</v>
      </c>
      <c r="AH312" s="54" t="s">
        <v>150</v>
      </c>
      <c r="AI312" s="54" t="s">
        <v>150</v>
      </c>
      <c r="AJ312" s="54" t="s">
        <v>150</v>
      </c>
      <c r="AK312" s="54" t="s">
        <v>150</v>
      </c>
      <c r="AL312" s="54" t="s">
        <v>150</v>
      </c>
      <c r="AM312" s="55"/>
      <c r="AN312" s="56"/>
      <c r="AP312" s="52" t="str">
        <f t="shared" si="262"/>
        <v>FICO 660-699</v>
      </c>
      <c r="AQ312" s="53">
        <f>AQ310+0.25%</f>
        <v>9.2499999999999999E-2</v>
      </c>
      <c r="AR312" s="53">
        <f>AR310+0.25%</f>
        <v>9.5000000000000001E-2</v>
      </c>
      <c r="AS312" s="54" t="s">
        <v>150</v>
      </c>
      <c r="AT312" s="54" t="s">
        <v>150</v>
      </c>
      <c r="AU312" s="54" t="s">
        <v>150</v>
      </c>
      <c r="AV312" s="54" t="s">
        <v>150</v>
      </c>
      <c r="AZ312" s="52" t="str">
        <f t="shared" si="263"/>
        <v>FICO 660-699</v>
      </c>
      <c r="BA312" s="53">
        <f>BA310+0.25%</f>
        <v>0.105</v>
      </c>
      <c r="BB312" s="54" t="s">
        <v>150</v>
      </c>
      <c r="BC312" s="54" t="s">
        <v>150</v>
      </c>
      <c r="BD312" s="54" t="s">
        <v>150</v>
      </c>
      <c r="BE312" s="54" t="s">
        <v>150</v>
      </c>
      <c r="BF312" s="54" t="s">
        <v>150</v>
      </c>
    </row>
    <row r="313" spans="2:58" ht="15" customHeight="1" x14ac:dyDescent="0.45">
      <c r="B313" s="52" t="s">
        <v>153</v>
      </c>
      <c r="C313" s="54" t="s">
        <v>150</v>
      </c>
      <c r="D313" s="54" t="s">
        <v>150</v>
      </c>
      <c r="E313" s="54" t="s">
        <v>150</v>
      </c>
      <c r="F313" s="54" t="s">
        <v>150</v>
      </c>
      <c r="G313" s="54" t="s">
        <v>150</v>
      </c>
      <c r="H313" s="54" t="s">
        <v>150</v>
      </c>
      <c r="L313" s="52" t="s">
        <v>153</v>
      </c>
      <c r="M313" s="54" t="s">
        <v>150</v>
      </c>
      <c r="N313" s="54" t="s">
        <v>150</v>
      </c>
      <c r="O313" s="54" t="s">
        <v>150</v>
      </c>
      <c r="P313" s="54" t="s">
        <v>150</v>
      </c>
      <c r="Q313" s="54" t="s">
        <v>150</v>
      </c>
      <c r="R313" s="54" t="s">
        <v>150</v>
      </c>
      <c r="S313" s="55"/>
      <c r="T313" s="56"/>
      <c r="V313" s="52" t="s">
        <v>153</v>
      </c>
      <c r="W313" s="54" t="s">
        <v>150</v>
      </c>
      <c r="X313" s="54" t="s">
        <v>150</v>
      </c>
      <c r="Y313" s="54" t="s">
        <v>150</v>
      </c>
      <c r="Z313" s="54" t="s">
        <v>150</v>
      </c>
      <c r="AA313" s="54" t="s">
        <v>150</v>
      </c>
      <c r="AB313" s="54" t="s">
        <v>150</v>
      </c>
      <c r="AF313" s="52" t="str">
        <f t="shared" si="261"/>
        <v>FICO 640-659</v>
      </c>
      <c r="AG313" s="54" t="s">
        <v>150</v>
      </c>
      <c r="AH313" s="54" t="s">
        <v>150</v>
      </c>
      <c r="AI313" s="54" t="s">
        <v>150</v>
      </c>
      <c r="AJ313" s="54" t="s">
        <v>150</v>
      </c>
      <c r="AK313" s="54" t="s">
        <v>150</v>
      </c>
      <c r="AL313" s="54" t="s">
        <v>150</v>
      </c>
      <c r="AM313" s="55"/>
      <c r="AN313" s="56"/>
      <c r="AP313" s="52" t="str">
        <f t="shared" si="262"/>
        <v>FICO 640-659</v>
      </c>
      <c r="AQ313" s="54" t="s">
        <v>150</v>
      </c>
      <c r="AR313" s="54" t="s">
        <v>150</v>
      </c>
      <c r="AS313" s="54" t="s">
        <v>150</v>
      </c>
      <c r="AT313" s="54" t="s">
        <v>150</v>
      </c>
      <c r="AU313" s="54" t="s">
        <v>150</v>
      </c>
      <c r="AV313" s="54" t="s">
        <v>150</v>
      </c>
      <c r="AZ313" s="52" t="str">
        <f t="shared" si="263"/>
        <v>FICO 640-659</v>
      </c>
      <c r="BA313" s="54" t="s">
        <v>150</v>
      </c>
      <c r="BB313" s="54" t="s">
        <v>150</v>
      </c>
      <c r="BC313" s="54" t="s">
        <v>150</v>
      </c>
      <c r="BD313" s="54" t="s">
        <v>150</v>
      </c>
      <c r="BE313" s="54" t="s">
        <v>150</v>
      </c>
      <c r="BF313" s="54" t="s">
        <v>150</v>
      </c>
    </row>
    <row r="315" spans="2:58" ht="15.75" customHeight="1" x14ac:dyDescent="0.45">
      <c r="B315" s="94" t="s">
        <v>168</v>
      </c>
      <c r="C315" s="94"/>
      <c r="D315" s="94"/>
      <c r="E315" s="94"/>
      <c r="F315" s="94"/>
      <c r="G315" s="94"/>
      <c r="H315" s="94"/>
      <c r="L315" s="94" t="s">
        <v>168</v>
      </c>
      <c r="M315" s="94"/>
      <c r="N315" s="94"/>
      <c r="O315" s="94"/>
      <c r="P315" s="94"/>
      <c r="Q315" s="94"/>
      <c r="R315" s="94"/>
      <c r="S315" s="39"/>
      <c r="T315" s="40"/>
      <c r="V315" s="94" t="s">
        <v>168</v>
      </c>
      <c r="W315" s="94"/>
      <c r="X315" s="94"/>
      <c r="Y315" s="94"/>
      <c r="Z315" s="94"/>
      <c r="AA315" s="94"/>
      <c r="AB315" s="94"/>
      <c r="AF315" s="94" t="s">
        <v>168</v>
      </c>
      <c r="AG315" s="94"/>
      <c r="AH315" s="94"/>
      <c r="AI315" s="94"/>
      <c r="AJ315" s="94"/>
      <c r="AK315" s="94"/>
      <c r="AL315" s="94"/>
      <c r="AM315" s="39"/>
      <c r="AN315" s="40"/>
      <c r="AP315" s="94" t="s">
        <v>168</v>
      </c>
      <c r="AQ315" s="94"/>
      <c r="AR315" s="94"/>
      <c r="AS315" s="94"/>
      <c r="AT315" s="94"/>
      <c r="AU315" s="94"/>
      <c r="AV315" s="94"/>
      <c r="AZ315" s="94" t="s">
        <v>168</v>
      </c>
      <c r="BA315" s="94"/>
      <c r="BB315" s="94"/>
      <c r="BC315" s="94"/>
      <c r="BD315" s="94"/>
      <c r="BE315" s="94"/>
      <c r="BF315" s="94"/>
    </row>
    <row r="316" spans="2:58" ht="15" customHeight="1" x14ac:dyDescent="0.45">
      <c r="B316" s="45"/>
      <c r="C316" s="95" t="s">
        <v>50</v>
      </c>
      <c r="D316" s="95"/>
      <c r="E316" s="95"/>
      <c r="F316" s="95"/>
      <c r="G316" s="95"/>
      <c r="H316" s="95"/>
      <c r="L316" s="45"/>
      <c r="M316" s="95" t="s">
        <v>50</v>
      </c>
      <c r="N316" s="95"/>
      <c r="O316" s="95"/>
      <c r="P316" s="95"/>
      <c r="Q316" s="95"/>
      <c r="R316" s="95"/>
      <c r="S316" s="41"/>
      <c r="T316" s="43"/>
      <c r="V316" s="45"/>
      <c r="W316" s="95" t="str">
        <f>C316</f>
        <v>LTC</v>
      </c>
      <c r="X316" s="95"/>
      <c r="Y316" s="95"/>
      <c r="Z316" s="95"/>
      <c r="AA316" s="95"/>
      <c r="AB316" s="95"/>
      <c r="AF316" s="45"/>
      <c r="AG316" s="95" t="str">
        <f>W316</f>
        <v>LTC</v>
      </c>
      <c r="AH316" s="95"/>
      <c r="AI316" s="95"/>
      <c r="AJ316" s="95"/>
      <c r="AK316" s="95"/>
      <c r="AL316" s="95"/>
      <c r="AM316" s="41"/>
      <c r="AN316" s="43"/>
      <c r="AP316" s="45"/>
      <c r="AQ316" s="95" t="str">
        <f>C316</f>
        <v>LTC</v>
      </c>
      <c r="AR316" s="95"/>
      <c r="AS316" s="95"/>
      <c r="AT316" s="95"/>
      <c r="AU316" s="95"/>
      <c r="AV316" s="95"/>
      <c r="AZ316" s="45"/>
      <c r="BA316" s="95" t="str">
        <f>C316</f>
        <v>LTC</v>
      </c>
      <c r="BB316" s="95"/>
      <c r="BC316" s="95"/>
      <c r="BD316" s="95"/>
      <c r="BE316" s="95"/>
      <c r="BF316" s="95"/>
    </row>
    <row r="317" spans="2:58" ht="15" customHeight="1" x14ac:dyDescent="0.45">
      <c r="B317" s="44" t="s">
        <v>52</v>
      </c>
      <c r="C317" s="45" t="s">
        <v>143</v>
      </c>
      <c r="D317" s="45" t="s">
        <v>144</v>
      </c>
      <c r="E317" s="45" t="s">
        <v>145</v>
      </c>
      <c r="F317" s="45" t="s">
        <v>146</v>
      </c>
      <c r="G317" s="45" t="s">
        <v>147</v>
      </c>
      <c r="H317" s="45" t="s">
        <v>148</v>
      </c>
      <c r="L317" s="44" t="s">
        <v>52</v>
      </c>
      <c r="M317" s="70" t="s">
        <v>143</v>
      </c>
      <c r="N317" s="70" t="s">
        <v>144</v>
      </c>
      <c r="O317" s="70" t="s">
        <v>145</v>
      </c>
      <c r="P317" s="70" t="s">
        <v>146</v>
      </c>
      <c r="Q317" s="70" t="s">
        <v>147</v>
      </c>
      <c r="R317" s="70" t="s">
        <v>148</v>
      </c>
      <c r="S317" s="41"/>
      <c r="T317" s="43"/>
      <c r="V317" s="44" t="str">
        <f t="shared" ref="V317:V324" si="264">B317</f>
        <v>AR-LTV</v>
      </c>
      <c r="W317" s="45" t="str">
        <f>C317</f>
        <v>&lt;74.99%</v>
      </c>
      <c r="X317" s="45" t="str">
        <f>D317</f>
        <v>75.00%-80.00%</v>
      </c>
      <c r="Y317" s="45" t="str">
        <f>E317</f>
        <v>80.01%-85.00%</v>
      </c>
      <c r="Z317" s="45" t="str">
        <f>F317</f>
        <v>85.01%-87.50%</v>
      </c>
      <c r="AA317" s="45" t="str">
        <f>G317</f>
        <v>87.51%-89.99%</v>
      </c>
      <c r="AB317" s="45" t="str">
        <f>H317</f>
        <v>90.00%-92.50%</v>
      </c>
      <c r="AF317" s="44" t="str">
        <f t="shared" ref="AF317:AF333" si="265">V317</f>
        <v>AR-LTV</v>
      </c>
      <c r="AG317" s="45" t="str">
        <f>W317</f>
        <v>&lt;74.99%</v>
      </c>
      <c r="AH317" s="45" t="str">
        <f>X317</f>
        <v>75.00%-80.00%</v>
      </c>
      <c r="AI317" s="45" t="str">
        <f>Y317</f>
        <v>80.01%-85.00%</v>
      </c>
      <c r="AJ317" s="45" t="str">
        <f>Z317</f>
        <v>85.01%-87.50%</v>
      </c>
      <c r="AK317" s="45" t="str">
        <f>AA317</f>
        <v>87.51%-89.99%</v>
      </c>
      <c r="AL317" s="45" t="str">
        <f>AB317</f>
        <v>90.00%-92.50%</v>
      </c>
      <c r="AM317" s="41"/>
      <c r="AN317" s="43"/>
      <c r="AP317" s="44" t="str">
        <f t="shared" ref="AP317:AP333" si="266">B317</f>
        <v>AR-LTV</v>
      </c>
      <c r="AQ317" s="45" t="str">
        <f>C317</f>
        <v>&lt;74.99%</v>
      </c>
      <c r="AR317" s="45" t="str">
        <f>D317</f>
        <v>75.00%-80.00%</v>
      </c>
      <c r="AS317" s="45" t="str">
        <f>E317</f>
        <v>80.01%-85.00%</v>
      </c>
      <c r="AT317" s="45" t="str">
        <f>F317</f>
        <v>85.01%-87.50%</v>
      </c>
      <c r="AU317" s="45" t="str">
        <f>G317</f>
        <v>87.51%-89.99%</v>
      </c>
      <c r="AV317" s="45" t="str">
        <f>H317</f>
        <v>90.00%-92.50%</v>
      </c>
      <c r="AZ317" s="71" t="str">
        <f t="shared" ref="AZ317:AZ333" si="267">B317</f>
        <v>AR-LTV</v>
      </c>
      <c r="BA317" s="45" t="str">
        <f>C317</f>
        <v>&lt;74.99%</v>
      </c>
      <c r="BB317" s="45" t="str">
        <f>D317</f>
        <v>75.00%-80.00%</v>
      </c>
      <c r="BC317" s="45" t="str">
        <f>E317</f>
        <v>80.01%-85.00%</v>
      </c>
      <c r="BD317" s="45" t="str">
        <f>F317</f>
        <v>85.01%-87.50%</v>
      </c>
      <c r="BE317" s="45" t="str">
        <f>G317</f>
        <v>87.51%-89.99%</v>
      </c>
      <c r="BF317" s="45" t="str">
        <f>H317</f>
        <v>90.00%-92.50%</v>
      </c>
    </row>
    <row r="318" spans="2:58" ht="15" hidden="1" customHeight="1" x14ac:dyDescent="0.45">
      <c r="B318" s="46" t="s">
        <v>164</v>
      </c>
      <c r="C318" s="74" t="s">
        <v>150</v>
      </c>
      <c r="D318" s="74" t="s">
        <v>150</v>
      </c>
      <c r="E318" s="74" t="s">
        <v>150</v>
      </c>
      <c r="F318" s="74" t="s">
        <v>150</v>
      </c>
      <c r="G318" s="74" t="s">
        <v>150</v>
      </c>
      <c r="H318" s="74" t="s">
        <v>150</v>
      </c>
      <c r="L318" s="46" t="s">
        <v>164</v>
      </c>
      <c r="M318" s="59" t="s">
        <v>150</v>
      </c>
      <c r="N318" s="59" t="s">
        <v>150</v>
      </c>
      <c r="O318" s="59" t="s">
        <v>150</v>
      </c>
      <c r="P318" s="59" t="s">
        <v>150</v>
      </c>
      <c r="Q318" s="59" t="s">
        <v>150</v>
      </c>
      <c r="R318" s="59" t="s">
        <v>150</v>
      </c>
      <c r="S318" s="55"/>
      <c r="T318" s="56"/>
      <c r="V318" s="46" t="str">
        <f t="shared" si="264"/>
        <v>75.01%-80.00%</v>
      </c>
      <c r="W318" s="74" t="s">
        <v>150</v>
      </c>
      <c r="X318" s="74" t="s">
        <v>150</v>
      </c>
      <c r="Y318" s="74" t="s">
        <v>150</v>
      </c>
      <c r="Z318" s="74" t="s">
        <v>150</v>
      </c>
      <c r="AA318" s="74" t="s">
        <v>150</v>
      </c>
      <c r="AB318" s="74" t="s">
        <v>150</v>
      </c>
      <c r="AF318" s="46" t="str">
        <f t="shared" si="265"/>
        <v>75.01%-80.00%</v>
      </c>
      <c r="AG318" s="59" t="s">
        <v>150</v>
      </c>
      <c r="AH318" s="59" t="s">
        <v>150</v>
      </c>
      <c r="AI318" s="59" t="s">
        <v>150</v>
      </c>
      <c r="AJ318" s="59" t="s">
        <v>150</v>
      </c>
      <c r="AK318" s="59" t="s">
        <v>150</v>
      </c>
      <c r="AL318" s="59" t="s">
        <v>150</v>
      </c>
      <c r="AM318" s="55"/>
      <c r="AN318" s="56"/>
      <c r="AP318" s="46" t="str">
        <f t="shared" si="266"/>
        <v>75.01%-80.00%</v>
      </c>
      <c r="AQ318" s="74" t="s">
        <v>150</v>
      </c>
      <c r="AR318" s="74" t="s">
        <v>150</v>
      </c>
      <c r="AS318" s="74" t="s">
        <v>150</v>
      </c>
      <c r="AT318" s="74" t="s">
        <v>150</v>
      </c>
      <c r="AU318" s="74" t="s">
        <v>150</v>
      </c>
      <c r="AV318" s="74" t="s">
        <v>150</v>
      </c>
      <c r="AZ318" s="46" t="str">
        <f t="shared" si="267"/>
        <v>75.01%-80.00%</v>
      </c>
      <c r="BA318" s="59" t="s">
        <v>150</v>
      </c>
      <c r="BB318" s="59" t="s">
        <v>150</v>
      </c>
      <c r="BC318" s="59" t="s">
        <v>150</v>
      </c>
      <c r="BD318" s="59" t="s">
        <v>150</v>
      </c>
      <c r="BE318" s="59" t="s">
        <v>150</v>
      </c>
      <c r="BF318" s="59" t="s">
        <v>150</v>
      </c>
    </row>
    <row r="319" spans="2:58" ht="15" hidden="1" customHeight="1" x14ac:dyDescent="0.45">
      <c r="B319" s="52" t="s">
        <v>151</v>
      </c>
      <c r="C319" s="54" t="s">
        <v>150</v>
      </c>
      <c r="D319" s="54" t="s">
        <v>150</v>
      </c>
      <c r="E319" s="54" t="s">
        <v>150</v>
      </c>
      <c r="F319" s="54" t="s">
        <v>150</v>
      </c>
      <c r="G319" s="54" t="s">
        <v>150</v>
      </c>
      <c r="H319" s="54" t="s">
        <v>150</v>
      </c>
      <c r="L319" s="52" t="s">
        <v>151</v>
      </c>
      <c r="M319" s="54" t="s">
        <v>150</v>
      </c>
      <c r="N319" s="54" t="s">
        <v>150</v>
      </c>
      <c r="O319" s="54" t="s">
        <v>150</v>
      </c>
      <c r="P319" s="54" t="s">
        <v>150</v>
      </c>
      <c r="Q319" s="54" t="s">
        <v>150</v>
      </c>
      <c r="R319" s="54" t="s">
        <v>150</v>
      </c>
      <c r="S319" s="55"/>
      <c r="T319" s="56"/>
      <c r="V319" s="52" t="str">
        <f t="shared" si="264"/>
        <v>FICO 700+</v>
      </c>
      <c r="W319" s="54" t="s">
        <v>150</v>
      </c>
      <c r="X319" s="54" t="s">
        <v>150</v>
      </c>
      <c r="Y319" s="54" t="s">
        <v>150</v>
      </c>
      <c r="Z319" s="54" t="s">
        <v>150</v>
      </c>
      <c r="AA319" s="54" t="s">
        <v>150</v>
      </c>
      <c r="AB319" s="54" t="s">
        <v>150</v>
      </c>
      <c r="AF319" s="52" t="str">
        <f t="shared" si="265"/>
        <v>FICO 700+</v>
      </c>
      <c r="AG319" s="54" t="s">
        <v>150</v>
      </c>
      <c r="AH319" s="54" t="s">
        <v>150</v>
      </c>
      <c r="AI319" s="54" t="s">
        <v>150</v>
      </c>
      <c r="AJ319" s="54" t="s">
        <v>150</v>
      </c>
      <c r="AK319" s="54" t="s">
        <v>150</v>
      </c>
      <c r="AL319" s="54" t="s">
        <v>150</v>
      </c>
      <c r="AM319" s="55"/>
      <c r="AN319" s="56"/>
      <c r="AP319" s="52" t="str">
        <f t="shared" si="266"/>
        <v>FICO 700+</v>
      </c>
      <c r="AQ319" s="54" t="s">
        <v>150</v>
      </c>
      <c r="AR319" s="54" t="s">
        <v>150</v>
      </c>
      <c r="AS319" s="54" t="s">
        <v>150</v>
      </c>
      <c r="AT319" s="54" t="s">
        <v>150</v>
      </c>
      <c r="AU319" s="54" t="s">
        <v>150</v>
      </c>
      <c r="AV319" s="54" t="s">
        <v>150</v>
      </c>
      <c r="AZ319" s="52" t="str">
        <f t="shared" si="267"/>
        <v>FICO 700+</v>
      </c>
      <c r="BA319" s="54" t="s">
        <v>150</v>
      </c>
      <c r="BB319" s="54" t="s">
        <v>150</v>
      </c>
      <c r="BC319" s="54" t="s">
        <v>150</v>
      </c>
      <c r="BD319" s="54" t="s">
        <v>150</v>
      </c>
      <c r="BE319" s="54" t="s">
        <v>150</v>
      </c>
      <c r="BF319" s="54" t="s">
        <v>150</v>
      </c>
    </row>
    <row r="320" spans="2:58" ht="15" hidden="1" customHeight="1" x14ac:dyDescent="0.45">
      <c r="B320" s="52" t="s">
        <v>158</v>
      </c>
      <c r="C320" s="54" t="s">
        <v>150</v>
      </c>
      <c r="D320" s="54" t="s">
        <v>150</v>
      </c>
      <c r="E320" s="54" t="s">
        <v>150</v>
      </c>
      <c r="F320" s="54" t="s">
        <v>150</v>
      </c>
      <c r="G320" s="54" t="s">
        <v>150</v>
      </c>
      <c r="H320" s="54" t="s">
        <v>150</v>
      </c>
      <c r="L320" s="52" t="s">
        <v>158</v>
      </c>
      <c r="M320" s="54" t="s">
        <v>150</v>
      </c>
      <c r="N320" s="54" t="s">
        <v>150</v>
      </c>
      <c r="O320" s="54" t="s">
        <v>150</v>
      </c>
      <c r="P320" s="54" t="s">
        <v>150</v>
      </c>
      <c r="Q320" s="54" t="s">
        <v>150</v>
      </c>
      <c r="R320" s="54" t="s">
        <v>150</v>
      </c>
      <c r="S320" s="55"/>
      <c r="T320" s="56"/>
      <c r="V320" s="52" t="str">
        <f t="shared" si="264"/>
        <v>FICO 680-699</v>
      </c>
      <c r="W320" s="54" t="s">
        <v>150</v>
      </c>
      <c r="X320" s="54" t="s">
        <v>150</v>
      </c>
      <c r="Y320" s="54" t="s">
        <v>150</v>
      </c>
      <c r="Z320" s="54" t="s">
        <v>150</v>
      </c>
      <c r="AA320" s="54" t="s">
        <v>150</v>
      </c>
      <c r="AB320" s="54" t="s">
        <v>150</v>
      </c>
      <c r="AF320" s="52" t="str">
        <f t="shared" si="265"/>
        <v>FICO 680-699</v>
      </c>
      <c r="AG320" s="54" t="s">
        <v>150</v>
      </c>
      <c r="AH320" s="54" t="s">
        <v>150</v>
      </c>
      <c r="AI320" s="54" t="s">
        <v>150</v>
      </c>
      <c r="AJ320" s="54" t="s">
        <v>150</v>
      </c>
      <c r="AK320" s="54" t="s">
        <v>150</v>
      </c>
      <c r="AL320" s="54" t="s">
        <v>150</v>
      </c>
      <c r="AM320" s="55"/>
      <c r="AN320" s="56"/>
      <c r="AP320" s="52" t="str">
        <f t="shared" si="266"/>
        <v>FICO 680-699</v>
      </c>
      <c r="AQ320" s="54" t="s">
        <v>150</v>
      </c>
      <c r="AR320" s="54" t="s">
        <v>150</v>
      </c>
      <c r="AS320" s="54" t="s">
        <v>150</v>
      </c>
      <c r="AT320" s="54" t="s">
        <v>150</v>
      </c>
      <c r="AU320" s="54" t="s">
        <v>150</v>
      </c>
      <c r="AV320" s="54" t="s">
        <v>150</v>
      </c>
      <c r="AZ320" s="52" t="str">
        <f t="shared" si="267"/>
        <v>FICO 680-699</v>
      </c>
      <c r="BA320" s="54" t="s">
        <v>150</v>
      </c>
      <c r="BB320" s="54" t="s">
        <v>150</v>
      </c>
      <c r="BC320" s="54" t="s">
        <v>150</v>
      </c>
      <c r="BD320" s="54" t="s">
        <v>150</v>
      </c>
      <c r="BE320" s="54" t="s">
        <v>150</v>
      </c>
      <c r="BF320" s="54" t="s">
        <v>150</v>
      </c>
    </row>
    <row r="321" spans="2:58" ht="15" hidden="1" customHeight="1" x14ac:dyDescent="0.45">
      <c r="B321" s="52" t="s">
        <v>153</v>
      </c>
      <c r="C321" s="59" t="s">
        <v>150</v>
      </c>
      <c r="D321" s="59" t="s">
        <v>150</v>
      </c>
      <c r="E321" s="59" t="s">
        <v>150</v>
      </c>
      <c r="F321" s="59" t="s">
        <v>150</v>
      </c>
      <c r="G321" s="59" t="s">
        <v>150</v>
      </c>
      <c r="H321" s="59" t="s">
        <v>150</v>
      </c>
      <c r="L321" s="52" t="s">
        <v>153</v>
      </c>
      <c r="M321" s="59" t="s">
        <v>150</v>
      </c>
      <c r="N321" s="59" t="s">
        <v>150</v>
      </c>
      <c r="O321" s="59" t="s">
        <v>150</v>
      </c>
      <c r="P321" s="59" t="s">
        <v>150</v>
      </c>
      <c r="Q321" s="59" t="s">
        <v>150</v>
      </c>
      <c r="R321" s="59" t="s">
        <v>150</v>
      </c>
      <c r="S321" s="55"/>
      <c r="T321" s="56"/>
      <c r="V321" s="57" t="str">
        <f t="shared" si="264"/>
        <v>FICO 640-659</v>
      </c>
      <c r="W321" s="59" t="s">
        <v>150</v>
      </c>
      <c r="X321" s="59" t="s">
        <v>150</v>
      </c>
      <c r="Y321" s="59" t="s">
        <v>150</v>
      </c>
      <c r="Z321" s="59" t="s">
        <v>150</v>
      </c>
      <c r="AA321" s="59" t="s">
        <v>150</v>
      </c>
      <c r="AB321" s="59" t="s">
        <v>150</v>
      </c>
      <c r="AF321" s="57" t="str">
        <f t="shared" si="265"/>
        <v>FICO 640-659</v>
      </c>
      <c r="AG321" s="59" t="s">
        <v>150</v>
      </c>
      <c r="AH321" s="59" t="s">
        <v>150</v>
      </c>
      <c r="AI321" s="59" t="s">
        <v>150</v>
      </c>
      <c r="AJ321" s="59" t="s">
        <v>150</v>
      </c>
      <c r="AK321" s="59" t="s">
        <v>150</v>
      </c>
      <c r="AL321" s="59" t="s">
        <v>150</v>
      </c>
      <c r="AM321" s="55"/>
      <c r="AN321" s="56"/>
      <c r="AP321" s="57" t="str">
        <f t="shared" si="266"/>
        <v>FICO 640-659</v>
      </c>
      <c r="AQ321" s="59" t="s">
        <v>150</v>
      </c>
      <c r="AR321" s="59" t="s">
        <v>150</v>
      </c>
      <c r="AS321" s="59" t="s">
        <v>150</v>
      </c>
      <c r="AT321" s="59" t="s">
        <v>150</v>
      </c>
      <c r="AU321" s="59" t="s">
        <v>150</v>
      </c>
      <c r="AV321" s="59" t="s">
        <v>150</v>
      </c>
      <c r="AZ321" s="57" t="str">
        <f t="shared" si="267"/>
        <v>FICO 640-659</v>
      </c>
      <c r="BA321" s="59" t="s">
        <v>150</v>
      </c>
      <c r="BB321" s="59" t="s">
        <v>150</v>
      </c>
      <c r="BC321" s="59" t="s">
        <v>150</v>
      </c>
      <c r="BD321" s="59" t="s">
        <v>150</v>
      </c>
      <c r="BE321" s="59" t="s">
        <v>150</v>
      </c>
      <c r="BF321" s="59" t="s">
        <v>150</v>
      </c>
    </row>
    <row r="322" spans="2:58" ht="15" customHeight="1" x14ac:dyDescent="0.45">
      <c r="B322" s="46" t="s">
        <v>149</v>
      </c>
      <c r="C322" s="47">
        <f>C330+0.5%</f>
        <v>0.10500000000000001</v>
      </c>
      <c r="D322" s="49" t="s">
        <v>150</v>
      </c>
      <c r="E322" s="49" t="s">
        <v>150</v>
      </c>
      <c r="F322" s="49" t="s">
        <v>150</v>
      </c>
      <c r="G322" s="49" t="s">
        <v>150</v>
      </c>
      <c r="H322" s="49" t="s">
        <v>150</v>
      </c>
      <c r="L322" s="46" t="s">
        <v>149</v>
      </c>
      <c r="M322" s="64" t="s">
        <v>150</v>
      </c>
      <c r="N322" s="49" t="s">
        <v>150</v>
      </c>
      <c r="O322" s="49" t="s">
        <v>150</v>
      </c>
      <c r="P322" s="49" t="s">
        <v>150</v>
      </c>
      <c r="Q322" s="49" t="s">
        <v>150</v>
      </c>
      <c r="R322" s="49" t="s">
        <v>150</v>
      </c>
      <c r="S322" s="55"/>
      <c r="T322" s="56"/>
      <c r="V322" s="46" t="str">
        <f t="shared" si="264"/>
        <v>70.01%-75.00%</v>
      </c>
      <c r="W322" s="47">
        <f>W330+0.5%</f>
        <v>0.10500000000000001</v>
      </c>
      <c r="X322" s="49" t="s">
        <v>150</v>
      </c>
      <c r="Y322" s="49" t="s">
        <v>150</v>
      </c>
      <c r="Z322" s="49" t="s">
        <v>150</v>
      </c>
      <c r="AA322" s="49" t="s">
        <v>150</v>
      </c>
      <c r="AB322" s="49" t="s">
        <v>150</v>
      </c>
      <c r="AF322" s="46" t="str">
        <f t="shared" si="265"/>
        <v>70.01%-75.00%</v>
      </c>
      <c r="AG322" s="64" t="s">
        <v>150</v>
      </c>
      <c r="AH322" s="49" t="s">
        <v>150</v>
      </c>
      <c r="AI322" s="49" t="s">
        <v>150</v>
      </c>
      <c r="AJ322" s="49" t="s">
        <v>150</v>
      </c>
      <c r="AK322" s="49" t="s">
        <v>150</v>
      </c>
      <c r="AL322" s="49" t="s">
        <v>150</v>
      </c>
      <c r="AM322" s="55"/>
      <c r="AN322" s="56"/>
      <c r="AP322" s="46" t="str">
        <f t="shared" si="266"/>
        <v>70.01%-75.00%</v>
      </c>
      <c r="AQ322" s="47">
        <f>AQ330+0.5%</f>
        <v>0.10500000000000001</v>
      </c>
      <c r="AR322" s="49" t="s">
        <v>150</v>
      </c>
      <c r="AS322" s="49" t="s">
        <v>150</v>
      </c>
      <c r="AT322" s="49" t="s">
        <v>150</v>
      </c>
      <c r="AU322" s="49" t="s">
        <v>150</v>
      </c>
      <c r="AV322" s="49" t="s">
        <v>150</v>
      </c>
      <c r="AZ322" s="46" t="str">
        <f t="shared" si="267"/>
        <v>70.01%-75.00%</v>
      </c>
      <c r="BA322" s="64" t="s">
        <v>150</v>
      </c>
      <c r="BB322" s="49" t="s">
        <v>150</v>
      </c>
      <c r="BC322" s="49" t="s">
        <v>150</v>
      </c>
      <c r="BD322" s="49" t="s">
        <v>150</v>
      </c>
      <c r="BE322" s="49" t="s">
        <v>150</v>
      </c>
      <c r="BF322" s="49" t="s">
        <v>150</v>
      </c>
    </row>
    <row r="323" spans="2:58" ht="15" customHeight="1" x14ac:dyDescent="0.45">
      <c r="B323" s="52" t="s">
        <v>151</v>
      </c>
      <c r="C323" s="53">
        <f>C322+0</f>
        <v>0.10500000000000001</v>
      </c>
      <c r="D323" s="54" t="s">
        <v>150</v>
      </c>
      <c r="E323" s="54" t="s">
        <v>150</v>
      </c>
      <c r="F323" s="54" t="s">
        <v>150</v>
      </c>
      <c r="G323" s="54" t="s">
        <v>150</v>
      </c>
      <c r="H323" s="54" t="s">
        <v>150</v>
      </c>
      <c r="L323" s="52" t="s">
        <v>151</v>
      </c>
      <c r="M323" s="54" t="s">
        <v>150</v>
      </c>
      <c r="N323" s="54" t="s">
        <v>150</v>
      </c>
      <c r="O323" s="54" t="s">
        <v>150</v>
      </c>
      <c r="P323" s="54" t="s">
        <v>150</v>
      </c>
      <c r="Q323" s="54" t="s">
        <v>150</v>
      </c>
      <c r="R323" s="54" t="s">
        <v>150</v>
      </c>
      <c r="S323" s="55"/>
      <c r="T323" s="56"/>
      <c r="V323" s="52" t="str">
        <f t="shared" si="264"/>
        <v>FICO 700+</v>
      </c>
      <c r="W323" s="53">
        <f>W322+0</f>
        <v>0.10500000000000001</v>
      </c>
      <c r="X323" s="54" t="s">
        <v>150</v>
      </c>
      <c r="Y323" s="54" t="s">
        <v>150</v>
      </c>
      <c r="Z323" s="54" t="s">
        <v>150</v>
      </c>
      <c r="AA323" s="54" t="s">
        <v>150</v>
      </c>
      <c r="AB323" s="54" t="s">
        <v>150</v>
      </c>
      <c r="AF323" s="52" t="str">
        <f t="shared" si="265"/>
        <v>FICO 700+</v>
      </c>
      <c r="AG323" s="54" t="s">
        <v>150</v>
      </c>
      <c r="AH323" s="54" t="s">
        <v>150</v>
      </c>
      <c r="AI323" s="54" t="s">
        <v>150</v>
      </c>
      <c r="AJ323" s="54" t="s">
        <v>150</v>
      </c>
      <c r="AK323" s="54" t="s">
        <v>150</v>
      </c>
      <c r="AL323" s="54" t="s">
        <v>150</v>
      </c>
      <c r="AM323" s="55"/>
      <c r="AN323" s="56"/>
      <c r="AP323" s="52" t="str">
        <f t="shared" si="266"/>
        <v>FICO 700+</v>
      </c>
      <c r="AQ323" s="53">
        <f>AQ322+0</f>
        <v>0.10500000000000001</v>
      </c>
      <c r="AR323" s="54" t="s">
        <v>150</v>
      </c>
      <c r="AS323" s="54" t="s">
        <v>150</v>
      </c>
      <c r="AT323" s="54" t="s">
        <v>150</v>
      </c>
      <c r="AU323" s="54" t="s">
        <v>150</v>
      </c>
      <c r="AV323" s="54" t="s">
        <v>150</v>
      </c>
      <c r="AZ323" s="52" t="str">
        <f t="shared" si="267"/>
        <v>FICO 700+</v>
      </c>
      <c r="BA323" s="54" t="s">
        <v>150</v>
      </c>
      <c r="BB323" s="54" t="s">
        <v>150</v>
      </c>
      <c r="BC323" s="54" t="s">
        <v>150</v>
      </c>
      <c r="BD323" s="54" t="s">
        <v>150</v>
      </c>
      <c r="BE323" s="54" t="s">
        <v>150</v>
      </c>
      <c r="BF323" s="54" t="s">
        <v>150</v>
      </c>
    </row>
    <row r="324" spans="2:58" ht="15" customHeight="1" x14ac:dyDescent="0.45">
      <c r="B324" s="52" t="s">
        <v>158</v>
      </c>
      <c r="C324" s="53">
        <f>C322+0.25%</f>
        <v>0.10750000000000001</v>
      </c>
      <c r="D324" s="54" t="s">
        <v>150</v>
      </c>
      <c r="E324" s="54" t="s">
        <v>150</v>
      </c>
      <c r="F324" s="54" t="s">
        <v>150</v>
      </c>
      <c r="G324" s="54" t="s">
        <v>150</v>
      </c>
      <c r="H324" s="54" t="s">
        <v>150</v>
      </c>
      <c r="L324" s="52" t="s">
        <v>158</v>
      </c>
      <c r="M324" s="54" t="s">
        <v>150</v>
      </c>
      <c r="N324" s="54" t="s">
        <v>150</v>
      </c>
      <c r="O324" s="54" t="s">
        <v>150</v>
      </c>
      <c r="P324" s="54" t="s">
        <v>150</v>
      </c>
      <c r="Q324" s="54" t="s">
        <v>150</v>
      </c>
      <c r="R324" s="54" t="s">
        <v>150</v>
      </c>
      <c r="S324" s="55"/>
      <c r="T324" s="56"/>
      <c r="V324" s="52" t="str">
        <f t="shared" si="264"/>
        <v>FICO 680-699</v>
      </c>
      <c r="W324" s="53">
        <f>W322+0.25%</f>
        <v>0.10750000000000001</v>
      </c>
      <c r="X324" s="54" t="s">
        <v>150</v>
      </c>
      <c r="Y324" s="54" t="s">
        <v>150</v>
      </c>
      <c r="Z324" s="54" t="s">
        <v>150</v>
      </c>
      <c r="AA324" s="54" t="s">
        <v>150</v>
      </c>
      <c r="AB324" s="54" t="s">
        <v>150</v>
      </c>
      <c r="AF324" s="52" t="str">
        <f t="shared" si="265"/>
        <v>FICO 680-699</v>
      </c>
      <c r="AG324" s="54" t="s">
        <v>150</v>
      </c>
      <c r="AH324" s="54" t="s">
        <v>150</v>
      </c>
      <c r="AI324" s="54" t="s">
        <v>150</v>
      </c>
      <c r="AJ324" s="54" t="s">
        <v>150</v>
      </c>
      <c r="AK324" s="54" t="s">
        <v>150</v>
      </c>
      <c r="AL324" s="54" t="s">
        <v>150</v>
      </c>
      <c r="AM324" s="55"/>
      <c r="AN324" s="56"/>
      <c r="AP324" s="52" t="str">
        <f t="shared" si="266"/>
        <v>FICO 680-699</v>
      </c>
      <c r="AQ324" s="53">
        <f>AQ322+0.25%</f>
        <v>0.10750000000000001</v>
      </c>
      <c r="AR324" s="54" t="s">
        <v>150</v>
      </c>
      <c r="AS324" s="54" t="s">
        <v>150</v>
      </c>
      <c r="AT324" s="54" t="s">
        <v>150</v>
      </c>
      <c r="AU324" s="54" t="s">
        <v>150</v>
      </c>
      <c r="AV324" s="54" t="s">
        <v>150</v>
      </c>
      <c r="AZ324" s="52" t="str">
        <f t="shared" si="267"/>
        <v>FICO 680-699</v>
      </c>
      <c r="BA324" s="54" t="s">
        <v>150</v>
      </c>
      <c r="BB324" s="54" t="s">
        <v>150</v>
      </c>
      <c r="BC324" s="54" t="s">
        <v>150</v>
      </c>
      <c r="BD324" s="54" t="s">
        <v>150</v>
      </c>
      <c r="BE324" s="54" t="s">
        <v>150</v>
      </c>
      <c r="BF324" s="54" t="s">
        <v>150</v>
      </c>
    </row>
    <row r="325" spans="2:58" ht="15" customHeight="1" x14ac:dyDescent="0.45">
      <c r="B325" s="57" t="s">
        <v>159</v>
      </c>
      <c r="C325" s="59" t="s">
        <v>150</v>
      </c>
      <c r="D325" s="59" t="s">
        <v>150</v>
      </c>
      <c r="E325" s="59" t="s">
        <v>150</v>
      </c>
      <c r="F325" s="59" t="s">
        <v>150</v>
      </c>
      <c r="G325" s="59" t="s">
        <v>150</v>
      </c>
      <c r="H325" s="59" t="s">
        <v>150</v>
      </c>
      <c r="L325" s="57" t="s">
        <v>159</v>
      </c>
      <c r="M325" s="59" t="s">
        <v>150</v>
      </c>
      <c r="N325" s="59" t="s">
        <v>150</v>
      </c>
      <c r="O325" s="59" t="s">
        <v>150</v>
      </c>
      <c r="P325" s="59" t="s">
        <v>150</v>
      </c>
      <c r="Q325" s="59" t="s">
        <v>150</v>
      </c>
      <c r="R325" s="59" t="s">
        <v>150</v>
      </c>
      <c r="S325" s="55"/>
      <c r="T325" s="56"/>
      <c r="V325" s="57" t="s">
        <v>159</v>
      </c>
      <c r="W325" s="59" t="s">
        <v>150</v>
      </c>
      <c r="X325" s="59" t="s">
        <v>150</v>
      </c>
      <c r="Y325" s="59" t="s">
        <v>150</v>
      </c>
      <c r="Z325" s="59" t="s">
        <v>150</v>
      </c>
      <c r="AA325" s="59" t="s">
        <v>150</v>
      </c>
      <c r="AB325" s="59" t="s">
        <v>150</v>
      </c>
      <c r="AF325" s="57" t="str">
        <f t="shared" si="265"/>
        <v>FICO 640-679</v>
      </c>
      <c r="AG325" s="59" t="s">
        <v>150</v>
      </c>
      <c r="AH325" s="59" t="s">
        <v>150</v>
      </c>
      <c r="AI325" s="59" t="s">
        <v>150</v>
      </c>
      <c r="AJ325" s="59" t="s">
        <v>150</v>
      </c>
      <c r="AK325" s="59" t="s">
        <v>150</v>
      </c>
      <c r="AL325" s="59" t="s">
        <v>150</v>
      </c>
      <c r="AM325" s="55"/>
      <c r="AN325" s="56"/>
      <c r="AP325" s="57" t="str">
        <f t="shared" si="266"/>
        <v>FICO 640-679</v>
      </c>
      <c r="AQ325" s="59" t="s">
        <v>150</v>
      </c>
      <c r="AR325" s="59" t="s">
        <v>150</v>
      </c>
      <c r="AS325" s="59" t="s">
        <v>150</v>
      </c>
      <c r="AT325" s="59" t="s">
        <v>150</v>
      </c>
      <c r="AU325" s="59" t="s">
        <v>150</v>
      </c>
      <c r="AV325" s="59" t="s">
        <v>150</v>
      </c>
      <c r="AZ325" s="57" t="str">
        <f t="shared" si="267"/>
        <v>FICO 640-679</v>
      </c>
      <c r="BA325" s="59" t="s">
        <v>150</v>
      </c>
      <c r="BB325" s="59" t="s">
        <v>150</v>
      </c>
      <c r="BC325" s="59" t="s">
        <v>150</v>
      </c>
      <c r="BD325" s="59" t="s">
        <v>150</v>
      </c>
      <c r="BE325" s="59" t="s">
        <v>150</v>
      </c>
      <c r="BF325" s="59" t="s">
        <v>150</v>
      </c>
    </row>
    <row r="326" spans="2:58" ht="15" customHeight="1" x14ac:dyDescent="0.45">
      <c r="B326" s="46" t="s">
        <v>154</v>
      </c>
      <c r="C326" s="47">
        <f>C330+0.25%</f>
        <v>0.10250000000000001</v>
      </c>
      <c r="D326" s="49" t="s">
        <v>150</v>
      </c>
      <c r="E326" s="49" t="s">
        <v>150</v>
      </c>
      <c r="F326" s="49" t="s">
        <v>150</v>
      </c>
      <c r="G326" s="49" t="s">
        <v>150</v>
      </c>
      <c r="H326" s="49" t="s">
        <v>150</v>
      </c>
      <c r="L326" s="46" t="s">
        <v>154</v>
      </c>
      <c r="M326" s="64" t="s">
        <v>150</v>
      </c>
      <c r="N326" s="49" t="s">
        <v>150</v>
      </c>
      <c r="O326" s="49" t="s">
        <v>150</v>
      </c>
      <c r="P326" s="49" t="s">
        <v>150</v>
      </c>
      <c r="Q326" s="49" t="s">
        <v>150</v>
      </c>
      <c r="R326" s="49" t="s">
        <v>150</v>
      </c>
      <c r="S326" s="55"/>
      <c r="T326" s="56"/>
      <c r="V326" s="46" t="str">
        <f>B326</f>
        <v>65.00%-70.00%</v>
      </c>
      <c r="W326" s="47">
        <f>W330+0.25%</f>
        <v>0.10250000000000001</v>
      </c>
      <c r="X326" s="49" t="s">
        <v>150</v>
      </c>
      <c r="Y326" s="49" t="s">
        <v>150</v>
      </c>
      <c r="Z326" s="49" t="s">
        <v>150</v>
      </c>
      <c r="AA326" s="49" t="s">
        <v>150</v>
      </c>
      <c r="AB326" s="49" t="s">
        <v>150</v>
      </c>
      <c r="AF326" s="46" t="str">
        <f t="shared" si="265"/>
        <v>65.00%-70.00%</v>
      </c>
      <c r="AG326" s="64" t="s">
        <v>150</v>
      </c>
      <c r="AH326" s="49" t="s">
        <v>150</v>
      </c>
      <c r="AI326" s="49" t="s">
        <v>150</v>
      </c>
      <c r="AJ326" s="49" t="s">
        <v>150</v>
      </c>
      <c r="AK326" s="49" t="s">
        <v>150</v>
      </c>
      <c r="AL326" s="49" t="s">
        <v>150</v>
      </c>
      <c r="AM326" s="55"/>
      <c r="AN326" s="56"/>
      <c r="AP326" s="46" t="str">
        <f t="shared" si="266"/>
        <v>65.00%-70.00%</v>
      </c>
      <c r="AQ326" s="47">
        <f>AQ330+0.25%</f>
        <v>0.10250000000000001</v>
      </c>
      <c r="AR326" s="49" t="s">
        <v>150</v>
      </c>
      <c r="AS326" s="49" t="s">
        <v>150</v>
      </c>
      <c r="AT326" s="49" t="s">
        <v>150</v>
      </c>
      <c r="AU326" s="49" t="s">
        <v>150</v>
      </c>
      <c r="AV326" s="49" t="s">
        <v>150</v>
      </c>
      <c r="AZ326" s="46" t="str">
        <f t="shared" si="267"/>
        <v>65.00%-70.00%</v>
      </c>
      <c r="BA326" s="64" t="s">
        <v>150</v>
      </c>
      <c r="BB326" s="49" t="s">
        <v>150</v>
      </c>
      <c r="BC326" s="49" t="s">
        <v>150</v>
      </c>
      <c r="BD326" s="49" t="s">
        <v>150</v>
      </c>
      <c r="BE326" s="49" t="s">
        <v>150</v>
      </c>
      <c r="BF326" s="49" t="s">
        <v>150</v>
      </c>
    </row>
    <row r="327" spans="2:58" ht="15" customHeight="1" x14ac:dyDescent="0.45">
      <c r="B327" s="52" t="s">
        <v>151</v>
      </c>
      <c r="C327" s="53">
        <f>C326+0</f>
        <v>0.10250000000000001</v>
      </c>
      <c r="D327" s="54" t="s">
        <v>150</v>
      </c>
      <c r="E327" s="54" t="s">
        <v>150</v>
      </c>
      <c r="F327" s="54" t="s">
        <v>150</v>
      </c>
      <c r="G327" s="54" t="s">
        <v>150</v>
      </c>
      <c r="H327" s="54" t="s">
        <v>150</v>
      </c>
      <c r="L327" s="52" t="s">
        <v>151</v>
      </c>
      <c r="M327" s="54" t="s">
        <v>150</v>
      </c>
      <c r="N327" s="54" t="s">
        <v>150</v>
      </c>
      <c r="O327" s="54" t="s">
        <v>150</v>
      </c>
      <c r="P327" s="54" t="s">
        <v>150</v>
      </c>
      <c r="Q327" s="54" t="s">
        <v>150</v>
      </c>
      <c r="R327" s="54" t="s">
        <v>150</v>
      </c>
      <c r="S327" s="55"/>
      <c r="T327" s="56"/>
      <c r="V327" s="52" t="str">
        <f>B327</f>
        <v>FICO 700+</v>
      </c>
      <c r="W327" s="53">
        <f>W326+0</f>
        <v>0.10250000000000001</v>
      </c>
      <c r="X327" s="54" t="s">
        <v>150</v>
      </c>
      <c r="Y327" s="54" t="s">
        <v>150</v>
      </c>
      <c r="Z327" s="54" t="s">
        <v>150</v>
      </c>
      <c r="AA327" s="54" t="s">
        <v>150</v>
      </c>
      <c r="AB327" s="54" t="s">
        <v>150</v>
      </c>
      <c r="AF327" s="52" t="str">
        <f t="shared" si="265"/>
        <v>FICO 700+</v>
      </c>
      <c r="AG327" s="54" t="s">
        <v>150</v>
      </c>
      <c r="AH327" s="54" t="s">
        <v>150</v>
      </c>
      <c r="AI327" s="54" t="s">
        <v>150</v>
      </c>
      <c r="AJ327" s="54" t="s">
        <v>150</v>
      </c>
      <c r="AK327" s="54" t="s">
        <v>150</v>
      </c>
      <c r="AL327" s="54" t="s">
        <v>150</v>
      </c>
      <c r="AM327" s="55"/>
      <c r="AN327" s="56"/>
      <c r="AP327" s="52" t="str">
        <f t="shared" si="266"/>
        <v>FICO 700+</v>
      </c>
      <c r="AQ327" s="53">
        <f>AQ326+0</f>
        <v>0.10250000000000001</v>
      </c>
      <c r="AR327" s="54" t="s">
        <v>150</v>
      </c>
      <c r="AS327" s="54" t="s">
        <v>150</v>
      </c>
      <c r="AT327" s="54" t="s">
        <v>150</v>
      </c>
      <c r="AU327" s="54" t="s">
        <v>150</v>
      </c>
      <c r="AV327" s="54" t="s">
        <v>150</v>
      </c>
      <c r="AZ327" s="52" t="str">
        <f t="shared" si="267"/>
        <v>FICO 700+</v>
      </c>
      <c r="BA327" s="54" t="s">
        <v>150</v>
      </c>
      <c r="BB327" s="54" t="s">
        <v>150</v>
      </c>
      <c r="BC327" s="54" t="s">
        <v>150</v>
      </c>
      <c r="BD327" s="54" t="s">
        <v>150</v>
      </c>
      <c r="BE327" s="54" t="s">
        <v>150</v>
      </c>
      <c r="BF327" s="54" t="s">
        <v>150</v>
      </c>
    </row>
    <row r="328" spans="2:58" ht="15" customHeight="1" x14ac:dyDescent="0.45">
      <c r="B328" s="52" t="s">
        <v>158</v>
      </c>
      <c r="C328" s="53">
        <f>C326+0.25%</f>
        <v>0.10500000000000001</v>
      </c>
      <c r="D328" s="54" t="s">
        <v>150</v>
      </c>
      <c r="E328" s="54" t="s">
        <v>150</v>
      </c>
      <c r="F328" s="54" t="s">
        <v>150</v>
      </c>
      <c r="G328" s="54" t="s">
        <v>150</v>
      </c>
      <c r="H328" s="54" t="s">
        <v>150</v>
      </c>
      <c r="L328" s="52" t="s">
        <v>158</v>
      </c>
      <c r="M328" s="54" t="s">
        <v>150</v>
      </c>
      <c r="N328" s="54" t="s">
        <v>150</v>
      </c>
      <c r="O328" s="54" t="s">
        <v>150</v>
      </c>
      <c r="P328" s="54" t="s">
        <v>150</v>
      </c>
      <c r="Q328" s="54" t="s">
        <v>150</v>
      </c>
      <c r="R328" s="54" t="s">
        <v>150</v>
      </c>
      <c r="S328" s="55"/>
      <c r="T328" s="56"/>
      <c r="V328" s="52" t="str">
        <f>B328</f>
        <v>FICO 680-699</v>
      </c>
      <c r="W328" s="53">
        <f>W326+0.25%</f>
        <v>0.10500000000000001</v>
      </c>
      <c r="X328" s="54" t="s">
        <v>150</v>
      </c>
      <c r="Y328" s="54" t="s">
        <v>150</v>
      </c>
      <c r="Z328" s="54" t="s">
        <v>150</v>
      </c>
      <c r="AA328" s="54" t="s">
        <v>150</v>
      </c>
      <c r="AB328" s="54" t="s">
        <v>150</v>
      </c>
      <c r="AF328" s="52" t="str">
        <f t="shared" si="265"/>
        <v>FICO 680-699</v>
      </c>
      <c r="AG328" s="54" t="s">
        <v>150</v>
      </c>
      <c r="AH328" s="54" t="s">
        <v>150</v>
      </c>
      <c r="AI328" s="54" t="s">
        <v>150</v>
      </c>
      <c r="AJ328" s="54" t="s">
        <v>150</v>
      </c>
      <c r="AK328" s="54" t="s">
        <v>150</v>
      </c>
      <c r="AL328" s="54" t="s">
        <v>150</v>
      </c>
      <c r="AM328" s="55"/>
      <c r="AN328" s="56"/>
      <c r="AP328" s="52" t="str">
        <f t="shared" si="266"/>
        <v>FICO 680-699</v>
      </c>
      <c r="AQ328" s="53">
        <f>AQ326+0.25%</f>
        <v>0.10500000000000001</v>
      </c>
      <c r="AR328" s="54" t="s">
        <v>150</v>
      </c>
      <c r="AS328" s="54" t="s">
        <v>150</v>
      </c>
      <c r="AT328" s="54" t="s">
        <v>150</v>
      </c>
      <c r="AU328" s="54" t="s">
        <v>150</v>
      </c>
      <c r="AV328" s="54" t="s">
        <v>150</v>
      </c>
      <c r="AZ328" s="52" t="str">
        <f t="shared" si="267"/>
        <v>FICO 680-699</v>
      </c>
      <c r="BA328" s="54" t="s">
        <v>150</v>
      </c>
      <c r="BB328" s="54" t="s">
        <v>150</v>
      </c>
      <c r="BC328" s="54" t="s">
        <v>150</v>
      </c>
      <c r="BD328" s="54" t="s">
        <v>150</v>
      </c>
      <c r="BE328" s="54" t="s">
        <v>150</v>
      </c>
      <c r="BF328" s="54" t="s">
        <v>150</v>
      </c>
    </row>
    <row r="329" spans="2:58" ht="15" customHeight="1" x14ac:dyDescent="0.45">
      <c r="B329" s="57" t="s">
        <v>159</v>
      </c>
      <c r="C329" s="59" t="s">
        <v>150</v>
      </c>
      <c r="D329" s="59" t="s">
        <v>150</v>
      </c>
      <c r="E329" s="59" t="s">
        <v>150</v>
      </c>
      <c r="F329" s="59" t="s">
        <v>150</v>
      </c>
      <c r="G329" s="59" t="s">
        <v>150</v>
      </c>
      <c r="H329" s="59" t="s">
        <v>150</v>
      </c>
      <c r="L329" s="57" t="s">
        <v>159</v>
      </c>
      <c r="M329" s="59" t="s">
        <v>150</v>
      </c>
      <c r="N329" s="59" t="s">
        <v>150</v>
      </c>
      <c r="O329" s="59" t="s">
        <v>150</v>
      </c>
      <c r="P329" s="59" t="s">
        <v>150</v>
      </c>
      <c r="Q329" s="59" t="s">
        <v>150</v>
      </c>
      <c r="R329" s="59" t="s">
        <v>150</v>
      </c>
      <c r="S329" s="55"/>
      <c r="T329" s="56"/>
      <c r="V329" s="57" t="s">
        <v>159</v>
      </c>
      <c r="W329" s="59" t="s">
        <v>150</v>
      </c>
      <c r="X329" s="59" t="s">
        <v>150</v>
      </c>
      <c r="Y329" s="59" t="s">
        <v>150</v>
      </c>
      <c r="Z329" s="59" t="s">
        <v>150</v>
      </c>
      <c r="AA329" s="59" t="s">
        <v>150</v>
      </c>
      <c r="AB329" s="59" t="s">
        <v>150</v>
      </c>
      <c r="AF329" s="57" t="str">
        <f t="shared" si="265"/>
        <v>FICO 640-679</v>
      </c>
      <c r="AG329" s="59" t="s">
        <v>150</v>
      </c>
      <c r="AH329" s="59" t="s">
        <v>150</v>
      </c>
      <c r="AI329" s="59" t="s">
        <v>150</v>
      </c>
      <c r="AJ329" s="59" t="s">
        <v>150</v>
      </c>
      <c r="AK329" s="59" t="s">
        <v>150</v>
      </c>
      <c r="AL329" s="59" t="s">
        <v>150</v>
      </c>
      <c r="AM329" s="55"/>
      <c r="AN329" s="56"/>
      <c r="AP329" s="57" t="str">
        <f t="shared" si="266"/>
        <v>FICO 640-679</v>
      </c>
      <c r="AQ329" s="59" t="s">
        <v>150</v>
      </c>
      <c r="AR329" s="59" t="s">
        <v>150</v>
      </c>
      <c r="AS329" s="59" t="s">
        <v>150</v>
      </c>
      <c r="AT329" s="59" t="s">
        <v>150</v>
      </c>
      <c r="AU329" s="59" t="s">
        <v>150</v>
      </c>
      <c r="AV329" s="59" t="s">
        <v>150</v>
      </c>
      <c r="AZ329" s="57" t="str">
        <f t="shared" si="267"/>
        <v>FICO 640-679</v>
      </c>
      <c r="BA329" s="59" t="s">
        <v>150</v>
      </c>
      <c r="BB329" s="59" t="s">
        <v>150</v>
      </c>
      <c r="BC329" s="59" t="s">
        <v>150</v>
      </c>
      <c r="BD329" s="59" t="s">
        <v>150</v>
      </c>
      <c r="BE329" s="59" t="s">
        <v>150</v>
      </c>
      <c r="BF329" s="59" t="s">
        <v>150</v>
      </c>
    </row>
    <row r="330" spans="2:58" ht="15" customHeight="1" x14ac:dyDescent="0.45">
      <c r="B330" s="60" t="s">
        <v>155</v>
      </c>
      <c r="C330" s="72">
        <v>0.1</v>
      </c>
      <c r="D330" s="49" t="s">
        <v>150</v>
      </c>
      <c r="E330" s="49" t="s">
        <v>150</v>
      </c>
      <c r="F330" s="49" t="s">
        <v>150</v>
      </c>
      <c r="G330" s="49" t="s">
        <v>150</v>
      </c>
      <c r="H330" s="49" t="s">
        <v>150</v>
      </c>
      <c r="L330" s="60" t="s">
        <v>155</v>
      </c>
      <c r="M330" s="72">
        <v>0.1125</v>
      </c>
      <c r="N330" s="49" t="s">
        <v>150</v>
      </c>
      <c r="O330" s="49" t="s">
        <v>150</v>
      </c>
      <c r="P330" s="49" t="s">
        <v>150</v>
      </c>
      <c r="Q330" s="49" t="s">
        <v>150</v>
      </c>
      <c r="R330" s="49" t="s">
        <v>150</v>
      </c>
      <c r="S330" s="55"/>
      <c r="T330" s="56"/>
      <c r="V330" s="60" t="s">
        <v>155</v>
      </c>
      <c r="W330" s="73">
        <v>0.1</v>
      </c>
      <c r="X330" s="49" t="s">
        <v>150</v>
      </c>
      <c r="Y330" s="49" t="s">
        <v>150</v>
      </c>
      <c r="Z330" s="49" t="s">
        <v>150</v>
      </c>
      <c r="AA330" s="49" t="s">
        <v>150</v>
      </c>
      <c r="AB330" s="49" t="s">
        <v>150</v>
      </c>
      <c r="AF330" s="60" t="str">
        <f t="shared" si="265"/>
        <v>&lt;64.99%</v>
      </c>
      <c r="AG330" s="73">
        <v>0.1125</v>
      </c>
      <c r="AH330" s="49" t="s">
        <v>150</v>
      </c>
      <c r="AI330" s="49" t="s">
        <v>150</v>
      </c>
      <c r="AJ330" s="49" t="s">
        <v>150</v>
      </c>
      <c r="AK330" s="49" t="s">
        <v>150</v>
      </c>
      <c r="AL330" s="49" t="s">
        <v>150</v>
      </c>
      <c r="AM330" s="55"/>
      <c r="AN330" s="56"/>
      <c r="AP330" s="60" t="str">
        <f t="shared" si="266"/>
        <v>&lt;64.99%</v>
      </c>
      <c r="AQ330" s="73">
        <v>0.1</v>
      </c>
      <c r="AR330" s="49" t="s">
        <v>150</v>
      </c>
      <c r="AS330" s="49" t="s">
        <v>150</v>
      </c>
      <c r="AT330" s="49" t="s">
        <v>150</v>
      </c>
      <c r="AU330" s="49" t="s">
        <v>150</v>
      </c>
      <c r="AV330" s="49" t="s">
        <v>150</v>
      </c>
      <c r="AZ330" s="60" t="str">
        <f t="shared" si="267"/>
        <v>&lt;64.99%</v>
      </c>
      <c r="BA330" s="73">
        <v>0.1125</v>
      </c>
      <c r="BB330" s="49" t="s">
        <v>150</v>
      </c>
      <c r="BC330" s="49" t="s">
        <v>150</v>
      </c>
      <c r="BD330" s="49" t="s">
        <v>150</v>
      </c>
      <c r="BE330" s="49" t="s">
        <v>150</v>
      </c>
      <c r="BF330" s="49" t="s">
        <v>150</v>
      </c>
    </row>
    <row r="331" spans="2:58" ht="15" customHeight="1" x14ac:dyDescent="0.45">
      <c r="B331" s="52" t="s">
        <v>151</v>
      </c>
      <c r="C331" s="53">
        <f>C330+0</f>
        <v>0.1</v>
      </c>
      <c r="D331" s="54" t="s">
        <v>150</v>
      </c>
      <c r="E331" s="54" t="s">
        <v>150</v>
      </c>
      <c r="F331" s="54" t="s">
        <v>150</v>
      </c>
      <c r="G331" s="54" t="s">
        <v>150</v>
      </c>
      <c r="H331" s="54" t="s">
        <v>150</v>
      </c>
      <c r="L331" s="52" t="s">
        <v>151</v>
      </c>
      <c r="M331" s="53">
        <f>M330+0</f>
        <v>0.1125</v>
      </c>
      <c r="N331" s="54" t="s">
        <v>150</v>
      </c>
      <c r="O331" s="54" t="s">
        <v>150</v>
      </c>
      <c r="P331" s="54" t="s">
        <v>150</v>
      </c>
      <c r="Q331" s="54" t="s">
        <v>150</v>
      </c>
      <c r="R331" s="54" t="s">
        <v>150</v>
      </c>
      <c r="S331" s="55"/>
      <c r="T331" s="56"/>
      <c r="V331" s="52" t="s">
        <v>151</v>
      </c>
      <c r="W331" s="53">
        <f>W330+0</f>
        <v>0.1</v>
      </c>
      <c r="X331" s="54" t="s">
        <v>150</v>
      </c>
      <c r="Y331" s="54" t="s">
        <v>150</v>
      </c>
      <c r="Z331" s="54" t="s">
        <v>150</v>
      </c>
      <c r="AA331" s="54" t="s">
        <v>150</v>
      </c>
      <c r="AB331" s="54" t="s">
        <v>150</v>
      </c>
      <c r="AF331" s="52" t="str">
        <f t="shared" si="265"/>
        <v>FICO 700+</v>
      </c>
      <c r="AG331" s="53">
        <f>AG330+0</f>
        <v>0.1125</v>
      </c>
      <c r="AH331" s="54" t="s">
        <v>150</v>
      </c>
      <c r="AI331" s="54" t="s">
        <v>150</v>
      </c>
      <c r="AJ331" s="54" t="s">
        <v>150</v>
      </c>
      <c r="AK331" s="54" t="s">
        <v>150</v>
      </c>
      <c r="AL331" s="54" t="s">
        <v>150</v>
      </c>
      <c r="AM331" s="55"/>
      <c r="AN331" s="56"/>
      <c r="AP331" s="52" t="str">
        <f t="shared" si="266"/>
        <v>FICO 700+</v>
      </c>
      <c r="AQ331" s="53">
        <f>AQ330+0</f>
        <v>0.1</v>
      </c>
      <c r="AR331" s="54" t="s">
        <v>150</v>
      </c>
      <c r="AS331" s="54" t="s">
        <v>150</v>
      </c>
      <c r="AT331" s="54" t="s">
        <v>150</v>
      </c>
      <c r="AU331" s="54" t="s">
        <v>150</v>
      </c>
      <c r="AV331" s="54" t="s">
        <v>150</v>
      </c>
      <c r="AZ331" s="52" t="str">
        <f t="shared" si="267"/>
        <v>FICO 700+</v>
      </c>
      <c r="BA331" s="53">
        <f>BA330+0</f>
        <v>0.1125</v>
      </c>
      <c r="BB331" s="54" t="s">
        <v>150</v>
      </c>
      <c r="BC331" s="54" t="s">
        <v>150</v>
      </c>
      <c r="BD331" s="54" t="s">
        <v>150</v>
      </c>
      <c r="BE331" s="54" t="s">
        <v>150</v>
      </c>
      <c r="BF331" s="54" t="s">
        <v>150</v>
      </c>
    </row>
    <row r="332" spans="2:58" ht="15" customHeight="1" x14ac:dyDescent="0.45">
      <c r="B332" s="52" t="s">
        <v>158</v>
      </c>
      <c r="C332" s="53">
        <f>C330+0.25%</f>
        <v>0.10250000000000001</v>
      </c>
      <c r="D332" s="54" t="s">
        <v>150</v>
      </c>
      <c r="E332" s="54" t="s">
        <v>150</v>
      </c>
      <c r="F332" s="54" t="s">
        <v>150</v>
      </c>
      <c r="G332" s="54" t="s">
        <v>150</v>
      </c>
      <c r="H332" s="54" t="s">
        <v>150</v>
      </c>
      <c r="L332" s="52" t="s">
        <v>158</v>
      </c>
      <c r="M332" s="53">
        <f>M330+0.25%</f>
        <v>0.115</v>
      </c>
      <c r="N332" s="54" t="s">
        <v>150</v>
      </c>
      <c r="O332" s="54" t="s">
        <v>150</v>
      </c>
      <c r="P332" s="54" t="s">
        <v>150</v>
      </c>
      <c r="Q332" s="54" t="s">
        <v>150</v>
      </c>
      <c r="R332" s="54" t="s">
        <v>150</v>
      </c>
      <c r="S332" s="55"/>
      <c r="T332" s="56"/>
      <c r="V332" s="52" t="s">
        <v>158</v>
      </c>
      <c r="W332" s="53">
        <f>W330+0.25%</f>
        <v>0.10250000000000001</v>
      </c>
      <c r="X332" s="54" t="s">
        <v>150</v>
      </c>
      <c r="Y332" s="54" t="s">
        <v>150</v>
      </c>
      <c r="Z332" s="54" t="s">
        <v>150</v>
      </c>
      <c r="AA332" s="54" t="s">
        <v>150</v>
      </c>
      <c r="AB332" s="54" t="s">
        <v>150</v>
      </c>
      <c r="AF332" s="52" t="str">
        <f t="shared" si="265"/>
        <v>FICO 680-699</v>
      </c>
      <c r="AG332" s="53">
        <f>AG330+0.25%</f>
        <v>0.115</v>
      </c>
      <c r="AH332" s="54" t="s">
        <v>150</v>
      </c>
      <c r="AI332" s="54" t="s">
        <v>150</v>
      </c>
      <c r="AJ332" s="54" t="s">
        <v>150</v>
      </c>
      <c r="AK332" s="54" t="s">
        <v>150</v>
      </c>
      <c r="AL332" s="54" t="s">
        <v>150</v>
      </c>
      <c r="AM332" s="55"/>
      <c r="AN332" s="56"/>
      <c r="AP332" s="52" t="str">
        <f t="shared" si="266"/>
        <v>FICO 680-699</v>
      </c>
      <c r="AQ332" s="53">
        <f>AQ330+0.25%</f>
        <v>0.10250000000000001</v>
      </c>
      <c r="AR332" s="54" t="s">
        <v>150</v>
      </c>
      <c r="AS332" s="54" t="s">
        <v>150</v>
      </c>
      <c r="AT332" s="54" t="s">
        <v>150</v>
      </c>
      <c r="AU332" s="54" t="s">
        <v>150</v>
      </c>
      <c r="AV332" s="54" t="s">
        <v>150</v>
      </c>
      <c r="AZ332" s="52" t="str">
        <f t="shared" si="267"/>
        <v>FICO 680-699</v>
      </c>
      <c r="BA332" s="53">
        <f>BA330+0.25%</f>
        <v>0.115</v>
      </c>
      <c r="BB332" s="54" t="s">
        <v>150</v>
      </c>
      <c r="BC332" s="54" t="s">
        <v>150</v>
      </c>
      <c r="BD332" s="54" t="s">
        <v>150</v>
      </c>
      <c r="BE332" s="54" t="s">
        <v>150</v>
      </c>
      <c r="BF332" s="54" t="s">
        <v>150</v>
      </c>
    </row>
    <row r="333" spans="2:58" ht="15" customHeight="1" x14ac:dyDescent="0.45">
      <c r="B333" s="52" t="s">
        <v>159</v>
      </c>
      <c r="C333" s="54" t="s">
        <v>150</v>
      </c>
      <c r="D333" s="54" t="s">
        <v>150</v>
      </c>
      <c r="E333" s="54" t="s">
        <v>150</v>
      </c>
      <c r="F333" s="54" t="s">
        <v>150</v>
      </c>
      <c r="G333" s="54" t="s">
        <v>150</v>
      </c>
      <c r="H333" s="54" t="s">
        <v>150</v>
      </c>
      <c r="L333" s="52" t="s">
        <v>159</v>
      </c>
      <c r="M333" s="54" t="s">
        <v>150</v>
      </c>
      <c r="N333" s="54" t="s">
        <v>150</v>
      </c>
      <c r="O333" s="54" t="s">
        <v>150</v>
      </c>
      <c r="P333" s="54" t="s">
        <v>150</v>
      </c>
      <c r="Q333" s="54" t="s">
        <v>150</v>
      </c>
      <c r="R333" s="54" t="s">
        <v>150</v>
      </c>
      <c r="S333" s="55"/>
      <c r="T333" s="56"/>
      <c r="V333" s="52" t="s">
        <v>159</v>
      </c>
      <c r="W333" s="54" t="s">
        <v>150</v>
      </c>
      <c r="X333" s="54" t="s">
        <v>150</v>
      </c>
      <c r="Y333" s="54" t="s">
        <v>150</v>
      </c>
      <c r="Z333" s="54" t="s">
        <v>150</v>
      </c>
      <c r="AA333" s="54" t="s">
        <v>150</v>
      </c>
      <c r="AB333" s="54" t="s">
        <v>150</v>
      </c>
      <c r="AF333" s="52" t="str">
        <f t="shared" si="265"/>
        <v>FICO 640-679</v>
      </c>
      <c r="AG333" s="54" t="s">
        <v>150</v>
      </c>
      <c r="AH333" s="54" t="s">
        <v>150</v>
      </c>
      <c r="AI333" s="54" t="s">
        <v>150</v>
      </c>
      <c r="AJ333" s="54" t="s">
        <v>150</v>
      </c>
      <c r="AK333" s="54" t="s">
        <v>150</v>
      </c>
      <c r="AL333" s="54" t="s">
        <v>150</v>
      </c>
      <c r="AM333" s="55"/>
      <c r="AN333" s="56"/>
      <c r="AP333" s="52" t="str">
        <f t="shared" si="266"/>
        <v>FICO 640-679</v>
      </c>
      <c r="AQ333" s="54" t="s">
        <v>150</v>
      </c>
      <c r="AR333" s="54" t="s">
        <v>150</v>
      </c>
      <c r="AS333" s="54" t="s">
        <v>150</v>
      </c>
      <c r="AT333" s="54" t="s">
        <v>150</v>
      </c>
      <c r="AU333" s="54" t="s">
        <v>150</v>
      </c>
      <c r="AV333" s="54" t="s">
        <v>150</v>
      </c>
      <c r="AZ333" s="52" t="str">
        <f t="shared" si="267"/>
        <v>FICO 640-679</v>
      </c>
      <c r="BA333" s="54" t="s">
        <v>150</v>
      </c>
      <c r="BB333" s="54" t="s">
        <v>150</v>
      </c>
      <c r="BC333" s="54" t="s">
        <v>150</v>
      </c>
      <c r="BD333" s="54" t="s">
        <v>150</v>
      </c>
      <c r="BE333" s="54" t="s">
        <v>150</v>
      </c>
      <c r="BF333" s="54" t="s">
        <v>150</v>
      </c>
    </row>
    <row r="335" spans="2:58" ht="29.25" customHeight="1" x14ac:dyDescent="0.45">
      <c r="B335" s="100" t="s">
        <v>169</v>
      </c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  <c r="AL335" s="100"/>
      <c r="AM335" s="100"/>
      <c r="AN335" s="100"/>
      <c r="AO335" s="100"/>
      <c r="AP335" s="100"/>
      <c r="AQ335" s="100"/>
      <c r="AR335" s="100"/>
      <c r="AS335" s="100"/>
      <c r="AT335" s="100"/>
      <c r="AU335" s="100"/>
      <c r="AV335" s="100"/>
      <c r="AW335" s="100"/>
      <c r="AX335" s="100"/>
      <c r="AY335" s="100"/>
      <c r="AZ335" s="100"/>
      <c r="BA335" s="100"/>
      <c r="BB335" s="100"/>
      <c r="BC335" s="100"/>
      <c r="BD335" s="100"/>
      <c r="BE335" s="100"/>
      <c r="BF335" s="100"/>
    </row>
    <row r="336" spans="2:58" ht="33" customHeight="1" x14ac:dyDescent="0.45">
      <c r="B336" s="99" t="s">
        <v>133</v>
      </c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31"/>
      <c r="T336" s="32"/>
      <c r="V336" s="99" t="s">
        <v>134</v>
      </c>
      <c r="W336" s="99"/>
      <c r="X336" s="99"/>
      <c r="Y336" s="99"/>
      <c r="Z336" s="99"/>
      <c r="AA336" s="99"/>
      <c r="AB336" s="99"/>
      <c r="AC336" s="99"/>
      <c r="AD336" s="99"/>
      <c r="AE336" s="99"/>
      <c r="AF336" s="99"/>
      <c r="AG336" s="99"/>
      <c r="AH336" s="99"/>
      <c r="AI336" s="99"/>
      <c r="AJ336" s="99"/>
      <c r="AK336" s="99"/>
      <c r="AL336" s="99"/>
      <c r="AM336" s="31"/>
      <c r="AN336" s="32"/>
      <c r="AP336" s="99" t="s">
        <v>135</v>
      </c>
      <c r="AQ336" s="99"/>
      <c r="AR336" s="99"/>
      <c r="AS336" s="99"/>
      <c r="AT336" s="99"/>
      <c r="AU336" s="99"/>
      <c r="AV336" s="99"/>
      <c r="AW336" s="99"/>
      <c r="AX336" s="99"/>
      <c r="AY336" s="99"/>
      <c r="AZ336" s="99"/>
      <c r="BA336" s="99"/>
      <c r="BB336" s="99"/>
      <c r="BC336" s="99"/>
      <c r="BD336" s="99"/>
      <c r="BE336" s="99"/>
      <c r="BF336" s="99"/>
    </row>
    <row r="337" spans="2:58" ht="18" customHeight="1" x14ac:dyDescent="0.45">
      <c r="B337" s="98" t="s">
        <v>136</v>
      </c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33"/>
      <c r="T337" s="34"/>
      <c r="V337" s="98" t="s">
        <v>136</v>
      </c>
      <c r="W337" s="98"/>
      <c r="X337" s="98"/>
      <c r="Y337" s="98"/>
      <c r="Z337" s="98"/>
      <c r="AA337" s="98"/>
      <c r="AB337" s="98"/>
      <c r="AC337" s="98"/>
      <c r="AD337" s="98"/>
      <c r="AE337" s="98"/>
      <c r="AF337" s="98"/>
      <c r="AG337" s="98"/>
      <c r="AH337" s="98"/>
      <c r="AI337" s="98"/>
      <c r="AJ337" s="98"/>
      <c r="AK337" s="98"/>
      <c r="AL337" s="98"/>
      <c r="AM337" s="33"/>
      <c r="AN337" s="34"/>
      <c r="AP337" s="98" t="s">
        <v>136</v>
      </c>
      <c r="AQ337" s="98"/>
      <c r="AR337" s="98"/>
      <c r="AS337" s="98"/>
      <c r="AT337" s="98"/>
      <c r="AU337" s="98"/>
      <c r="AV337" s="98"/>
      <c r="AW337" s="98"/>
      <c r="AX337" s="98"/>
      <c r="AY337" s="98"/>
      <c r="AZ337" s="98"/>
      <c r="BA337" s="98"/>
      <c r="BB337" s="98"/>
      <c r="BC337" s="98"/>
      <c r="BD337" s="98"/>
      <c r="BE337" s="98"/>
      <c r="BF337" s="98"/>
    </row>
    <row r="338" spans="2:58" ht="18" customHeight="1" x14ac:dyDescent="0.45">
      <c r="B338" s="98" t="s">
        <v>137</v>
      </c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33"/>
      <c r="T338" s="34"/>
      <c r="V338" s="98" t="s">
        <v>138</v>
      </c>
      <c r="W338" s="98"/>
      <c r="X338" s="98"/>
      <c r="Y338" s="98"/>
      <c r="Z338" s="98"/>
      <c r="AA338" s="98"/>
      <c r="AB338" s="98"/>
      <c r="AC338" s="98"/>
      <c r="AD338" s="98"/>
      <c r="AE338" s="98"/>
      <c r="AF338" s="98"/>
      <c r="AG338" s="98"/>
      <c r="AH338" s="98"/>
      <c r="AI338" s="98"/>
      <c r="AJ338" s="98"/>
      <c r="AK338" s="98"/>
      <c r="AL338" s="98"/>
      <c r="AM338" s="33"/>
      <c r="AN338" s="34"/>
      <c r="AP338" s="98" t="s">
        <v>139</v>
      </c>
      <c r="AQ338" s="98"/>
      <c r="AR338" s="98"/>
      <c r="AS338" s="98"/>
      <c r="AT338" s="98"/>
      <c r="AU338" s="98"/>
      <c r="AV338" s="98"/>
      <c r="AW338" s="98"/>
      <c r="AX338" s="98"/>
      <c r="AY338" s="98"/>
      <c r="AZ338" s="98"/>
      <c r="BA338" s="98"/>
      <c r="BB338" s="98"/>
      <c r="BC338" s="98"/>
      <c r="BD338" s="98"/>
      <c r="BE338" s="98"/>
      <c r="BF338" s="98"/>
    </row>
    <row r="340" spans="2:58" ht="15" customHeight="1" x14ac:dyDescent="0.45">
      <c r="B340" s="96" t="s">
        <v>140</v>
      </c>
      <c r="C340" s="96"/>
      <c r="D340" s="96"/>
      <c r="E340" s="96"/>
      <c r="F340" s="96"/>
      <c r="G340" s="96"/>
      <c r="H340" s="96"/>
      <c r="L340" s="96" t="s">
        <v>141</v>
      </c>
      <c r="M340" s="96"/>
      <c r="N340" s="96"/>
      <c r="O340" s="96"/>
      <c r="P340" s="96"/>
      <c r="Q340" s="96"/>
      <c r="R340" s="96"/>
      <c r="S340" s="35"/>
      <c r="T340" s="36"/>
      <c r="V340" s="96" t="s">
        <v>140</v>
      </c>
      <c r="W340" s="96"/>
      <c r="X340" s="96"/>
      <c r="Y340" s="96"/>
      <c r="Z340" s="96"/>
      <c r="AA340" s="96"/>
      <c r="AB340" s="96"/>
      <c r="AF340" s="96" t="s">
        <v>141</v>
      </c>
      <c r="AG340" s="96"/>
      <c r="AH340" s="96"/>
      <c r="AI340" s="96"/>
      <c r="AJ340" s="96"/>
      <c r="AK340" s="96"/>
      <c r="AL340" s="96"/>
      <c r="AM340" s="35"/>
      <c r="AN340" s="36"/>
      <c r="AP340" s="96" t="s">
        <v>140</v>
      </c>
      <c r="AQ340" s="96"/>
      <c r="AR340" s="96"/>
      <c r="AS340" s="96"/>
      <c r="AT340" s="96"/>
      <c r="AU340" s="96"/>
      <c r="AV340" s="96"/>
      <c r="AZ340" s="96" t="s">
        <v>141</v>
      </c>
      <c r="BA340" s="96"/>
      <c r="BB340" s="96"/>
      <c r="BC340" s="96"/>
      <c r="BD340" s="96"/>
      <c r="BE340" s="96"/>
      <c r="BF340" s="96"/>
    </row>
    <row r="341" spans="2:58" s="37" customFormat="1" ht="15.75" customHeight="1" x14ac:dyDescent="0.45">
      <c r="B341" s="94" t="s">
        <v>142</v>
      </c>
      <c r="C341" s="94"/>
      <c r="D341" s="94"/>
      <c r="E341" s="94"/>
      <c r="F341" s="94"/>
      <c r="G341" s="94"/>
      <c r="H341" s="94"/>
      <c r="J341" s="38"/>
      <c r="L341" s="94" t="s">
        <v>142</v>
      </c>
      <c r="M341" s="94"/>
      <c r="N341" s="94"/>
      <c r="O341" s="94"/>
      <c r="P341" s="94"/>
      <c r="Q341" s="94"/>
      <c r="R341" s="94"/>
      <c r="S341" s="39"/>
      <c r="T341" s="40"/>
      <c r="U341" s="41"/>
      <c r="V341" s="94" t="s">
        <v>142</v>
      </c>
      <c r="W341" s="94"/>
      <c r="X341" s="94"/>
      <c r="Y341" s="94"/>
      <c r="Z341" s="94"/>
      <c r="AA341" s="94"/>
      <c r="AB341" s="94"/>
      <c r="AD341" s="38"/>
      <c r="AF341" s="94" t="s">
        <v>142</v>
      </c>
      <c r="AG341" s="94"/>
      <c r="AH341" s="94"/>
      <c r="AI341" s="94"/>
      <c r="AJ341" s="94"/>
      <c r="AK341" s="94"/>
      <c r="AL341" s="94"/>
      <c r="AM341" s="39"/>
      <c r="AN341" s="40"/>
      <c r="AO341" s="41"/>
      <c r="AP341" s="94" t="s">
        <v>142</v>
      </c>
      <c r="AQ341" s="94"/>
      <c r="AR341" s="94"/>
      <c r="AS341" s="94"/>
      <c r="AT341" s="94"/>
      <c r="AU341" s="94"/>
      <c r="AV341" s="94"/>
      <c r="AX341" s="38"/>
      <c r="AZ341" s="94" t="s">
        <v>142</v>
      </c>
      <c r="BA341" s="94"/>
      <c r="BB341" s="94"/>
      <c r="BC341" s="94"/>
      <c r="BD341" s="94"/>
      <c r="BE341" s="94"/>
      <c r="BF341" s="94"/>
    </row>
    <row r="342" spans="2:58" s="37" customFormat="1" ht="12.75" customHeight="1" x14ac:dyDescent="0.45">
      <c r="B342" s="42"/>
      <c r="C342" s="95" t="s">
        <v>50</v>
      </c>
      <c r="D342" s="95"/>
      <c r="E342" s="95"/>
      <c r="F342" s="95"/>
      <c r="G342" s="95"/>
      <c r="H342" s="95"/>
      <c r="J342" s="38"/>
      <c r="L342" s="42"/>
      <c r="M342" s="95" t="s">
        <v>50</v>
      </c>
      <c r="N342" s="95"/>
      <c r="O342" s="95"/>
      <c r="P342" s="95"/>
      <c r="Q342" s="95"/>
      <c r="R342" s="95"/>
      <c r="S342" s="41"/>
      <c r="T342" s="43"/>
      <c r="U342" s="41"/>
      <c r="V342" s="42"/>
      <c r="W342" s="95" t="str">
        <f>C342</f>
        <v>LTC</v>
      </c>
      <c r="X342" s="95"/>
      <c r="Y342" s="95"/>
      <c r="Z342" s="95"/>
      <c r="AA342" s="95"/>
      <c r="AB342" s="95"/>
      <c r="AD342" s="38"/>
      <c r="AF342" s="42"/>
      <c r="AG342" s="95" t="str">
        <f>W342</f>
        <v>LTC</v>
      </c>
      <c r="AH342" s="95"/>
      <c r="AI342" s="95"/>
      <c r="AJ342" s="95"/>
      <c r="AK342" s="95"/>
      <c r="AL342" s="95"/>
      <c r="AM342" s="41"/>
      <c r="AN342" s="43"/>
      <c r="AO342" s="41"/>
      <c r="AP342" s="42"/>
      <c r="AQ342" s="95" t="str">
        <f>C342</f>
        <v>LTC</v>
      </c>
      <c r="AR342" s="95"/>
      <c r="AS342" s="95"/>
      <c r="AT342" s="95"/>
      <c r="AU342" s="95"/>
      <c r="AV342" s="95"/>
      <c r="AX342" s="38"/>
      <c r="AZ342" s="42"/>
      <c r="BA342" s="95" t="str">
        <f>C342</f>
        <v>LTC</v>
      </c>
      <c r="BB342" s="95"/>
      <c r="BC342" s="95"/>
      <c r="BD342" s="95"/>
      <c r="BE342" s="95"/>
      <c r="BF342" s="95"/>
    </row>
    <row r="343" spans="2:58" s="37" customFormat="1" ht="12.75" customHeight="1" x14ac:dyDescent="0.45">
      <c r="B343" s="44" t="s">
        <v>52</v>
      </c>
      <c r="C343" s="45" t="s">
        <v>143</v>
      </c>
      <c r="D343" s="45" t="s">
        <v>144</v>
      </c>
      <c r="E343" s="45" t="s">
        <v>145</v>
      </c>
      <c r="F343" s="45" t="s">
        <v>146</v>
      </c>
      <c r="G343" s="45" t="s">
        <v>147</v>
      </c>
      <c r="H343" s="45" t="s">
        <v>148</v>
      </c>
      <c r="J343" s="38"/>
      <c r="L343" s="44" t="s">
        <v>52</v>
      </c>
      <c r="M343" s="45" t="s">
        <v>143</v>
      </c>
      <c r="N343" s="45" t="s">
        <v>144</v>
      </c>
      <c r="O343" s="45" t="s">
        <v>145</v>
      </c>
      <c r="P343" s="45" t="s">
        <v>146</v>
      </c>
      <c r="Q343" s="45" t="s">
        <v>147</v>
      </c>
      <c r="R343" s="45" t="s">
        <v>148</v>
      </c>
      <c r="S343" s="41"/>
      <c r="T343" s="43"/>
      <c r="U343" s="41"/>
      <c r="V343" s="44" t="str">
        <f t="shared" ref="V343:V355" si="268">B343</f>
        <v>AR-LTV</v>
      </c>
      <c r="W343" s="45" t="str">
        <f>C343</f>
        <v>&lt;74.99%</v>
      </c>
      <c r="X343" s="45" t="str">
        <f>D343</f>
        <v>75.00%-80.00%</v>
      </c>
      <c r="Y343" s="45" t="str">
        <f>E343</f>
        <v>80.01%-85.00%</v>
      </c>
      <c r="Z343" s="45" t="str">
        <f>F343</f>
        <v>85.01%-87.50%</v>
      </c>
      <c r="AA343" s="45" t="str">
        <f>G343</f>
        <v>87.51%-89.99%</v>
      </c>
      <c r="AB343" s="45" t="str">
        <f>H343</f>
        <v>90.00%-92.50%</v>
      </c>
      <c r="AD343" s="38"/>
      <c r="AF343" s="44" t="str">
        <f t="shared" ref="AF343:AF355" si="269">V343</f>
        <v>AR-LTV</v>
      </c>
      <c r="AG343" s="45" t="str">
        <f>W343</f>
        <v>&lt;74.99%</v>
      </c>
      <c r="AH343" s="45" t="str">
        <f>X343</f>
        <v>75.00%-80.00%</v>
      </c>
      <c r="AI343" s="45" t="str">
        <f>Y343</f>
        <v>80.01%-85.00%</v>
      </c>
      <c r="AJ343" s="45" t="str">
        <f>Z343</f>
        <v>85.01%-87.50%</v>
      </c>
      <c r="AK343" s="45" t="str">
        <f>AA343</f>
        <v>87.51%-89.99%</v>
      </c>
      <c r="AL343" s="45" t="str">
        <f>AB343</f>
        <v>90.00%-92.50%</v>
      </c>
      <c r="AM343" s="41"/>
      <c r="AN343" s="43"/>
      <c r="AO343" s="41"/>
      <c r="AP343" s="44" t="str">
        <f t="shared" ref="AP343:AP355" si="270">B343</f>
        <v>AR-LTV</v>
      </c>
      <c r="AQ343" s="45" t="str">
        <f>C343</f>
        <v>&lt;74.99%</v>
      </c>
      <c r="AR343" s="45" t="str">
        <f>D343</f>
        <v>75.00%-80.00%</v>
      </c>
      <c r="AS343" s="45" t="str">
        <f>E343</f>
        <v>80.01%-85.00%</v>
      </c>
      <c r="AT343" s="45" t="str">
        <f>F343</f>
        <v>85.01%-87.50%</v>
      </c>
      <c r="AU343" s="45" t="str">
        <f>G343</f>
        <v>87.51%-89.99%</v>
      </c>
      <c r="AV343" s="45" t="str">
        <f>H343</f>
        <v>90.00%-92.50%</v>
      </c>
      <c r="AX343" s="38"/>
      <c r="AZ343" s="44" t="str">
        <f t="shared" ref="AZ343:AZ355" si="271">B343</f>
        <v>AR-LTV</v>
      </c>
      <c r="BA343" s="45" t="str">
        <f>C343</f>
        <v>&lt;74.99%</v>
      </c>
      <c r="BB343" s="45" t="str">
        <f>D343</f>
        <v>75.00%-80.00%</v>
      </c>
      <c r="BC343" s="45" t="str">
        <f>E343</f>
        <v>80.01%-85.00%</v>
      </c>
      <c r="BD343" s="45" t="str">
        <f>F343</f>
        <v>85.01%-87.50%</v>
      </c>
      <c r="BE343" s="45" t="str">
        <f>G343</f>
        <v>87.51%-89.99%</v>
      </c>
      <c r="BF343" s="45" t="str">
        <f>H343</f>
        <v>90.00%-92.50%</v>
      </c>
    </row>
    <row r="344" spans="2:58" s="37" customFormat="1" ht="12.75" customHeight="1" x14ac:dyDescent="0.45">
      <c r="B344" s="46" t="s">
        <v>149</v>
      </c>
      <c r="C344" s="47">
        <f>C352+0.25%</f>
        <v>8.7500000000000008E-2</v>
      </c>
      <c r="D344" s="47">
        <f>C344+0.125%</f>
        <v>8.8750000000000009E-2</v>
      </c>
      <c r="E344" s="49" t="s">
        <v>150</v>
      </c>
      <c r="F344" s="49" t="s">
        <v>150</v>
      </c>
      <c r="G344" s="49" t="s">
        <v>150</v>
      </c>
      <c r="H344" s="49" t="s">
        <v>150</v>
      </c>
      <c r="J344" s="38"/>
      <c r="L344" s="46" t="s">
        <v>149</v>
      </c>
      <c r="M344" s="49" t="s">
        <v>150</v>
      </c>
      <c r="N344" s="49" t="s">
        <v>150</v>
      </c>
      <c r="O344" s="49" t="s">
        <v>150</v>
      </c>
      <c r="P344" s="49" t="s">
        <v>150</v>
      </c>
      <c r="Q344" s="49" t="s">
        <v>150</v>
      </c>
      <c r="R344" s="49" t="s">
        <v>150</v>
      </c>
      <c r="S344" s="50"/>
      <c r="T344" s="51"/>
      <c r="U344" s="41"/>
      <c r="V344" s="46" t="str">
        <f t="shared" si="268"/>
        <v>70.01%-75.00%</v>
      </c>
      <c r="W344" s="47">
        <f>W352+0.25%</f>
        <v>8.8750000000000009E-2</v>
      </c>
      <c r="X344" s="47">
        <f>W344+0.125%</f>
        <v>9.0000000000000011E-2</v>
      </c>
      <c r="Y344" s="49" t="s">
        <v>150</v>
      </c>
      <c r="Z344" s="49" t="s">
        <v>150</v>
      </c>
      <c r="AA344" s="49" t="s">
        <v>150</v>
      </c>
      <c r="AB344" s="49" t="s">
        <v>150</v>
      </c>
      <c r="AD344" s="38"/>
      <c r="AF344" s="46" t="str">
        <f t="shared" si="269"/>
        <v>70.01%-75.00%</v>
      </c>
      <c r="AG344" s="49" t="s">
        <v>150</v>
      </c>
      <c r="AH344" s="49" t="s">
        <v>150</v>
      </c>
      <c r="AI344" s="49" t="s">
        <v>150</v>
      </c>
      <c r="AJ344" s="49" t="s">
        <v>150</v>
      </c>
      <c r="AK344" s="49" t="s">
        <v>150</v>
      </c>
      <c r="AL344" s="49" t="s">
        <v>150</v>
      </c>
      <c r="AM344" s="50"/>
      <c r="AN344" s="51"/>
      <c r="AO344" s="41"/>
      <c r="AP344" s="46" t="str">
        <f t="shared" si="270"/>
        <v>70.01%-75.00%</v>
      </c>
      <c r="AQ344" s="47">
        <f>AQ352+0.25%</f>
        <v>9.0000000000000011E-2</v>
      </c>
      <c r="AR344" s="47">
        <f>AQ344+0.125%</f>
        <v>9.1250000000000012E-2</v>
      </c>
      <c r="AS344" s="49" t="s">
        <v>150</v>
      </c>
      <c r="AT344" s="49" t="s">
        <v>150</v>
      </c>
      <c r="AU344" s="49" t="s">
        <v>150</v>
      </c>
      <c r="AV344" s="49" t="s">
        <v>150</v>
      </c>
      <c r="AX344" s="38"/>
      <c r="AZ344" s="46" t="str">
        <f t="shared" si="271"/>
        <v>70.01%-75.00%</v>
      </c>
      <c r="BA344" s="49" t="s">
        <v>150</v>
      </c>
      <c r="BB344" s="49" t="s">
        <v>150</v>
      </c>
      <c r="BC344" s="49" t="s">
        <v>150</v>
      </c>
      <c r="BD344" s="49" t="s">
        <v>150</v>
      </c>
      <c r="BE344" s="49" t="s">
        <v>150</v>
      </c>
      <c r="BF344" s="49" t="s">
        <v>150</v>
      </c>
    </row>
    <row r="345" spans="2:58" s="37" customFormat="1" ht="12.75" customHeight="1" x14ac:dyDescent="0.45">
      <c r="B345" s="52" t="s">
        <v>151</v>
      </c>
      <c r="C345" s="53">
        <f>C344+0</f>
        <v>8.7500000000000008E-2</v>
      </c>
      <c r="D345" s="53">
        <f>D344+0</f>
        <v>8.8750000000000009E-2</v>
      </c>
      <c r="E345" s="54" t="s">
        <v>150</v>
      </c>
      <c r="F345" s="54" t="s">
        <v>150</v>
      </c>
      <c r="G345" s="54" t="s">
        <v>150</v>
      </c>
      <c r="H345" s="54" t="s">
        <v>150</v>
      </c>
      <c r="J345" s="38"/>
      <c r="L345" s="52" t="s">
        <v>151</v>
      </c>
      <c r="M345" s="54" t="s">
        <v>150</v>
      </c>
      <c r="N345" s="54" t="s">
        <v>150</v>
      </c>
      <c r="O345" s="54" t="s">
        <v>150</v>
      </c>
      <c r="P345" s="54" t="s">
        <v>150</v>
      </c>
      <c r="Q345" s="54" t="s">
        <v>150</v>
      </c>
      <c r="R345" s="54" t="s">
        <v>150</v>
      </c>
      <c r="S345" s="55"/>
      <c r="T345" s="56"/>
      <c r="U345" s="41"/>
      <c r="V345" s="52" t="str">
        <f t="shared" si="268"/>
        <v>FICO 700+</v>
      </c>
      <c r="W345" s="53">
        <f>W344+0</f>
        <v>8.8750000000000009E-2</v>
      </c>
      <c r="X345" s="53">
        <f>X344+0</f>
        <v>9.0000000000000011E-2</v>
      </c>
      <c r="Y345" s="54" t="s">
        <v>150</v>
      </c>
      <c r="Z345" s="54" t="s">
        <v>150</v>
      </c>
      <c r="AA345" s="54" t="s">
        <v>150</v>
      </c>
      <c r="AB345" s="54" t="s">
        <v>150</v>
      </c>
      <c r="AD345" s="38"/>
      <c r="AF345" s="52" t="str">
        <f t="shared" si="269"/>
        <v>FICO 700+</v>
      </c>
      <c r="AG345" s="54" t="s">
        <v>150</v>
      </c>
      <c r="AH345" s="54" t="s">
        <v>150</v>
      </c>
      <c r="AI345" s="54" t="s">
        <v>150</v>
      </c>
      <c r="AJ345" s="54" t="s">
        <v>150</v>
      </c>
      <c r="AK345" s="54" t="s">
        <v>150</v>
      </c>
      <c r="AL345" s="54" t="s">
        <v>150</v>
      </c>
      <c r="AM345" s="55"/>
      <c r="AN345" s="56"/>
      <c r="AO345" s="41"/>
      <c r="AP345" s="52" t="str">
        <f t="shared" si="270"/>
        <v>FICO 700+</v>
      </c>
      <c r="AQ345" s="53">
        <f>AQ344+0</f>
        <v>9.0000000000000011E-2</v>
      </c>
      <c r="AR345" s="53">
        <f>AR344+0</f>
        <v>9.1250000000000012E-2</v>
      </c>
      <c r="AS345" s="54" t="s">
        <v>150</v>
      </c>
      <c r="AT345" s="54" t="s">
        <v>150</v>
      </c>
      <c r="AU345" s="54" t="s">
        <v>150</v>
      </c>
      <c r="AV345" s="54" t="s">
        <v>150</v>
      </c>
      <c r="AX345" s="38"/>
      <c r="AZ345" s="52" t="str">
        <f t="shared" si="271"/>
        <v>FICO 700+</v>
      </c>
      <c r="BA345" s="54" t="s">
        <v>150</v>
      </c>
      <c r="BB345" s="54" t="s">
        <v>150</v>
      </c>
      <c r="BC345" s="54" t="s">
        <v>150</v>
      </c>
      <c r="BD345" s="54" t="s">
        <v>150</v>
      </c>
      <c r="BE345" s="54" t="s">
        <v>150</v>
      </c>
      <c r="BF345" s="54" t="s">
        <v>150</v>
      </c>
    </row>
    <row r="346" spans="2:58" s="37" customFormat="1" ht="12.75" customHeight="1" x14ac:dyDescent="0.45">
      <c r="B346" s="52" t="s">
        <v>152</v>
      </c>
      <c r="C346" s="54" t="s">
        <v>150</v>
      </c>
      <c r="D346" s="54" t="s">
        <v>150</v>
      </c>
      <c r="E346" s="54" t="s">
        <v>150</v>
      </c>
      <c r="F346" s="54" t="s">
        <v>150</v>
      </c>
      <c r="G346" s="54" t="s">
        <v>150</v>
      </c>
      <c r="H346" s="54" t="s">
        <v>150</v>
      </c>
      <c r="J346" s="38"/>
      <c r="L346" s="52" t="s">
        <v>152</v>
      </c>
      <c r="M346" s="54" t="s">
        <v>150</v>
      </c>
      <c r="N346" s="54" t="s">
        <v>150</v>
      </c>
      <c r="O346" s="54" t="s">
        <v>150</v>
      </c>
      <c r="P346" s="54" t="s">
        <v>150</v>
      </c>
      <c r="Q346" s="54" t="s">
        <v>150</v>
      </c>
      <c r="R346" s="54" t="s">
        <v>150</v>
      </c>
      <c r="S346" s="55"/>
      <c r="T346" s="56"/>
      <c r="U346" s="41"/>
      <c r="V346" s="52" t="str">
        <f t="shared" si="268"/>
        <v>FICO 660-699</v>
      </c>
      <c r="W346" s="54" t="s">
        <v>150</v>
      </c>
      <c r="X346" s="54" t="s">
        <v>150</v>
      </c>
      <c r="Y346" s="54" t="s">
        <v>150</v>
      </c>
      <c r="Z346" s="54" t="s">
        <v>150</v>
      </c>
      <c r="AA346" s="54" t="s">
        <v>150</v>
      </c>
      <c r="AB346" s="54" t="s">
        <v>150</v>
      </c>
      <c r="AD346" s="38"/>
      <c r="AF346" s="52" t="str">
        <f t="shared" si="269"/>
        <v>FICO 660-699</v>
      </c>
      <c r="AG346" s="54" t="s">
        <v>150</v>
      </c>
      <c r="AH346" s="54" t="s">
        <v>150</v>
      </c>
      <c r="AI346" s="54" t="s">
        <v>150</v>
      </c>
      <c r="AJ346" s="54" t="s">
        <v>150</v>
      </c>
      <c r="AK346" s="54" t="s">
        <v>150</v>
      </c>
      <c r="AL346" s="54" t="s">
        <v>150</v>
      </c>
      <c r="AM346" s="55"/>
      <c r="AN346" s="56"/>
      <c r="AO346" s="41"/>
      <c r="AP346" s="52" t="str">
        <f t="shared" si="270"/>
        <v>FICO 660-699</v>
      </c>
      <c r="AQ346" s="54" t="s">
        <v>150</v>
      </c>
      <c r="AR346" s="54" t="s">
        <v>150</v>
      </c>
      <c r="AS346" s="54" t="s">
        <v>150</v>
      </c>
      <c r="AT346" s="54" t="s">
        <v>150</v>
      </c>
      <c r="AU346" s="54" t="s">
        <v>150</v>
      </c>
      <c r="AV346" s="54" t="s">
        <v>150</v>
      </c>
      <c r="AX346" s="38"/>
      <c r="AZ346" s="52" t="str">
        <f t="shared" si="271"/>
        <v>FICO 660-699</v>
      </c>
      <c r="BA346" s="54" t="s">
        <v>150</v>
      </c>
      <c r="BB346" s="54" t="s">
        <v>150</v>
      </c>
      <c r="BC346" s="54" t="s">
        <v>150</v>
      </c>
      <c r="BD346" s="54" t="s">
        <v>150</v>
      </c>
      <c r="BE346" s="54" t="s">
        <v>150</v>
      </c>
      <c r="BF346" s="54" t="s">
        <v>150</v>
      </c>
    </row>
    <row r="347" spans="2:58" s="37" customFormat="1" ht="12.75" customHeight="1" x14ac:dyDescent="0.45">
      <c r="B347" s="57" t="s">
        <v>153</v>
      </c>
      <c r="C347" s="59" t="s">
        <v>150</v>
      </c>
      <c r="D347" s="59" t="s">
        <v>150</v>
      </c>
      <c r="E347" s="59" t="s">
        <v>150</v>
      </c>
      <c r="F347" s="59" t="s">
        <v>150</v>
      </c>
      <c r="G347" s="59" t="s">
        <v>150</v>
      </c>
      <c r="H347" s="59" t="s">
        <v>150</v>
      </c>
      <c r="J347" s="38"/>
      <c r="L347" s="57" t="s">
        <v>153</v>
      </c>
      <c r="M347" s="59" t="s">
        <v>150</v>
      </c>
      <c r="N347" s="59" t="s">
        <v>150</v>
      </c>
      <c r="O347" s="59" t="s">
        <v>150</v>
      </c>
      <c r="P347" s="59" t="s">
        <v>150</v>
      </c>
      <c r="Q347" s="59" t="s">
        <v>150</v>
      </c>
      <c r="R347" s="59" t="s">
        <v>150</v>
      </c>
      <c r="S347" s="55"/>
      <c r="T347" s="56"/>
      <c r="U347" s="41"/>
      <c r="V347" s="57" t="str">
        <f t="shared" si="268"/>
        <v>FICO 640-659</v>
      </c>
      <c r="W347" s="59" t="s">
        <v>150</v>
      </c>
      <c r="X347" s="59" t="s">
        <v>150</v>
      </c>
      <c r="Y347" s="59" t="s">
        <v>150</v>
      </c>
      <c r="Z347" s="59" t="s">
        <v>150</v>
      </c>
      <c r="AA347" s="59" t="s">
        <v>150</v>
      </c>
      <c r="AB347" s="59" t="s">
        <v>150</v>
      </c>
      <c r="AD347" s="38"/>
      <c r="AF347" s="57" t="str">
        <f t="shared" si="269"/>
        <v>FICO 640-659</v>
      </c>
      <c r="AG347" s="59" t="s">
        <v>150</v>
      </c>
      <c r="AH347" s="59" t="s">
        <v>150</v>
      </c>
      <c r="AI347" s="59" t="s">
        <v>150</v>
      </c>
      <c r="AJ347" s="59" t="s">
        <v>150</v>
      </c>
      <c r="AK347" s="59" t="s">
        <v>150</v>
      </c>
      <c r="AL347" s="59" t="s">
        <v>150</v>
      </c>
      <c r="AM347" s="55"/>
      <c r="AN347" s="56"/>
      <c r="AO347" s="41"/>
      <c r="AP347" s="57" t="str">
        <f t="shared" si="270"/>
        <v>FICO 640-659</v>
      </c>
      <c r="AQ347" s="59" t="s">
        <v>150</v>
      </c>
      <c r="AR347" s="59" t="s">
        <v>150</v>
      </c>
      <c r="AS347" s="59" t="s">
        <v>150</v>
      </c>
      <c r="AT347" s="59" t="s">
        <v>150</v>
      </c>
      <c r="AU347" s="59" t="s">
        <v>150</v>
      </c>
      <c r="AV347" s="59" t="s">
        <v>150</v>
      </c>
      <c r="AX347" s="38"/>
      <c r="AZ347" s="57" t="str">
        <f t="shared" si="271"/>
        <v>FICO 640-659</v>
      </c>
      <c r="BA347" s="59" t="s">
        <v>150</v>
      </c>
      <c r="BB347" s="59" t="s">
        <v>150</v>
      </c>
      <c r="BC347" s="59" t="s">
        <v>150</v>
      </c>
      <c r="BD347" s="59" t="s">
        <v>150</v>
      </c>
      <c r="BE347" s="59" t="s">
        <v>150</v>
      </c>
      <c r="BF347" s="59" t="s">
        <v>150</v>
      </c>
    </row>
    <row r="348" spans="2:58" s="37" customFormat="1" ht="12.75" customHeight="1" x14ac:dyDescent="0.45">
      <c r="B348" s="60" t="s">
        <v>154</v>
      </c>
      <c r="C348" s="48">
        <f>C352+0.125%</f>
        <v>8.6250000000000007E-2</v>
      </c>
      <c r="D348" s="48">
        <f>C348+0.125%</f>
        <v>8.7500000000000008E-2</v>
      </c>
      <c r="E348" s="49" t="s">
        <v>150</v>
      </c>
      <c r="F348" s="49" t="s">
        <v>150</v>
      </c>
      <c r="G348" s="49" t="s">
        <v>150</v>
      </c>
      <c r="H348" s="49" t="s">
        <v>150</v>
      </c>
      <c r="J348" s="38"/>
      <c r="L348" s="60" t="s">
        <v>154</v>
      </c>
      <c r="M348" s="49" t="s">
        <v>150</v>
      </c>
      <c r="N348" s="49" t="s">
        <v>150</v>
      </c>
      <c r="O348" s="49" t="s">
        <v>150</v>
      </c>
      <c r="P348" s="49" t="s">
        <v>150</v>
      </c>
      <c r="Q348" s="49" t="s">
        <v>150</v>
      </c>
      <c r="R348" s="49" t="s">
        <v>150</v>
      </c>
      <c r="S348" s="50"/>
      <c r="T348" s="51"/>
      <c r="U348" s="41"/>
      <c r="V348" s="60" t="str">
        <f t="shared" si="268"/>
        <v>65.00%-70.00%</v>
      </c>
      <c r="W348" s="48">
        <f>W352+0.125%</f>
        <v>8.7500000000000008E-2</v>
      </c>
      <c r="X348" s="48">
        <f>W348+0.125%</f>
        <v>8.8750000000000009E-2</v>
      </c>
      <c r="Y348" s="49" t="s">
        <v>150</v>
      </c>
      <c r="Z348" s="49" t="s">
        <v>150</v>
      </c>
      <c r="AA348" s="49" t="s">
        <v>150</v>
      </c>
      <c r="AB348" s="49" t="s">
        <v>150</v>
      </c>
      <c r="AD348" s="38"/>
      <c r="AF348" s="60" t="str">
        <f t="shared" si="269"/>
        <v>65.00%-70.00%</v>
      </c>
      <c r="AG348" s="49" t="s">
        <v>150</v>
      </c>
      <c r="AH348" s="49" t="s">
        <v>150</v>
      </c>
      <c r="AI348" s="49" t="s">
        <v>150</v>
      </c>
      <c r="AJ348" s="49" t="s">
        <v>150</v>
      </c>
      <c r="AK348" s="49" t="s">
        <v>150</v>
      </c>
      <c r="AL348" s="49" t="s">
        <v>150</v>
      </c>
      <c r="AM348" s="50"/>
      <c r="AN348" s="51"/>
      <c r="AO348" s="41"/>
      <c r="AP348" s="60" t="str">
        <f t="shared" si="270"/>
        <v>65.00%-70.00%</v>
      </c>
      <c r="AQ348" s="48">
        <f>AQ352+0.125%</f>
        <v>8.8750000000000009E-2</v>
      </c>
      <c r="AR348" s="48">
        <f>AQ348+0.125%</f>
        <v>9.0000000000000011E-2</v>
      </c>
      <c r="AS348" s="49" t="s">
        <v>150</v>
      </c>
      <c r="AT348" s="49" t="s">
        <v>150</v>
      </c>
      <c r="AU348" s="49" t="s">
        <v>150</v>
      </c>
      <c r="AV348" s="49" t="s">
        <v>150</v>
      </c>
      <c r="AX348" s="38"/>
      <c r="AZ348" s="60" t="str">
        <f t="shared" si="271"/>
        <v>65.00%-70.00%</v>
      </c>
      <c r="BA348" s="49" t="s">
        <v>150</v>
      </c>
      <c r="BB348" s="49" t="s">
        <v>150</v>
      </c>
      <c r="BC348" s="49" t="s">
        <v>150</v>
      </c>
      <c r="BD348" s="49" t="s">
        <v>150</v>
      </c>
      <c r="BE348" s="49" t="s">
        <v>150</v>
      </c>
      <c r="BF348" s="49" t="s">
        <v>150</v>
      </c>
    </row>
    <row r="349" spans="2:58" s="37" customFormat="1" ht="12.75" customHeight="1" x14ac:dyDescent="0.45">
      <c r="B349" s="52" t="s">
        <v>151</v>
      </c>
      <c r="C349" s="53">
        <f>C348+0</f>
        <v>8.6250000000000007E-2</v>
      </c>
      <c r="D349" s="53">
        <f>D348+0</f>
        <v>8.7500000000000008E-2</v>
      </c>
      <c r="E349" s="54" t="s">
        <v>150</v>
      </c>
      <c r="F349" s="54" t="s">
        <v>150</v>
      </c>
      <c r="G349" s="54" t="s">
        <v>150</v>
      </c>
      <c r="H349" s="54" t="s">
        <v>150</v>
      </c>
      <c r="J349" s="38"/>
      <c r="L349" s="52" t="s">
        <v>151</v>
      </c>
      <c r="M349" s="54" t="s">
        <v>150</v>
      </c>
      <c r="N349" s="54" t="s">
        <v>150</v>
      </c>
      <c r="O349" s="54" t="s">
        <v>150</v>
      </c>
      <c r="P349" s="54" t="s">
        <v>150</v>
      </c>
      <c r="Q349" s="54" t="s">
        <v>150</v>
      </c>
      <c r="R349" s="54" t="s">
        <v>150</v>
      </c>
      <c r="S349" s="55"/>
      <c r="T349" s="56"/>
      <c r="U349" s="41"/>
      <c r="V349" s="52" t="str">
        <f t="shared" si="268"/>
        <v>FICO 700+</v>
      </c>
      <c r="W349" s="53">
        <f>W348+0</f>
        <v>8.7500000000000008E-2</v>
      </c>
      <c r="X349" s="53">
        <f>X348+0</f>
        <v>8.8750000000000009E-2</v>
      </c>
      <c r="Y349" s="54" t="s">
        <v>150</v>
      </c>
      <c r="Z349" s="54" t="s">
        <v>150</v>
      </c>
      <c r="AA349" s="54" t="s">
        <v>150</v>
      </c>
      <c r="AB349" s="54" t="s">
        <v>150</v>
      </c>
      <c r="AD349" s="38"/>
      <c r="AF349" s="52" t="str">
        <f t="shared" si="269"/>
        <v>FICO 700+</v>
      </c>
      <c r="AG349" s="54" t="s">
        <v>150</v>
      </c>
      <c r="AH349" s="54" t="s">
        <v>150</v>
      </c>
      <c r="AI349" s="54" t="s">
        <v>150</v>
      </c>
      <c r="AJ349" s="54" t="s">
        <v>150</v>
      </c>
      <c r="AK349" s="54" t="s">
        <v>150</v>
      </c>
      <c r="AL349" s="54" t="s">
        <v>150</v>
      </c>
      <c r="AM349" s="55"/>
      <c r="AN349" s="56"/>
      <c r="AO349" s="41"/>
      <c r="AP349" s="52" t="str">
        <f t="shared" si="270"/>
        <v>FICO 700+</v>
      </c>
      <c r="AQ349" s="53">
        <f>AQ348+0</f>
        <v>8.8750000000000009E-2</v>
      </c>
      <c r="AR349" s="53">
        <f>AR348+0</f>
        <v>9.0000000000000011E-2</v>
      </c>
      <c r="AS349" s="54" t="s">
        <v>150</v>
      </c>
      <c r="AT349" s="54" t="s">
        <v>150</v>
      </c>
      <c r="AU349" s="54" t="s">
        <v>150</v>
      </c>
      <c r="AV349" s="54" t="s">
        <v>150</v>
      </c>
      <c r="AX349" s="38"/>
      <c r="AZ349" s="52" t="str">
        <f t="shared" si="271"/>
        <v>FICO 700+</v>
      </c>
      <c r="BA349" s="54" t="s">
        <v>150</v>
      </c>
      <c r="BB349" s="54" t="s">
        <v>150</v>
      </c>
      <c r="BC349" s="54" t="s">
        <v>150</v>
      </c>
      <c r="BD349" s="54" t="s">
        <v>150</v>
      </c>
      <c r="BE349" s="54" t="s">
        <v>150</v>
      </c>
      <c r="BF349" s="54" t="s">
        <v>150</v>
      </c>
    </row>
    <row r="350" spans="2:58" s="37" customFormat="1" ht="12.75" customHeight="1" x14ac:dyDescent="0.45">
      <c r="B350" s="52" t="s">
        <v>152</v>
      </c>
      <c r="C350" s="54" t="s">
        <v>150</v>
      </c>
      <c r="D350" s="54" t="s">
        <v>150</v>
      </c>
      <c r="E350" s="54" t="s">
        <v>150</v>
      </c>
      <c r="F350" s="54" t="s">
        <v>150</v>
      </c>
      <c r="G350" s="54" t="s">
        <v>150</v>
      </c>
      <c r="H350" s="54" t="s">
        <v>150</v>
      </c>
      <c r="J350" s="38"/>
      <c r="L350" s="52" t="s">
        <v>152</v>
      </c>
      <c r="M350" s="54" t="s">
        <v>150</v>
      </c>
      <c r="N350" s="54" t="s">
        <v>150</v>
      </c>
      <c r="O350" s="54" t="s">
        <v>150</v>
      </c>
      <c r="P350" s="54" t="s">
        <v>150</v>
      </c>
      <c r="Q350" s="54" t="s">
        <v>150</v>
      </c>
      <c r="R350" s="54" t="s">
        <v>150</v>
      </c>
      <c r="S350" s="55"/>
      <c r="T350" s="56"/>
      <c r="U350" s="41"/>
      <c r="V350" s="52" t="str">
        <f t="shared" si="268"/>
        <v>FICO 660-699</v>
      </c>
      <c r="W350" s="54" t="s">
        <v>150</v>
      </c>
      <c r="X350" s="54" t="s">
        <v>150</v>
      </c>
      <c r="Y350" s="54" t="s">
        <v>150</v>
      </c>
      <c r="Z350" s="54" t="s">
        <v>150</v>
      </c>
      <c r="AA350" s="54" t="s">
        <v>150</v>
      </c>
      <c r="AB350" s="54" t="s">
        <v>150</v>
      </c>
      <c r="AD350" s="38"/>
      <c r="AF350" s="52" t="str">
        <f t="shared" si="269"/>
        <v>FICO 660-699</v>
      </c>
      <c r="AG350" s="54" t="s">
        <v>150</v>
      </c>
      <c r="AH350" s="54" t="s">
        <v>150</v>
      </c>
      <c r="AI350" s="54" t="s">
        <v>150</v>
      </c>
      <c r="AJ350" s="54" t="s">
        <v>150</v>
      </c>
      <c r="AK350" s="54" t="s">
        <v>150</v>
      </c>
      <c r="AL350" s="54" t="s">
        <v>150</v>
      </c>
      <c r="AM350" s="55"/>
      <c r="AN350" s="56"/>
      <c r="AO350" s="41"/>
      <c r="AP350" s="52" t="str">
        <f t="shared" si="270"/>
        <v>FICO 660-699</v>
      </c>
      <c r="AQ350" s="54" t="s">
        <v>150</v>
      </c>
      <c r="AR350" s="54" t="s">
        <v>150</v>
      </c>
      <c r="AS350" s="54" t="s">
        <v>150</v>
      </c>
      <c r="AT350" s="54" t="s">
        <v>150</v>
      </c>
      <c r="AU350" s="54" t="s">
        <v>150</v>
      </c>
      <c r="AV350" s="54" t="s">
        <v>150</v>
      </c>
      <c r="AX350" s="38"/>
      <c r="AZ350" s="52" t="str">
        <f t="shared" si="271"/>
        <v>FICO 660-699</v>
      </c>
      <c r="BA350" s="54" t="s">
        <v>150</v>
      </c>
      <c r="BB350" s="54" t="s">
        <v>150</v>
      </c>
      <c r="BC350" s="54" t="s">
        <v>150</v>
      </c>
      <c r="BD350" s="54" t="s">
        <v>150</v>
      </c>
      <c r="BE350" s="54" t="s">
        <v>150</v>
      </c>
      <c r="BF350" s="54" t="s">
        <v>150</v>
      </c>
    </row>
    <row r="351" spans="2:58" s="37" customFormat="1" ht="12.75" customHeight="1" x14ac:dyDescent="0.45">
      <c r="B351" s="57" t="s">
        <v>153</v>
      </c>
      <c r="C351" s="59" t="s">
        <v>150</v>
      </c>
      <c r="D351" s="59" t="s">
        <v>150</v>
      </c>
      <c r="E351" s="59" t="s">
        <v>150</v>
      </c>
      <c r="F351" s="59" t="s">
        <v>150</v>
      </c>
      <c r="G351" s="59" t="s">
        <v>150</v>
      </c>
      <c r="H351" s="59" t="s">
        <v>150</v>
      </c>
      <c r="J351" s="38"/>
      <c r="L351" s="57" t="s">
        <v>153</v>
      </c>
      <c r="M351" s="59" t="s">
        <v>150</v>
      </c>
      <c r="N351" s="59" t="s">
        <v>150</v>
      </c>
      <c r="O351" s="59" t="s">
        <v>150</v>
      </c>
      <c r="P351" s="59" t="s">
        <v>150</v>
      </c>
      <c r="Q351" s="59" t="s">
        <v>150</v>
      </c>
      <c r="R351" s="59" t="s">
        <v>150</v>
      </c>
      <c r="S351" s="55"/>
      <c r="T351" s="56"/>
      <c r="U351" s="41"/>
      <c r="V351" s="57" t="str">
        <f t="shared" si="268"/>
        <v>FICO 640-659</v>
      </c>
      <c r="W351" s="59" t="s">
        <v>150</v>
      </c>
      <c r="X351" s="59" t="s">
        <v>150</v>
      </c>
      <c r="Y351" s="59" t="s">
        <v>150</v>
      </c>
      <c r="Z351" s="59" t="s">
        <v>150</v>
      </c>
      <c r="AA351" s="59" t="s">
        <v>150</v>
      </c>
      <c r="AB351" s="59" t="s">
        <v>150</v>
      </c>
      <c r="AD351" s="38"/>
      <c r="AF351" s="57" t="str">
        <f t="shared" si="269"/>
        <v>FICO 640-659</v>
      </c>
      <c r="AG351" s="59" t="s">
        <v>150</v>
      </c>
      <c r="AH351" s="59" t="s">
        <v>150</v>
      </c>
      <c r="AI351" s="59" t="s">
        <v>150</v>
      </c>
      <c r="AJ351" s="59" t="s">
        <v>150</v>
      </c>
      <c r="AK351" s="59" t="s">
        <v>150</v>
      </c>
      <c r="AL351" s="59" t="s">
        <v>150</v>
      </c>
      <c r="AM351" s="55"/>
      <c r="AN351" s="56"/>
      <c r="AO351" s="41"/>
      <c r="AP351" s="57" t="str">
        <f t="shared" si="270"/>
        <v>FICO 640-659</v>
      </c>
      <c r="AQ351" s="59" t="s">
        <v>150</v>
      </c>
      <c r="AR351" s="59" t="s">
        <v>150</v>
      </c>
      <c r="AS351" s="59" t="s">
        <v>150</v>
      </c>
      <c r="AT351" s="59" t="s">
        <v>150</v>
      </c>
      <c r="AU351" s="59" t="s">
        <v>150</v>
      </c>
      <c r="AV351" s="59" t="s">
        <v>150</v>
      </c>
      <c r="AX351" s="38"/>
      <c r="AZ351" s="57" t="str">
        <f t="shared" si="271"/>
        <v>FICO 640-659</v>
      </c>
      <c r="BA351" s="59" t="s">
        <v>150</v>
      </c>
      <c r="BB351" s="59" t="s">
        <v>150</v>
      </c>
      <c r="BC351" s="59" t="s">
        <v>150</v>
      </c>
      <c r="BD351" s="59" t="s">
        <v>150</v>
      </c>
      <c r="BE351" s="59" t="s">
        <v>150</v>
      </c>
      <c r="BF351" s="59" t="s">
        <v>150</v>
      </c>
    </row>
    <row r="352" spans="2:58" s="37" customFormat="1" ht="12.75" customHeight="1" x14ac:dyDescent="0.45">
      <c r="B352" s="60" t="s">
        <v>155</v>
      </c>
      <c r="C352" s="61">
        <v>8.5000000000000006E-2</v>
      </c>
      <c r="D352" s="48">
        <f>C352+0.125%</f>
        <v>8.6250000000000007E-2</v>
      </c>
      <c r="E352" s="49" t="s">
        <v>150</v>
      </c>
      <c r="F352" s="49" t="s">
        <v>150</v>
      </c>
      <c r="G352" s="49" t="s">
        <v>150</v>
      </c>
      <c r="H352" s="49" t="s">
        <v>150</v>
      </c>
      <c r="J352" s="38"/>
      <c r="L352" s="60" t="s">
        <v>155</v>
      </c>
      <c r="M352" s="49" t="s">
        <v>150</v>
      </c>
      <c r="N352" s="49" t="s">
        <v>150</v>
      </c>
      <c r="O352" s="49" t="s">
        <v>150</v>
      </c>
      <c r="P352" s="49" t="s">
        <v>150</v>
      </c>
      <c r="Q352" s="49" t="s">
        <v>150</v>
      </c>
      <c r="R352" s="49" t="s">
        <v>150</v>
      </c>
      <c r="S352" s="50"/>
      <c r="T352" s="51"/>
      <c r="U352" s="41"/>
      <c r="V352" s="60" t="str">
        <f t="shared" si="268"/>
        <v>&lt;64.99%</v>
      </c>
      <c r="W352" s="62">
        <f>C352+0.125%</f>
        <v>8.6250000000000007E-2</v>
      </c>
      <c r="X352" s="48">
        <f>W352+0.125%</f>
        <v>8.7500000000000008E-2</v>
      </c>
      <c r="Y352" s="49" t="s">
        <v>150</v>
      </c>
      <c r="Z352" s="49" t="s">
        <v>150</v>
      </c>
      <c r="AA352" s="49" t="s">
        <v>150</v>
      </c>
      <c r="AB352" s="49" t="s">
        <v>150</v>
      </c>
      <c r="AD352" s="38"/>
      <c r="AF352" s="60" t="str">
        <f t="shared" si="269"/>
        <v>&lt;64.99%</v>
      </c>
      <c r="AG352" s="49" t="s">
        <v>150</v>
      </c>
      <c r="AH352" s="49" t="s">
        <v>150</v>
      </c>
      <c r="AI352" s="49" t="s">
        <v>150</v>
      </c>
      <c r="AJ352" s="49" t="s">
        <v>150</v>
      </c>
      <c r="AK352" s="49" t="s">
        <v>150</v>
      </c>
      <c r="AL352" s="49" t="s">
        <v>150</v>
      </c>
      <c r="AM352" s="50"/>
      <c r="AN352" s="51"/>
      <c r="AO352" s="41"/>
      <c r="AP352" s="60" t="str">
        <f t="shared" si="270"/>
        <v>&lt;64.99%</v>
      </c>
      <c r="AQ352" s="62">
        <f>W352+0.125%</f>
        <v>8.7500000000000008E-2</v>
      </c>
      <c r="AR352" s="48">
        <f>AQ352+0.125%</f>
        <v>8.8750000000000009E-2</v>
      </c>
      <c r="AS352" s="49" t="s">
        <v>150</v>
      </c>
      <c r="AT352" s="49" t="s">
        <v>150</v>
      </c>
      <c r="AU352" s="49" t="s">
        <v>150</v>
      </c>
      <c r="AV352" s="49" t="s">
        <v>150</v>
      </c>
      <c r="AX352" s="38"/>
      <c r="AZ352" s="60" t="str">
        <f t="shared" si="271"/>
        <v>&lt;64.99%</v>
      </c>
      <c r="BA352" s="49" t="s">
        <v>150</v>
      </c>
      <c r="BB352" s="49" t="s">
        <v>150</v>
      </c>
      <c r="BC352" s="49" t="s">
        <v>150</v>
      </c>
      <c r="BD352" s="49" t="s">
        <v>150</v>
      </c>
      <c r="BE352" s="49" t="s">
        <v>150</v>
      </c>
      <c r="BF352" s="49" t="s">
        <v>150</v>
      </c>
    </row>
    <row r="353" spans="2:58" s="37" customFormat="1" ht="12.75" customHeight="1" x14ac:dyDescent="0.45">
      <c r="B353" s="52" t="s">
        <v>151</v>
      </c>
      <c r="C353" s="53">
        <f>C352+0</f>
        <v>8.5000000000000006E-2</v>
      </c>
      <c r="D353" s="53">
        <f>D352+0</f>
        <v>8.6250000000000007E-2</v>
      </c>
      <c r="E353" s="54" t="s">
        <v>150</v>
      </c>
      <c r="F353" s="54" t="s">
        <v>150</v>
      </c>
      <c r="G353" s="54" t="s">
        <v>150</v>
      </c>
      <c r="H353" s="54" t="s">
        <v>150</v>
      </c>
      <c r="J353" s="38"/>
      <c r="L353" s="52" t="s">
        <v>151</v>
      </c>
      <c r="M353" s="54" t="s">
        <v>150</v>
      </c>
      <c r="N353" s="54" t="s">
        <v>150</v>
      </c>
      <c r="O353" s="54" t="s">
        <v>150</v>
      </c>
      <c r="P353" s="54" t="s">
        <v>150</v>
      </c>
      <c r="Q353" s="54" t="s">
        <v>150</v>
      </c>
      <c r="R353" s="54" t="s">
        <v>150</v>
      </c>
      <c r="S353" s="55"/>
      <c r="T353" s="56"/>
      <c r="U353" s="41"/>
      <c r="V353" s="52" t="str">
        <f t="shared" si="268"/>
        <v>FICO 700+</v>
      </c>
      <c r="W353" s="53">
        <f>W352+0</f>
        <v>8.6250000000000007E-2</v>
      </c>
      <c r="X353" s="53">
        <f>X352+0</f>
        <v>8.7500000000000008E-2</v>
      </c>
      <c r="Y353" s="54" t="s">
        <v>150</v>
      </c>
      <c r="Z353" s="54" t="s">
        <v>150</v>
      </c>
      <c r="AA353" s="54" t="s">
        <v>150</v>
      </c>
      <c r="AB353" s="54" t="s">
        <v>150</v>
      </c>
      <c r="AD353" s="38"/>
      <c r="AF353" s="52" t="str">
        <f t="shared" si="269"/>
        <v>FICO 700+</v>
      </c>
      <c r="AG353" s="54" t="s">
        <v>150</v>
      </c>
      <c r="AH353" s="54" t="s">
        <v>150</v>
      </c>
      <c r="AI353" s="54" t="s">
        <v>150</v>
      </c>
      <c r="AJ353" s="54" t="s">
        <v>150</v>
      </c>
      <c r="AK353" s="54" t="s">
        <v>150</v>
      </c>
      <c r="AL353" s="54" t="s">
        <v>150</v>
      </c>
      <c r="AM353" s="55"/>
      <c r="AN353" s="56"/>
      <c r="AO353" s="41"/>
      <c r="AP353" s="52" t="str">
        <f t="shared" si="270"/>
        <v>FICO 700+</v>
      </c>
      <c r="AQ353" s="53">
        <f>AQ352+0</f>
        <v>8.7500000000000008E-2</v>
      </c>
      <c r="AR353" s="53">
        <f>AR352+0</f>
        <v>8.8750000000000009E-2</v>
      </c>
      <c r="AS353" s="54" t="s">
        <v>150</v>
      </c>
      <c r="AT353" s="54" t="s">
        <v>150</v>
      </c>
      <c r="AU353" s="54" t="s">
        <v>150</v>
      </c>
      <c r="AV353" s="54" t="s">
        <v>150</v>
      </c>
      <c r="AX353" s="38"/>
      <c r="AZ353" s="52" t="str">
        <f t="shared" si="271"/>
        <v>FICO 700+</v>
      </c>
      <c r="BA353" s="54" t="s">
        <v>150</v>
      </c>
      <c r="BB353" s="54" t="s">
        <v>150</v>
      </c>
      <c r="BC353" s="54" t="s">
        <v>150</v>
      </c>
      <c r="BD353" s="54" t="s">
        <v>150</v>
      </c>
      <c r="BE353" s="54" t="s">
        <v>150</v>
      </c>
      <c r="BF353" s="54" t="s">
        <v>150</v>
      </c>
    </row>
    <row r="354" spans="2:58" s="37" customFormat="1" ht="12.75" customHeight="1" x14ac:dyDescent="0.45">
      <c r="B354" s="52" t="s">
        <v>152</v>
      </c>
      <c r="C354" s="54" t="s">
        <v>150</v>
      </c>
      <c r="D354" s="54" t="s">
        <v>150</v>
      </c>
      <c r="E354" s="54" t="s">
        <v>150</v>
      </c>
      <c r="F354" s="54" t="s">
        <v>150</v>
      </c>
      <c r="G354" s="54" t="s">
        <v>150</v>
      </c>
      <c r="H354" s="54" t="s">
        <v>150</v>
      </c>
      <c r="J354" s="38"/>
      <c r="L354" s="52" t="s">
        <v>152</v>
      </c>
      <c r="M354" s="54" t="s">
        <v>150</v>
      </c>
      <c r="N354" s="54" t="s">
        <v>150</v>
      </c>
      <c r="O354" s="54" t="s">
        <v>150</v>
      </c>
      <c r="P354" s="54" t="s">
        <v>150</v>
      </c>
      <c r="Q354" s="54" t="s">
        <v>150</v>
      </c>
      <c r="R354" s="54" t="s">
        <v>150</v>
      </c>
      <c r="S354" s="55"/>
      <c r="T354" s="56"/>
      <c r="U354" s="41"/>
      <c r="V354" s="52" t="str">
        <f t="shared" si="268"/>
        <v>FICO 660-699</v>
      </c>
      <c r="W354" s="54" t="s">
        <v>150</v>
      </c>
      <c r="X354" s="54" t="s">
        <v>150</v>
      </c>
      <c r="Y354" s="54" t="s">
        <v>150</v>
      </c>
      <c r="Z354" s="54" t="s">
        <v>150</v>
      </c>
      <c r="AA354" s="54" t="s">
        <v>150</v>
      </c>
      <c r="AB354" s="54" t="s">
        <v>150</v>
      </c>
      <c r="AD354" s="38"/>
      <c r="AF354" s="52" t="str">
        <f t="shared" si="269"/>
        <v>FICO 660-699</v>
      </c>
      <c r="AG354" s="54" t="s">
        <v>150</v>
      </c>
      <c r="AH354" s="54" t="s">
        <v>150</v>
      </c>
      <c r="AI354" s="54" t="s">
        <v>150</v>
      </c>
      <c r="AJ354" s="54" t="s">
        <v>150</v>
      </c>
      <c r="AK354" s="54" t="s">
        <v>150</v>
      </c>
      <c r="AL354" s="54" t="s">
        <v>150</v>
      </c>
      <c r="AM354" s="55"/>
      <c r="AN354" s="56"/>
      <c r="AO354" s="41"/>
      <c r="AP354" s="52" t="str">
        <f t="shared" si="270"/>
        <v>FICO 660-699</v>
      </c>
      <c r="AQ354" s="54" t="s">
        <v>150</v>
      </c>
      <c r="AR354" s="54" t="s">
        <v>150</v>
      </c>
      <c r="AS354" s="54" t="s">
        <v>150</v>
      </c>
      <c r="AT354" s="54" t="s">
        <v>150</v>
      </c>
      <c r="AU354" s="54" t="s">
        <v>150</v>
      </c>
      <c r="AV354" s="54" t="s">
        <v>150</v>
      </c>
      <c r="AX354" s="38"/>
      <c r="AZ354" s="52" t="str">
        <f t="shared" si="271"/>
        <v>FICO 660-699</v>
      </c>
      <c r="BA354" s="54" t="s">
        <v>150</v>
      </c>
      <c r="BB354" s="54" t="s">
        <v>150</v>
      </c>
      <c r="BC354" s="54" t="s">
        <v>150</v>
      </c>
      <c r="BD354" s="54" t="s">
        <v>150</v>
      </c>
      <c r="BE354" s="54" t="s">
        <v>150</v>
      </c>
      <c r="BF354" s="54" t="s">
        <v>150</v>
      </c>
    </row>
    <row r="355" spans="2:58" s="37" customFormat="1" ht="12.75" customHeight="1" x14ac:dyDescent="0.45">
      <c r="B355" s="52" t="s">
        <v>153</v>
      </c>
      <c r="C355" s="54" t="s">
        <v>150</v>
      </c>
      <c r="D355" s="54" t="s">
        <v>150</v>
      </c>
      <c r="E355" s="54" t="s">
        <v>150</v>
      </c>
      <c r="F355" s="54" t="s">
        <v>150</v>
      </c>
      <c r="G355" s="54" t="s">
        <v>150</v>
      </c>
      <c r="H355" s="54" t="s">
        <v>150</v>
      </c>
      <c r="J355" s="38"/>
      <c r="L355" s="52" t="s">
        <v>153</v>
      </c>
      <c r="M355" s="54" t="s">
        <v>150</v>
      </c>
      <c r="N355" s="54" t="s">
        <v>150</v>
      </c>
      <c r="O355" s="54" t="s">
        <v>150</v>
      </c>
      <c r="P355" s="54" t="s">
        <v>150</v>
      </c>
      <c r="Q355" s="54" t="s">
        <v>150</v>
      </c>
      <c r="R355" s="54" t="s">
        <v>150</v>
      </c>
      <c r="S355" s="55"/>
      <c r="T355" s="56"/>
      <c r="U355" s="41"/>
      <c r="V355" s="52" t="str">
        <f t="shared" si="268"/>
        <v>FICO 640-659</v>
      </c>
      <c r="W355" s="54" t="s">
        <v>150</v>
      </c>
      <c r="X355" s="54" t="s">
        <v>150</v>
      </c>
      <c r="Y355" s="54" t="s">
        <v>150</v>
      </c>
      <c r="Z355" s="54" t="s">
        <v>150</v>
      </c>
      <c r="AA355" s="54" t="s">
        <v>150</v>
      </c>
      <c r="AB355" s="54" t="s">
        <v>150</v>
      </c>
      <c r="AD355" s="38"/>
      <c r="AF355" s="52" t="str">
        <f t="shared" si="269"/>
        <v>FICO 640-659</v>
      </c>
      <c r="AG355" s="54" t="s">
        <v>150</v>
      </c>
      <c r="AH355" s="54" t="s">
        <v>150</v>
      </c>
      <c r="AI355" s="54" t="s">
        <v>150</v>
      </c>
      <c r="AJ355" s="54" t="s">
        <v>150</v>
      </c>
      <c r="AK355" s="54" t="s">
        <v>150</v>
      </c>
      <c r="AL355" s="54" t="s">
        <v>150</v>
      </c>
      <c r="AM355" s="55"/>
      <c r="AN355" s="56"/>
      <c r="AO355" s="41"/>
      <c r="AP355" s="52" t="str">
        <f t="shared" si="270"/>
        <v>FICO 640-659</v>
      </c>
      <c r="AQ355" s="54" t="s">
        <v>150</v>
      </c>
      <c r="AR355" s="54" t="s">
        <v>150</v>
      </c>
      <c r="AS355" s="54" t="s">
        <v>150</v>
      </c>
      <c r="AT355" s="54" t="s">
        <v>150</v>
      </c>
      <c r="AU355" s="54" t="s">
        <v>150</v>
      </c>
      <c r="AV355" s="54" t="s">
        <v>150</v>
      </c>
      <c r="AX355" s="38"/>
      <c r="AZ355" s="52" t="str">
        <f t="shared" si="271"/>
        <v>FICO 640-659</v>
      </c>
      <c r="BA355" s="54" t="s">
        <v>150</v>
      </c>
      <c r="BB355" s="54" t="s">
        <v>150</v>
      </c>
      <c r="BC355" s="54" t="s">
        <v>150</v>
      </c>
      <c r="BD355" s="54" t="s">
        <v>150</v>
      </c>
      <c r="BE355" s="54" t="s">
        <v>150</v>
      </c>
      <c r="BF355" s="54" t="s">
        <v>150</v>
      </c>
    </row>
    <row r="356" spans="2:58" s="37" customFormat="1" ht="12.75" customHeight="1" x14ac:dyDescent="0.45">
      <c r="C356" s="63"/>
      <c r="D356" s="63"/>
      <c r="E356" s="63"/>
      <c r="F356" s="63"/>
      <c r="G356" s="63"/>
      <c r="H356" s="63"/>
      <c r="J356" s="38"/>
      <c r="M356" s="63"/>
      <c r="N356" s="63"/>
      <c r="O356" s="63"/>
      <c r="P356" s="63"/>
      <c r="Q356" s="63"/>
      <c r="R356" s="63"/>
      <c r="S356" s="55"/>
      <c r="T356" s="56"/>
      <c r="U356" s="41"/>
      <c r="W356" s="63"/>
      <c r="X356" s="63"/>
      <c r="Y356" s="63"/>
      <c r="Z356" s="63"/>
      <c r="AA356" s="63"/>
      <c r="AB356" s="63"/>
      <c r="AD356" s="38"/>
      <c r="AG356" s="63"/>
      <c r="AH356" s="63"/>
      <c r="AI356" s="63"/>
      <c r="AJ356" s="63"/>
      <c r="AK356" s="63"/>
      <c r="AL356" s="63"/>
      <c r="AM356" s="55"/>
      <c r="AN356" s="56"/>
      <c r="AO356" s="41"/>
      <c r="AQ356" s="63"/>
      <c r="AR356" s="63"/>
      <c r="AS356" s="63"/>
      <c r="AT356" s="63"/>
      <c r="AU356" s="63"/>
      <c r="AV356" s="63"/>
      <c r="AX356" s="38"/>
      <c r="BA356" s="63"/>
      <c r="BB356" s="63"/>
      <c r="BC356" s="63"/>
      <c r="BD356" s="63"/>
      <c r="BE356" s="63"/>
      <c r="BF356" s="63"/>
    </row>
    <row r="357" spans="2:58" s="37" customFormat="1" ht="15.75" customHeight="1" x14ac:dyDescent="0.45">
      <c r="B357" s="94" t="s">
        <v>156</v>
      </c>
      <c r="C357" s="94"/>
      <c r="D357" s="94"/>
      <c r="E357" s="94"/>
      <c r="F357" s="94"/>
      <c r="G357" s="94"/>
      <c r="H357" s="94"/>
      <c r="J357" s="38"/>
      <c r="L357" s="94" t="s">
        <v>156</v>
      </c>
      <c r="M357" s="94"/>
      <c r="N357" s="94"/>
      <c r="O357" s="94"/>
      <c r="P357" s="94"/>
      <c r="Q357" s="94"/>
      <c r="R357" s="94"/>
      <c r="S357" s="39"/>
      <c r="T357" s="40"/>
      <c r="U357" s="41"/>
      <c r="V357" s="94" t="s">
        <v>156</v>
      </c>
      <c r="W357" s="94"/>
      <c r="X357" s="94"/>
      <c r="Y357" s="94"/>
      <c r="Z357" s="94"/>
      <c r="AA357" s="94"/>
      <c r="AB357" s="94"/>
      <c r="AD357" s="38"/>
      <c r="AF357" s="94" t="s">
        <v>156</v>
      </c>
      <c r="AG357" s="94"/>
      <c r="AH357" s="94"/>
      <c r="AI357" s="94"/>
      <c r="AJ357" s="94"/>
      <c r="AK357" s="94"/>
      <c r="AL357" s="94"/>
      <c r="AM357" s="39"/>
      <c r="AN357" s="40"/>
      <c r="AO357" s="41"/>
      <c r="AP357" s="94" t="s">
        <v>156</v>
      </c>
      <c r="AQ357" s="94"/>
      <c r="AR357" s="94"/>
      <c r="AS357" s="94"/>
      <c r="AT357" s="94"/>
      <c r="AU357" s="94"/>
      <c r="AV357" s="94"/>
      <c r="AX357" s="38"/>
      <c r="AZ357" s="94" t="s">
        <v>156</v>
      </c>
      <c r="BA357" s="94"/>
      <c r="BB357" s="94"/>
      <c r="BC357" s="94"/>
      <c r="BD357" s="94"/>
      <c r="BE357" s="94"/>
      <c r="BF357" s="94"/>
    </row>
    <row r="358" spans="2:58" s="37" customFormat="1" ht="12.75" customHeight="1" x14ac:dyDescent="0.45">
      <c r="B358" s="42"/>
      <c r="C358" s="95" t="s">
        <v>50</v>
      </c>
      <c r="D358" s="95"/>
      <c r="E358" s="95"/>
      <c r="F358" s="95"/>
      <c r="G358" s="95"/>
      <c r="H358" s="95"/>
      <c r="J358" s="38"/>
      <c r="L358" s="42"/>
      <c r="M358" s="95" t="s">
        <v>50</v>
      </c>
      <c r="N358" s="95"/>
      <c r="O358" s="95"/>
      <c r="P358" s="95"/>
      <c r="Q358" s="95"/>
      <c r="R358" s="95"/>
      <c r="S358" s="41"/>
      <c r="T358" s="43"/>
      <c r="U358" s="41"/>
      <c r="V358" s="42"/>
      <c r="W358" s="95" t="str">
        <f>C358</f>
        <v>LTC</v>
      </c>
      <c r="X358" s="95"/>
      <c r="Y358" s="95"/>
      <c r="Z358" s="95"/>
      <c r="AA358" s="95"/>
      <c r="AB358" s="95"/>
      <c r="AD358" s="38"/>
      <c r="AF358" s="42"/>
      <c r="AG358" s="95" t="str">
        <f>W358</f>
        <v>LTC</v>
      </c>
      <c r="AH358" s="95"/>
      <c r="AI358" s="95"/>
      <c r="AJ358" s="95"/>
      <c r="AK358" s="95"/>
      <c r="AL358" s="95"/>
      <c r="AM358" s="41"/>
      <c r="AN358" s="43"/>
      <c r="AO358" s="41"/>
      <c r="AP358" s="42"/>
      <c r="AQ358" s="95" t="str">
        <f>C358</f>
        <v>LTC</v>
      </c>
      <c r="AR358" s="95"/>
      <c r="AS358" s="95"/>
      <c r="AT358" s="95"/>
      <c r="AU358" s="95"/>
      <c r="AV358" s="95"/>
      <c r="AX358" s="38"/>
      <c r="AZ358" s="42"/>
      <c r="BA358" s="95" t="str">
        <f>C358</f>
        <v>LTC</v>
      </c>
      <c r="BB358" s="95"/>
      <c r="BC358" s="95"/>
      <c r="BD358" s="95"/>
      <c r="BE358" s="95"/>
      <c r="BF358" s="95"/>
    </row>
    <row r="359" spans="2:58" s="37" customFormat="1" ht="12.75" customHeight="1" x14ac:dyDescent="0.45">
      <c r="B359" s="44" t="s">
        <v>52</v>
      </c>
      <c r="C359" s="45" t="s">
        <v>143</v>
      </c>
      <c r="D359" s="45" t="s">
        <v>144</v>
      </c>
      <c r="E359" s="45" t="s">
        <v>145</v>
      </c>
      <c r="F359" s="45" t="s">
        <v>146</v>
      </c>
      <c r="G359" s="45" t="s">
        <v>147</v>
      </c>
      <c r="H359" s="45" t="s">
        <v>148</v>
      </c>
      <c r="J359" s="38"/>
      <c r="L359" s="44" t="s">
        <v>52</v>
      </c>
      <c r="M359" s="45" t="s">
        <v>143</v>
      </c>
      <c r="N359" s="45" t="s">
        <v>144</v>
      </c>
      <c r="O359" s="45" t="s">
        <v>145</v>
      </c>
      <c r="P359" s="45" t="s">
        <v>146</v>
      </c>
      <c r="Q359" s="45" t="s">
        <v>147</v>
      </c>
      <c r="R359" s="45" t="s">
        <v>148</v>
      </c>
      <c r="S359" s="41"/>
      <c r="T359" s="43"/>
      <c r="U359" s="41"/>
      <c r="V359" s="44" t="str">
        <f t="shared" ref="V359:V371" si="272">B359</f>
        <v>AR-LTV</v>
      </c>
      <c r="W359" s="45" t="str">
        <f>C359</f>
        <v>&lt;74.99%</v>
      </c>
      <c r="X359" s="45" t="str">
        <f>D359</f>
        <v>75.00%-80.00%</v>
      </c>
      <c r="Y359" s="45" t="str">
        <f>E359</f>
        <v>80.01%-85.00%</v>
      </c>
      <c r="Z359" s="45" t="str">
        <f>F359</f>
        <v>85.01%-87.50%</v>
      </c>
      <c r="AA359" s="45" t="str">
        <f>G359</f>
        <v>87.51%-89.99%</v>
      </c>
      <c r="AB359" s="45" t="str">
        <f>H359</f>
        <v>90.00%-92.50%</v>
      </c>
      <c r="AD359" s="38"/>
      <c r="AF359" s="44" t="str">
        <f t="shared" ref="AF359:AF371" si="273">V359</f>
        <v>AR-LTV</v>
      </c>
      <c r="AG359" s="45" t="str">
        <f>W359</f>
        <v>&lt;74.99%</v>
      </c>
      <c r="AH359" s="45" t="str">
        <f>X359</f>
        <v>75.00%-80.00%</v>
      </c>
      <c r="AI359" s="45" t="str">
        <f>Y359</f>
        <v>80.01%-85.00%</v>
      </c>
      <c r="AJ359" s="45" t="str">
        <f>Z359</f>
        <v>85.01%-87.50%</v>
      </c>
      <c r="AK359" s="45" t="str">
        <f>AA359</f>
        <v>87.51%-89.99%</v>
      </c>
      <c r="AL359" s="45" t="str">
        <f>AB359</f>
        <v>90.00%-92.50%</v>
      </c>
      <c r="AM359" s="41"/>
      <c r="AN359" s="43"/>
      <c r="AO359" s="41"/>
      <c r="AP359" s="44" t="str">
        <f t="shared" ref="AP359:AP371" si="274">B359</f>
        <v>AR-LTV</v>
      </c>
      <c r="AQ359" s="45" t="str">
        <f>C359</f>
        <v>&lt;74.99%</v>
      </c>
      <c r="AR359" s="45" t="str">
        <f>D359</f>
        <v>75.00%-80.00%</v>
      </c>
      <c r="AS359" s="45" t="str">
        <f>E359</f>
        <v>80.01%-85.00%</v>
      </c>
      <c r="AT359" s="45" t="str">
        <f>F359</f>
        <v>85.01%-87.50%</v>
      </c>
      <c r="AU359" s="45" t="str">
        <f>G359</f>
        <v>87.51%-89.99%</v>
      </c>
      <c r="AV359" s="45" t="str">
        <f>H359</f>
        <v>90.00%-92.50%</v>
      </c>
      <c r="AX359" s="38"/>
      <c r="AZ359" s="44" t="str">
        <f t="shared" ref="AZ359:AZ371" si="275">B359</f>
        <v>AR-LTV</v>
      </c>
      <c r="BA359" s="45" t="str">
        <f>C359</f>
        <v>&lt;74.99%</v>
      </c>
      <c r="BB359" s="45" t="str">
        <f>D359</f>
        <v>75.00%-80.00%</v>
      </c>
      <c r="BC359" s="45" t="str">
        <f>E359</f>
        <v>80.01%-85.00%</v>
      </c>
      <c r="BD359" s="45" t="str">
        <f>F359</f>
        <v>85.01%-87.50%</v>
      </c>
      <c r="BE359" s="45" t="str">
        <f>G359</f>
        <v>87.51%-89.99%</v>
      </c>
      <c r="BF359" s="45" t="str">
        <f>H359</f>
        <v>90.00%-92.50%</v>
      </c>
    </row>
    <row r="360" spans="2:58" s="37" customFormat="1" ht="12.75" customHeight="1" x14ac:dyDescent="0.45">
      <c r="B360" s="46" t="s">
        <v>149</v>
      </c>
      <c r="C360" s="48">
        <f>C364+0.25%</f>
        <v>9.1249999999999998E-2</v>
      </c>
      <c r="D360" s="48">
        <f>D364+0.25%</f>
        <v>9.2499999999999999E-2</v>
      </c>
      <c r="E360" s="49" t="s">
        <v>150</v>
      </c>
      <c r="F360" s="49" t="s">
        <v>150</v>
      </c>
      <c r="G360" s="49" t="s">
        <v>150</v>
      </c>
      <c r="H360" s="49" t="s">
        <v>150</v>
      </c>
      <c r="J360" s="38"/>
      <c r="L360" s="46" t="s">
        <v>149</v>
      </c>
      <c r="M360" s="49" t="s">
        <v>150</v>
      </c>
      <c r="N360" s="49" t="s">
        <v>150</v>
      </c>
      <c r="O360" s="49" t="s">
        <v>150</v>
      </c>
      <c r="P360" s="49" t="s">
        <v>150</v>
      </c>
      <c r="Q360" s="49" t="s">
        <v>150</v>
      </c>
      <c r="R360" s="49" t="s">
        <v>150</v>
      </c>
      <c r="S360" s="50"/>
      <c r="T360" s="51"/>
      <c r="U360" s="41"/>
      <c r="V360" s="46" t="str">
        <f t="shared" si="272"/>
        <v>70.01%-75.00%</v>
      </c>
      <c r="W360" s="48">
        <f>W364+0.25%</f>
        <v>9.2499999999999999E-2</v>
      </c>
      <c r="X360" s="48">
        <f>W360+0.125%</f>
        <v>9.375E-2</v>
      </c>
      <c r="Y360" s="49" t="s">
        <v>150</v>
      </c>
      <c r="Z360" s="49" t="s">
        <v>150</v>
      </c>
      <c r="AA360" s="49" t="s">
        <v>150</v>
      </c>
      <c r="AB360" s="49" t="s">
        <v>150</v>
      </c>
      <c r="AD360" s="38"/>
      <c r="AF360" s="46" t="str">
        <f t="shared" si="273"/>
        <v>70.01%-75.00%</v>
      </c>
      <c r="AG360" s="49" t="s">
        <v>150</v>
      </c>
      <c r="AH360" s="49" t="s">
        <v>150</v>
      </c>
      <c r="AI360" s="49" t="s">
        <v>150</v>
      </c>
      <c r="AJ360" s="49" t="s">
        <v>150</v>
      </c>
      <c r="AK360" s="49" t="s">
        <v>150</v>
      </c>
      <c r="AL360" s="49" t="s">
        <v>150</v>
      </c>
      <c r="AM360" s="50"/>
      <c r="AN360" s="51"/>
      <c r="AO360" s="41"/>
      <c r="AP360" s="46" t="str">
        <f t="shared" si="274"/>
        <v>70.01%-75.00%</v>
      </c>
      <c r="AQ360" s="48">
        <f>AQ364+0.25%</f>
        <v>9.375E-2</v>
      </c>
      <c r="AR360" s="48">
        <f>AQ360+0.125%</f>
        <v>9.5000000000000001E-2</v>
      </c>
      <c r="AS360" s="49" t="s">
        <v>150</v>
      </c>
      <c r="AT360" s="49" t="s">
        <v>150</v>
      </c>
      <c r="AU360" s="49" t="s">
        <v>150</v>
      </c>
      <c r="AV360" s="49" t="s">
        <v>150</v>
      </c>
      <c r="AX360" s="38"/>
      <c r="AZ360" s="46" t="str">
        <f t="shared" si="275"/>
        <v>70.01%-75.00%</v>
      </c>
      <c r="BA360" s="49" t="s">
        <v>150</v>
      </c>
      <c r="BB360" s="49" t="s">
        <v>150</v>
      </c>
      <c r="BC360" s="49" t="s">
        <v>150</v>
      </c>
      <c r="BD360" s="49" t="s">
        <v>150</v>
      </c>
      <c r="BE360" s="49" t="s">
        <v>150</v>
      </c>
      <c r="BF360" s="49" t="s">
        <v>150</v>
      </c>
    </row>
    <row r="361" spans="2:58" s="37" customFormat="1" ht="12.75" customHeight="1" x14ac:dyDescent="0.45">
      <c r="B361" s="52" t="s">
        <v>151</v>
      </c>
      <c r="C361" s="53">
        <f>C360+0</f>
        <v>9.1249999999999998E-2</v>
      </c>
      <c r="D361" s="53">
        <f>D360+0</f>
        <v>9.2499999999999999E-2</v>
      </c>
      <c r="E361" s="54" t="s">
        <v>150</v>
      </c>
      <c r="F361" s="54" t="s">
        <v>150</v>
      </c>
      <c r="G361" s="54" t="s">
        <v>150</v>
      </c>
      <c r="H361" s="54" t="s">
        <v>150</v>
      </c>
      <c r="J361" s="38"/>
      <c r="L361" s="52" t="s">
        <v>151</v>
      </c>
      <c r="M361" s="54" t="s">
        <v>150</v>
      </c>
      <c r="N361" s="54" t="s">
        <v>150</v>
      </c>
      <c r="O361" s="54" t="s">
        <v>150</v>
      </c>
      <c r="P361" s="54" t="s">
        <v>150</v>
      </c>
      <c r="Q361" s="54" t="s">
        <v>150</v>
      </c>
      <c r="R361" s="54" t="s">
        <v>150</v>
      </c>
      <c r="S361" s="55"/>
      <c r="T361" s="56"/>
      <c r="U361" s="41"/>
      <c r="V361" s="52" t="str">
        <f t="shared" si="272"/>
        <v>FICO 700+</v>
      </c>
      <c r="W361" s="53">
        <f>W360+0</f>
        <v>9.2499999999999999E-2</v>
      </c>
      <c r="X361" s="53">
        <f>X360+0</f>
        <v>9.375E-2</v>
      </c>
      <c r="Y361" s="54" t="s">
        <v>150</v>
      </c>
      <c r="Z361" s="54" t="s">
        <v>150</v>
      </c>
      <c r="AA361" s="54" t="s">
        <v>150</v>
      </c>
      <c r="AB361" s="54" t="s">
        <v>150</v>
      </c>
      <c r="AD361" s="38"/>
      <c r="AF361" s="52" t="str">
        <f t="shared" si="273"/>
        <v>FICO 700+</v>
      </c>
      <c r="AG361" s="54" t="s">
        <v>150</v>
      </c>
      <c r="AH361" s="54" t="s">
        <v>150</v>
      </c>
      <c r="AI361" s="54" t="s">
        <v>150</v>
      </c>
      <c r="AJ361" s="54" t="s">
        <v>150</v>
      </c>
      <c r="AK361" s="54" t="s">
        <v>150</v>
      </c>
      <c r="AL361" s="54" t="s">
        <v>150</v>
      </c>
      <c r="AM361" s="55"/>
      <c r="AN361" s="56"/>
      <c r="AO361" s="41"/>
      <c r="AP361" s="52" t="str">
        <f t="shared" si="274"/>
        <v>FICO 700+</v>
      </c>
      <c r="AQ361" s="53">
        <f>AQ360+0</f>
        <v>9.375E-2</v>
      </c>
      <c r="AR361" s="53">
        <f>AR360+0</f>
        <v>9.5000000000000001E-2</v>
      </c>
      <c r="AS361" s="54" t="s">
        <v>150</v>
      </c>
      <c r="AT361" s="54" t="s">
        <v>150</v>
      </c>
      <c r="AU361" s="54" t="s">
        <v>150</v>
      </c>
      <c r="AV361" s="54" t="s">
        <v>150</v>
      </c>
      <c r="AX361" s="38"/>
      <c r="AZ361" s="52" t="str">
        <f t="shared" si="275"/>
        <v>FICO 700+</v>
      </c>
      <c r="BA361" s="54" t="s">
        <v>150</v>
      </c>
      <c r="BB361" s="54" t="s">
        <v>150</v>
      </c>
      <c r="BC361" s="54" t="s">
        <v>150</v>
      </c>
      <c r="BD361" s="54" t="s">
        <v>150</v>
      </c>
      <c r="BE361" s="54" t="s">
        <v>150</v>
      </c>
      <c r="BF361" s="54" t="s">
        <v>150</v>
      </c>
    </row>
    <row r="362" spans="2:58" s="37" customFormat="1" ht="12.75" customHeight="1" x14ac:dyDescent="0.45">
      <c r="B362" s="52" t="s">
        <v>152</v>
      </c>
      <c r="C362" s="54" t="s">
        <v>150</v>
      </c>
      <c r="D362" s="54" t="s">
        <v>150</v>
      </c>
      <c r="E362" s="54" t="s">
        <v>150</v>
      </c>
      <c r="F362" s="54" t="s">
        <v>150</v>
      </c>
      <c r="G362" s="54" t="s">
        <v>150</v>
      </c>
      <c r="H362" s="54" t="s">
        <v>150</v>
      </c>
      <c r="J362" s="38"/>
      <c r="L362" s="52" t="s">
        <v>152</v>
      </c>
      <c r="M362" s="54" t="s">
        <v>150</v>
      </c>
      <c r="N362" s="54" t="s">
        <v>150</v>
      </c>
      <c r="O362" s="54" t="s">
        <v>150</v>
      </c>
      <c r="P362" s="54" t="s">
        <v>150</v>
      </c>
      <c r="Q362" s="54" t="s">
        <v>150</v>
      </c>
      <c r="R362" s="54" t="s">
        <v>150</v>
      </c>
      <c r="S362" s="55"/>
      <c r="T362" s="56"/>
      <c r="U362" s="41"/>
      <c r="V362" s="52" t="str">
        <f t="shared" si="272"/>
        <v>FICO 660-699</v>
      </c>
      <c r="W362" s="54" t="s">
        <v>150</v>
      </c>
      <c r="X362" s="54" t="s">
        <v>150</v>
      </c>
      <c r="Y362" s="54" t="s">
        <v>150</v>
      </c>
      <c r="Z362" s="54" t="s">
        <v>150</v>
      </c>
      <c r="AA362" s="54" t="s">
        <v>150</v>
      </c>
      <c r="AB362" s="54" t="s">
        <v>150</v>
      </c>
      <c r="AD362" s="38"/>
      <c r="AF362" s="52" t="str">
        <f t="shared" si="273"/>
        <v>FICO 660-699</v>
      </c>
      <c r="AG362" s="54" t="s">
        <v>150</v>
      </c>
      <c r="AH362" s="54" t="s">
        <v>150</v>
      </c>
      <c r="AI362" s="54" t="s">
        <v>150</v>
      </c>
      <c r="AJ362" s="54" t="s">
        <v>150</v>
      </c>
      <c r="AK362" s="54" t="s">
        <v>150</v>
      </c>
      <c r="AL362" s="54" t="s">
        <v>150</v>
      </c>
      <c r="AM362" s="55"/>
      <c r="AN362" s="56"/>
      <c r="AO362" s="41"/>
      <c r="AP362" s="52" t="str">
        <f t="shared" si="274"/>
        <v>FICO 660-699</v>
      </c>
      <c r="AQ362" s="54" t="s">
        <v>150</v>
      </c>
      <c r="AR362" s="54" t="s">
        <v>150</v>
      </c>
      <c r="AS362" s="54" t="s">
        <v>150</v>
      </c>
      <c r="AT362" s="54" t="s">
        <v>150</v>
      </c>
      <c r="AU362" s="54" t="s">
        <v>150</v>
      </c>
      <c r="AV362" s="54" t="s">
        <v>150</v>
      </c>
      <c r="AX362" s="38"/>
      <c r="AZ362" s="52" t="str">
        <f t="shared" si="275"/>
        <v>FICO 660-699</v>
      </c>
      <c r="BA362" s="54" t="s">
        <v>150</v>
      </c>
      <c r="BB362" s="54" t="s">
        <v>150</v>
      </c>
      <c r="BC362" s="54" t="s">
        <v>150</v>
      </c>
      <c r="BD362" s="54" t="s">
        <v>150</v>
      </c>
      <c r="BE362" s="54" t="s">
        <v>150</v>
      </c>
      <c r="BF362" s="54" t="s">
        <v>150</v>
      </c>
    </row>
    <row r="363" spans="2:58" s="37" customFormat="1" ht="12.75" customHeight="1" x14ac:dyDescent="0.45">
      <c r="B363" s="57" t="s">
        <v>153</v>
      </c>
      <c r="C363" s="59" t="s">
        <v>150</v>
      </c>
      <c r="D363" s="59" t="s">
        <v>150</v>
      </c>
      <c r="E363" s="59" t="s">
        <v>150</v>
      </c>
      <c r="F363" s="59" t="s">
        <v>150</v>
      </c>
      <c r="G363" s="59" t="s">
        <v>150</v>
      </c>
      <c r="H363" s="59" t="s">
        <v>150</v>
      </c>
      <c r="J363" s="38"/>
      <c r="L363" s="57" t="s">
        <v>153</v>
      </c>
      <c r="M363" s="59" t="s">
        <v>150</v>
      </c>
      <c r="N363" s="59" t="s">
        <v>150</v>
      </c>
      <c r="O363" s="59" t="s">
        <v>150</v>
      </c>
      <c r="P363" s="59" t="s">
        <v>150</v>
      </c>
      <c r="Q363" s="59" t="s">
        <v>150</v>
      </c>
      <c r="R363" s="59" t="s">
        <v>150</v>
      </c>
      <c r="S363" s="55"/>
      <c r="T363" s="56"/>
      <c r="U363" s="41"/>
      <c r="V363" s="57" t="str">
        <f t="shared" si="272"/>
        <v>FICO 640-659</v>
      </c>
      <c r="W363" s="59" t="s">
        <v>150</v>
      </c>
      <c r="X363" s="59" t="s">
        <v>150</v>
      </c>
      <c r="Y363" s="59" t="s">
        <v>150</v>
      </c>
      <c r="Z363" s="59" t="s">
        <v>150</v>
      </c>
      <c r="AA363" s="59" t="s">
        <v>150</v>
      </c>
      <c r="AB363" s="59" t="s">
        <v>150</v>
      </c>
      <c r="AD363" s="38"/>
      <c r="AF363" s="57" t="str">
        <f t="shared" si="273"/>
        <v>FICO 640-659</v>
      </c>
      <c r="AG363" s="59" t="s">
        <v>150</v>
      </c>
      <c r="AH363" s="59" t="s">
        <v>150</v>
      </c>
      <c r="AI363" s="59" t="s">
        <v>150</v>
      </c>
      <c r="AJ363" s="59" t="s">
        <v>150</v>
      </c>
      <c r="AK363" s="59" t="s">
        <v>150</v>
      </c>
      <c r="AL363" s="59" t="s">
        <v>150</v>
      </c>
      <c r="AM363" s="55"/>
      <c r="AN363" s="56"/>
      <c r="AO363" s="41"/>
      <c r="AP363" s="57" t="str">
        <f t="shared" si="274"/>
        <v>FICO 640-659</v>
      </c>
      <c r="AQ363" s="59" t="s">
        <v>150</v>
      </c>
      <c r="AR363" s="59" t="s">
        <v>150</v>
      </c>
      <c r="AS363" s="59" t="s">
        <v>150</v>
      </c>
      <c r="AT363" s="59" t="s">
        <v>150</v>
      </c>
      <c r="AU363" s="59" t="s">
        <v>150</v>
      </c>
      <c r="AV363" s="59" t="s">
        <v>150</v>
      </c>
      <c r="AX363" s="38"/>
      <c r="AZ363" s="57" t="str">
        <f t="shared" si="275"/>
        <v>FICO 640-659</v>
      </c>
      <c r="BA363" s="59" t="s">
        <v>150</v>
      </c>
      <c r="BB363" s="59" t="s">
        <v>150</v>
      </c>
      <c r="BC363" s="59" t="s">
        <v>150</v>
      </c>
      <c r="BD363" s="59" t="s">
        <v>150</v>
      </c>
      <c r="BE363" s="59" t="s">
        <v>150</v>
      </c>
      <c r="BF363" s="59" t="s">
        <v>150</v>
      </c>
    </row>
    <row r="364" spans="2:58" s="37" customFormat="1" ht="12.75" customHeight="1" x14ac:dyDescent="0.45">
      <c r="B364" s="60" t="s">
        <v>154</v>
      </c>
      <c r="C364" s="48">
        <f>C368+0.25%</f>
        <v>8.8749999999999996E-2</v>
      </c>
      <c r="D364" s="48">
        <f>C364+0.125%</f>
        <v>0.09</v>
      </c>
      <c r="E364" s="49" t="s">
        <v>150</v>
      </c>
      <c r="F364" s="49" t="s">
        <v>150</v>
      </c>
      <c r="G364" s="49" t="s">
        <v>150</v>
      </c>
      <c r="H364" s="49" t="s">
        <v>150</v>
      </c>
      <c r="J364" s="38"/>
      <c r="L364" s="60" t="s">
        <v>154</v>
      </c>
      <c r="M364" s="49" t="s">
        <v>150</v>
      </c>
      <c r="N364" s="49" t="s">
        <v>150</v>
      </c>
      <c r="O364" s="49" t="s">
        <v>150</v>
      </c>
      <c r="P364" s="49" t="s">
        <v>150</v>
      </c>
      <c r="Q364" s="49" t="s">
        <v>150</v>
      </c>
      <c r="R364" s="49" t="s">
        <v>150</v>
      </c>
      <c r="S364" s="50"/>
      <c r="T364" s="51"/>
      <c r="U364" s="41"/>
      <c r="V364" s="60" t="str">
        <f t="shared" si="272"/>
        <v>65.00%-70.00%</v>
      </c>
      <c r="W364" s="48">
        <f>W368+0.25%</f>
        <v>0.09</v>
      </c>
      <c r="X364" s="48">
        <f>W364+0.125%</f>
        <v>9.1249999999999998E-2</v>
      </c>
      <c r="Y364" s="49" t="s">
        <v>150</v>
      </c>
      <c r="Z364" s="49" t="s">
        <v>150</v>
      </c>
      <c r="AA364" s="49" t="s">
        <v>150</v>
      </c>
      <c r="AB364" s="49" t="s">
        <v>150</v>
      </c>
      <c r="AD364" s="38"/>
      <c r="AF364" s="60" t="str">
        <f t="shared" si="273"/>
        <v>65.00%-70.00%</v>
      </c>
      <c r="AG364" s="49" t="s">
        <v>150</v>
      </c>
      <c r="AH364" s="49" t="s">
        <v>150</v>
      </c>
      <c r="AI364" s="49" t="s">
        <v>150</v>
      </c>
      <c r="AJ364" s="49" t="s">
        <v>150</v>
      </c>
      <c r="AK364" s="49" t="s">
        <v>150</v>
      </c>
      <c r="AL364" s="49" t="s">
        <v>150</v>
      </c>
      <c r="AM364" s="50"/>
      <c r="AN364" s="51"/>
      <c r="AO364" s="41"/>
      <c r="AP364" s="60" t="str">
        <f t="shared" si="274"/>
        <v>65.00%-70.00%</v>
      </c>
      <c r="AQ364" s="48">
        <f>AQ368+0.25%</f>
        <v>9.1249999999999998E-2</v>
      </c>
      <c r="AR364" s="48">
        <f>AQ364+0.125%</f>
        <v>9.2499999999999999E-2</v>
      </c>
      <c r="AS364" s="49" t="s">
        <v>150</v>
      </c>
      <c r="AT364" s="49" t="s">
        <v>150</v>
      </c>
      <c r="AU364" s="49" t="s">
        <v>150</v>
      </c>
      <c r="AV364" s="49" t="s">
        <v>150</v>
      </c>
      <c r="AX364" s="38"/>
      <c r="AZ364" s="60" t="str">
        <f t="shared" si="275"/>
        <v>65.00%-70.00%</v>
      </c>
      <c r="BA364" s="49" t="s">
        <v>150</v>
      </c>
      <c r="BB364" s="49" t="s">
        <v>150</v>
      </c>
      <c r="BC364" s="49" t="s">
        <v>150</v>
      </c>
      <c r="BD364" s="49" t="s">
        <v>150</v>
      </c>
      <c r="BE364" s="49" t="s">
        <v>150</v>
      </c>
      <c r="BF364" s="49" t="s">
        <v>150</v>
      </c>
    </row>
    <row r="365" spans="2:58" s="37" customFormat="1" ht="12.75" customHeight="1" x14ac:dyDescent="0.45">
      <c r="B365" s="52" t="s">
        <v>151</v>
      </c>
      <c r="C365" s="53">
        <f>C364+0</f>
        <v>8.8749999999999996E-2</v>
      </c>
      <c r="D365" s="53">
        <f>D364+0</f>
        <v>0.09</v>
      </c>
      <c r="E365" s="54" t="s">
        <v>150</v>
      </c>
      <c r="F365" s="54" t="s">
        <v>150</v>
      </c>
      <c r="G365" s="54" t="s">
        <v>150</v>
      </c>
      <c r="H365" s="54" t="s">
        <v>150</v>
      </c>
      <c r="J365" s="38"/>
      <c r="L365" s="52" t="s">
        <v>151</v>
      </c>
      <c r="M365" s="54" t="s">
        <v>150</v>
      </c>
      <c r="N365" s="54" t="s">
        <v>150</v>
      </c>
      <c r="O365" s="54" t="s">
        <v>150</v>
      </c>
      <c r="P365" s="54" t="s">
        <v>150</v>
      </c>
      <c r="Q365" s="54" t="s">
        <v>150</v>
      </c>
      <c r="R365" s="54" t="s">
        <v>150</v>
      </c>
      <c r="S365" s="55"/>
      <c r="T365" s="56"/>
      <c r="U365" s="41"/>
      <c r="V365" s="52" t="str">
        <f t="shared" si="272"/>
        <v>FICO 700+</v>
      </c>
      <c r="W365" s="53">
        <f>W364+0</f>
        <v>0.09</v>
      </c>
      <c r="X365" s="53">
        <f>X364+0</f>
        <v>9.1249999999999998E-2</v>
      </c>
      <c r="Y365" s="54" t="s">
        <v>150</v>
      </c>
      <c r="Z365" s="54" t="s">
        <v>150</v>
      </c>
      <c r="AA365" s="54" t="s">
        <v>150</v>
      </c>
      <c r="AB365" s="54" t="s">
        <v>150</v>
      </c>
      <c r="AD365" s="38"/>
      <c r="AF365" s="52" t="str">
        <f t="shared" si="273"/>
        <v>FICO 700+</v>
      </c>
      <c r="AG365" s="54" t="s">
        <v>150</v>
      </c>
      <c r="AH365" s="54" t="s">
        <v>150</v>
      </c>
      <c r="AI365" s="54" t="s">
        <v>150</v>
      </c>
      <c r="AJ365" s="54" t="s">
        <v>150</v>
      </c>
      <c r="AK365" s="54" t="s">
        <v>150</v>
      </c>
      <c r="AL365" s="54" t="s">
        <v>150</v>
      </c>
      <c r="AM365" s="55"/>
      <c r="AN365" s="56"/>
      <c r="AO365" s="41"/>
      <c r="AP365" s="52" t="str">
        <f t="shared" si="274"/>
        <v>FICO 700+</v>
      </c>
      <c r="AQ365" s="53">
        <f>AQ364+0</f>
        <v>9.1249999999999998E-2</v>
      </c>
      <c r="AR365" s="53">
        <f>AR364+0</f>
        <v>9.2499999999999999E-2</v>
      </c>
      <c r="AS365" s="54" t="s">
        <v>150</v>
      </c>
      <c r="AT365" s="54" t="s">
        <v>150</v>
      </c>
      <c r="AU365" s="54" t="s">
        <v>150</v>
      </c>
      <c r="AV365" s="54" t="s">
        <v>150</v>
      </c>
      <c r="AX365" s="38"/>
      <c r="AZ365" s="52" t="str">
        <f t="shared" si="275"/>
        <v>FICO 700+</v>
      </c>
      <c r="BA365" s="54" t="s">
        <v>150</v>
      </c>
      <c r="BB365" s="54" t="s">
        <v>150</v>
      </c>
      <c r="BC365" s="54" t="s">
        <v>150</v>
      </c>
      <c r="BD365" s="54" t="s">
        <v>150</v>
      </c>
      <c r="BE365" s="54" t="s">
        <v>150</v>
      </c>
      <c r="BF365" s="54" t="s">
        <v>150</v>
      </c>
    </row>
    <row r="366" spans="2:58" s="37" customFormat="1" ht="12.75" customHeight="1" x14ac:dyDescent="0.45">
      <c r="B366" s="52" t="s">
        <v>152</v>
      </c>
      <c r="C366" s="54" t="s">
        <v>150</v>
      </c>
      <c r="D366" s="54" t="s">
        <v>150</v>
      </c>
      <c r="E366" s="54" t="s">
        <v>150</v>
      </c>
      <c r="F366" s="54" t="s">
        <v>150</v>
      </c>
      <c r="G366" s="54" t="s">
        <v>150</v>
      </c>
      <c r="H366" s="54" t="s">
        <v>150</v>
      </c>
      <c r="J366" s="38"/>
      <c r="L366" s="52" t="s">
        <v>152</v>
      </c>
      <c r="M366" s="54" t="s">
        <v>150</v>
      </c>
      <c r="N366" s="54" t="s">
        <v>150</v>
      </c>
      <c r="O366" s="54" t="s">
        <v>150</v>
      </c>
      <c r="P366" s="54" t="s">
        <v>150</v>
      </c>
      <c r="Q366" s="54" t="s">
        <v>150</v>
      </c>
      <c r="R366" s="54" t="s">
        <v>150</v>
      </c>
      <c r="S366" s="55"/>
      <c r="T366" s="56"/>
      <c r="U366" s="41"/>
      <c r="V366" s="52" t="str">
        <f t="shared" si="272"/>
        <v>FICO 660-699</v>
      </c>
      <c r="W366" s="54" t="s">
        <v>150</v>
      </c>
      <c r="X366" s="54" t="s">
        <v>150</v>
      </c>
      <c r="Y366" s="54" t="s">
        <v>150</v>
      </c>
      <c r="Z366" s="54" t="s">
        <v>150</v>
      </c>
      <c r="AA366" s="54" t="s">
        <v>150</v>
      </c>
      <c r="AB366" s="54" t="s">
        <v>150</v>
      </c>
      <c r="AD366" s="38"/>
      <c r="AF366" s="52" t="str">
        <f t="shared" si="273"/>
        <v>FICO 660-699</v>
      </c>
      <c r="AG366" s="54" t="s">
        <v>150</v>
      </c>
      <c r="AH366" s="54" t="s">
        <v>150</v>
      </c>
      <c r="AI366" s="54" t="s">
        <v>150</v>
      </c>
      <c r="AJ366" s="54" t="s">
        <v>150</v>
      </c>
      <c r="AK366" s="54" t="s">
        <v>150</v>
      </c>
      <c r="AL366" s="54" t="s">
        <v>150</v>
      </c>
      <c r="AM366" s="55"/>
      <c r="AN366" s="56"/>
      <c r="AO366" s="41"/>
      <c r="AP366" s="52" t="str">
        <f t="shared" si="274"/>
        <v>FICO 660-699</v>
      </c>
      <c r="AQ366" s="54" t="s">
        <v>150</v>
      </c>
      <c r="AR366" s="54" t="s">
        <v>150</v>
      </c>
      <c r="AS366" s="54" t="s">
        <v>150</v>
      </c>
      <c r="AT366" s="54" t="s">
        <v>150</v>
      </c>
      <c r="AU366" s="54" t="s">
        <v>150</v>
      </c>
      <c r="AV366" s="54" t="s">
        <v>150</v>
      </c>
      <c r="AX366" s="38"/>
      <c r="AZ366" s="52" t="str">
        <f t="shared" si="275"/>
        <v>FICO 660-699</v>
      </c>
      <c r="BA366" s="54" t="s">
        <v>150</v>
      </c>
      <c r="BB366" s="54" t="s">
        <v>150</v>
      </c>
      <c r="BC366" s="54" t="s">
        <v>150</v>
      </c>
      <c r="BD366" s="54" t="s">
        <v>150</v>
      </c>
      <c r="BE366" s="54" t="s">
        <v>150</v>
      </c>
      <c r="BF366" s="54" t="s">
        <v>150</v>
      </c>
    </row>
    <row r="367" spans="2:58" s="37" customFormat="1" ht="12.75" customHeight="1" x14ac:dyDescent="0.45">
      <c r="B367" s="57" t="s">
        <v>153</v>
      </c>
      <c r="C367" s="59" t="s">
        <v>150</v>
      </c>
      <c r="D367" s="59" t="s">
        <v>150</v>
      </c>
      <c r="E367" s="59" t="s">
        <v>150</v>
      </c>
      <c r="F367" s="59" t="s">
        <v>150</v>
      </c>
      <c r="G367" s="59" t="s">
        <v>150</v>
      </c>
      <c r="H367" s="59" t="s">
        <v>150</v>
      </c>
      <c r="J367" s="38"/>
      <c r="L367" s="57" t="s">
        <v>153</v>
      </c>
      <c r="M367" s="59" t="s">
        <v>150</v>
      </c>
      <c r="N367" s="59" t="s">
        <v>150</v>
      </c>
      <c r="O367" s="59" t="s">
        <v>150</v>
      </c>
      <c r="P367" s="59" t="s">
        <v>150</v>
      </c>
      <c r="Q367" s="59" t="s">
        <v>150</v>
      </c>
      <c r="R367" s="59" t="s">
        <v>150</v>
      </c>
      <c r="S367" s="55"/>
      <c r="T367" s="56"/>
      <c r="U367" s="41"/>
      <c r="V367" s="57" t="str">
        <f t="shared" si="272"/>
        <v>FICO 640-659</v>
      </c>
      <c r="W367" s="59" t="s">
        <v>150</v>
      </c>
      <c r="X367" s="59" t="s">
        <v>150</v>
      </c>
      <c r="Y367" s="59" t="s">
        <v>150</v>
      </c>
      <c r="Z367" s="59" t="s">
        <v>150</v>
      </c>
      <c r="AA367" s="59" t="s">
        <v>150</v>
      </c>
      <c r="AB367" s="59" t="s">
        <v>150</v>
      </c>
      <c r="AD367" s="38"/>
      <c r="AF367" s="57" t="str">
        <f t="shared" si="273"/>
        <v>FICO 640-659</v>
      </c>
      <c r="AG367" s="59" t="s">
        <v>150</v>
      </c>
      <c r="AH367" s="59" t="s">
        <v>150</v>
      </c>
      <c r="AI367" s="59" t="s">
        <v>150</v>
      </c>
      <c r="AJ367" s="59" t="s">
        <v>150</v>
      </c>
      <c r="AK367" s="59" t="s">
        <v>150</v>
      </c>
      <c r="AL367" s="59" t="s">
        <v>150</v>
      </c>
      <c r="AM367" s="55"/>
      <c r="AN367" s="56"/>
      <c r="AO367" s="41"/>
      <c r="AP367" s="57" t="str">
        <f t="shared" si="274"/>
        <v>FICO 640-659</v>
      </c>
      <c r="AQ367" s="59" t="s">
        <v>150</v>
      </c>
      <c r="AR367" s="59" t="s">
        <v>150</v>
      </c>
      <c r="AS367" s="59" t="s">
        <v>150</v>
      </c>
      <c r="AT367" s="59" t="s">
        <v>150</v>
      </c>
      <c r="AU367" s="59" t="s">
        <v>150</v>
      </c>
      <c r="AV367" s="59" t="s">
        <v>150</v>
      </c>
      <c r="AX367" s="38"/>
      <c r="AZ367" s="57" t="str">
        <f t="shared" si="275"/>
        <v>FICO 640-659</v>
      </c>
      <c r="BA367" s="59" t="s">
        <v>150</v>
      </c>
      <c r="BB367" s="59" t="s">
        <v>150</v>
      </c>
      <c r="BC367" s="59" t="s">
        <v>150</v>
      </c>
      <c r="BD367" s="59" t="s">
        <v>150</v>
      </c>
      <c r="BE367" s="59" t="s">
        <v>150</v>
      </c>
      <c r="BF367" s="59" t="s">
        <v>150</v>
      </c>
    </row>
    <row r="368" spans="2:58" s="37" customFormat="1" ht="12.75" customHeight="1" x14ac:dyDescent="0.45">
      <c r="B368" s="60" t="s">
        <v>155</v>
      </c>
      <c r="C368" s="61">
        <v>8.6249999999999993E-2</v>
      </c>
      <c r="D368" s="48">
        <f>C368+0.125%</f>
        <v>8.7499999999999994E-2</v>
      </c>
      <c r="E368" s="49" t="s">
        <v>150</v>
      </c>
      <c r="F368" s="49" t="s">
        <v>150</v>
      </c>
      <c r="G368" s="49" t="s">
        <v>150</v>
      </c>
      <c r="H368" s="49" t="s">
        <v>150</v>
      </c>
      <c r="J368" s="38"/>
      <c r="L368" s="60" t="s">
        <v>155</v>
      </c>
      <c r="M368" s="49" t="s">
        <v>150</v>
      </c>
      <c r="N368" s="49" t="s">
        <v>150</v>
      </c>
      <c r="O368" s="49" t="s">
        <v>150</v>
      </c>
      <c r="P368" s="49" t="s">
        <v>150</v>
      </c>
      <c r="Q368" s="49" t="s">
        <v>150</v>
      </c>
      <c r="R368" s="49" t="s">
        <v>150</v>
      </c>
      <c r="S368" s="50"/>
      <c r="T368" s="51"/>
      <c r="U368" s="41"/>
      <c r="V368" s="60" t="str">
        <f t="shared" si="272"/>
        <v>&lt;64.99%</v>
      </c>
      <c r="W368" s="62">
        <f>C368+0.125%</f>
        <v>8.7499999999999994E-2</v>
      </c>
      <c r="X368" s="48">
        <f>W368+0.125%</f>
        <v>8.8749999999999996E-2</v>
      </c>
      <c r="Y368" s="49" t="s">
        <v>150</v>
      </c>
      <c r="Z368" s="49" t="s">
        <v>150</v>
      </c>
      <c r="AA368" s="49" t="s">
        <v>150</v>
      </c>
      <c r="AB368" s="49" t="s">
        <v>150</v>
      </c>
      <c r="AD368" s="38"/>
      <c r="AF368" s="60" t="str">
        <f t="shared" si="273"/>
        <v>&lt;64.99%</v>
      </c>
      <c r="AG368" s="49" t="s">
        <v>150</v>
      </c>
      <c r="AH368" s="49" t="s">
        <v>150</v>
      </c>
      <c r="AI368" s="49" t="s">
        <v>150</v>
      </c>
      <c r="AJ368" s="49" t="s">
        <v>150</v>
      </c>
      <c r="AK368" s="49" t="s">
        <v>150</v>
      </c>
      <c r="AL368" s="49" t="s">
        <v>150</v>
      </c>
      <c r="AM368" s="50"/>
      <c r="AN368" s="51"/>
      <c r="AO368" s="41"/>
      <c r="AP368" s="60" t="str">
        <f t="shared" si="274"/>
        <v>&lt;64.99%</v>
      </c>
      <c r="AQ368" s="62">
        <f>W368+0.125%</f>
        <v>8.8749999999999996E-2</v>
      </c>
      <c r="AR368" s="48">
        <f>AQ368+0.125%</f>
        <v>0.09</v>
      </c>
      <c r="AS368" s="49" t="s">
        <v>150</v>
      </c>
      <c r="AT368" s="49" t="s">
        <v>150</v>
      </c>
      <c r="AU368" s="49" t="s">
        <v>150</v>
      </c>
      <c r="AV368" s="49" t="s">
        <v>150</v>
      </c>
      <c r="AX368" s="38"/>
      <c r="AZ368" s="60" t="str">
        <f t="shared" si="275"/>
        <v>&lt;64.99%</v>
      </c>
      <c r="BA368" s="49" t="s">
        <v>150</v>
      </c>
      <c r="BB368" s="49" t="s">
        <v>150</v>
      </c>
      <c r="BC368" s="49" t="s">
        <v>150</v>
      </c>
      <c r="BD368" s="49" t="s">
        <v>150</v>
      </c>
      <c r="BE368" s="49" t="s">
        <v>150</v>
      </c>
      <c r="BF368" s="49" t="s">
        <v>150</v>
      </c>
    </row>
    <row r="369" spans="2:58" s="37" customFormat="1" ht="12.75" customHeight="1" x14ac:dyDescent="0.45">
      <c r="B369" s="52" t="s">
        <v>151</v>
      </c>
      <c r="C369" s="53">
        <f>C368+0</f>
        <v>8.6249999999999993E-2</v>
      </c>
      <c r="D369" s="53">
        <f>D368+0</f>
        <v>8.7499999999999994E-2</v>
      </c>
      <c r="E369" s="54" t="s">
        <v>150</v>
      </c>
      <c r="F369" s="54" t="s">
        <v>150</v>
      </c>
      <c r="G369" s="54" t="s">
        <v>150</v>
      </c>
      <c r="H369" s="54" t="s">
        <v>150</v>
      </c>
      <c r="J369" s="38"/>
      <c r="L369" s="52" t="s">
        <v>151</v>
      </c>
      <c r="M369" s="54" t="s">
        <v>150</v>
      </c>
      <c r="N369" s="54" t="s">
        <v>150</v>
      </c>
      <c r="O369" s="54" t="s">
        <v>150</v>
      </c>
      <c r="P369" s="54" t="s">
        <v>150</v>
      </c>
      <c r="Q369" s="54" t="s">
        <v>150</v>
      </c>
      <c r="R369" s="54" t="s">
        <v>150</v>
      </c>
      <c r="S369" s="55"/>
      <c r="T369" s="56"/>
      <c r="U369" s="41"/>
      <c r="V369" s="52" t="str">
        <f t="shared" si="272"/>
        <v>FICO 700+</v>
      </c>
      <c r="W369" s="53">
        <f>W368+0</f>
        <v>8.7499999999999994E-2</v>
      </c>
      <c r="X369" s="53">
        <f>X368+0</f>
        <v>8.8749999999999996E-2</v>
      </c>
      <c r="Y369" s="54" t="s">
        <v>150</v>
      </c>
      <c r="Z369" s="54" t="s">
        <v>150</v>
      </c>
      <c r="AA369" s="54" t="s">
        <v>150</v>
      </c>
      <c r="AB369" s="54" t="s">
        <v>150</v>
      </c>
      <c r="AD369" s="38"/>
      <c r="AF369" s="52" t="str">
        <f t="shared" si="273"/>
        <v>FICO 700+</v>
      </c>
      <c r="AG369" s="54" t="s">
        <v>150</v>
      </c>
      <c r="AH369" s="54" t="s">
        <v>150</v>
      </c>
      <c r="AI369" s="54" t="s">
        <v>150</v>
      </c>
      <c r="AJ369" s="54" t="s">
        <v>150</v>
      </c>
      <c r="AK369" s="54" t="s">
        <v>150</v>
      </c>
      <c r="AL369" s="54" t="s">
        <v>150</v>
      </c>
      <c r="AM369" s="55"/>
      <c r="AN369" s="56"/>
      <c r="AO369" s="41"/>
      <c r="AP369" s="52" t="str">
        <f t="shared" si="274"/>
        <v>FICO 700+</v>
      </c>
      <c r="AQ369" s="53">
        <f>AQ368+0</f>
        <v>8.8749999999999996E-2</v>
      </c>
      <c r="AR369" s="53">
        <f>AR368+0</f>
        <v>0.09</v>
      </c>
      <c r="AS369" s="54" t="s">
        <v>150</v>
      </c>
      <c r="AT369" s="54" t="s">
        <v>150</v>
      </c>
      <c r="AU369" s="54" t="s">
        <v>150</v>
      </c>
      <c r="AV369" s="54" t="s">
        <v>150</v>
      </c>
      <c r="AX369" s="38"/>
      <c r="AZ369" s="52" t="str">
        <f t="shared" si="275"/>
        <v>FICO 700+</v>
      </c>
      <c r="BA369" s="54" t="s">
        <v>150</v>
      </c>
      <c r="BB369" s="54" t="s">
        <v>150</v>
      </c>
      <c r="BC369" s="54" t="s">
        <v>150</v>
      </c>
      <c r="BD369" s="54" t="s">
        <v>150</v>
      </c>
      <c r="BE369" s="54" t="s">
        <v>150</v>
      </c>
      <c r="BF369" s="54" t="s">
        <v>150</v>
      </c>
    </row>
    <row r="370" spans="2:58" s="37" customFormat="1" ht="12.75" customHeight="1" x14ac:dyDescent="0.45">
      <c r="B370" s="52" t="s">
        <v>152</v>
      </c>
      <c r="C370" s="54" t="s">
        <v>150</v>
      </c>
      <c r="D370" s="54" t="s">
        <v>150</v>
      </c>
      <c r="E370" s="54" t="s">
        <v>150</v>
      </c>
      <c r="F370" s="54" t="s">
        <v>150</v>
      </c>
      <c r="G370" s="54" t="s">
        <v>150</v>
      </c>
      <c r="H370" s="54" t="s">
        <v>150</v>
      </c>
      <c r="J370" s="38"/>
      <c r="L370" s="52" t="s">
        <v>152</v>
      </c>
      <c r="M370" s="54" t="s">
        <v>150</v>
      </c>
      <c r="N370" s="54" t="s">
        <v>150</v>
      </c>
      <c r="O370" s="54" t="s">
        <v>150</v>
      </c>
      <c r="P370" s="54" t="s">
        <v>150</v>
      </c>
      <c r="Q370" s="54" t="s">
        <v>150</v>
      </c>
      <c r="R370" s="54" t="s">
        <v>150</v>
      </c>
      <c r="S370" s="55"/>
      <c r="T370" s="56"/>
      <c r="U370" s="41"/>
      <c r="V370" s="52" t="str">
        <f t="shared" si="272"/>
        <v>FICO 660-699</v>
      </c>
      <c r="W370" s="54" t="s">
        <v>150</v>
      </c>
      <c r="X370" s="54" t="s">
        <v>150</v>
      </c>
      <c r="Y370" s="54" t="s">
        <v>150</v>
      </c>
      <c r="Z370" s="54" t="s">
        <v>150</v>
      </c>
      <c r="AA370" s="54" t="s">
        <v>150</v>
      </c>
      <c r="AB370" s="54" t="s">
        <v>150</v>
      </c>
      <c r="AD370" s="38"/>
      <c r="AF370" s="52" t="str">
        <f t="shared" si="273"/>
        <v>FICO 660-699</v>
      </c>
      <c r="AG370" s="54" t="s">
        <v>150</v>
      </c>
      <c r="AH370" s="54" t="s">
        <v>150</v>
      </c>
      <c r="AI370" s="54" t="s">
        <v>150</v>
      </c>
      <c r="AJ370" s="54" t="s">
        <v>150</v>
      </c>
      <c r="AK370" s="54" t="s">
        <v>150</v>
      </c>
      <c r="AL370" s="54" t="s">
        <v>150</v>
      </c>
      <c r="AM370" s="55"/>
      <c r="AN370" s="56"/>
      <c r="AO370" s="41"/>
      <c r="AP370" s="52" t="str">
        <f t="shared" si="274"/>
        <v>FICO 660-699</v>
      </c>
      <c r="AQ370" s="54" t="s">
        <v>150</v>
      </c>
      <c r="AR370" s="54" t="s">
        <v>150</v>
      </c>
      <c r="AS370" s="54" t="s">
        <v>150</v>
      </c>
      <c r="AT370" s="54" t="s">
        <v>150</v>
      </c>
      <c r="AU370" s="54" t="s">
        <v>150</v>
      </c>
      <c r="AV370" s="54" t="s">
        <v>150</v>
      </c>
      <c r="AX370" s="38"/>
      <c r="AZ370" s="52" t="str">
        <f t="shared" si="275"/>
        <v>FICO 660-699</v>
      </c>
      <c r="BA370" s="54" t="s">
        <v>150</v>
      </c>
      <c r="BB370" s="54" t="s">
        <v>150</v>
      </c>
      <c r="BC370" s="54" t="s">
        <v>150</v>
      </c>
      <c r="BD370" s="54" t="s">
        <v>150</v>
      </c>
      <c r="BE370" s="54" t="s">
        <v>150</v>
      </c>
      <c r="BF370" s="54" t="s">
        <v>150</v>
      </c>
    </row>
    <row r="371" spans="2:58" s="37" customFormat="1" ht="12.75" customHeight="1" x14ac:dyDescent="0.45">
      <c r="B371" s="52" t="s">
        <v>153</v>
      </c>
      <c r="C371" s="54" t="s">
        <v>150</v>
      </c>
      <c r="D371" s="54" t="s">
        <v>150</v>
      </c>
      <c r="E371" s="54" t="s">
        <v>150</v>
      </c>
      <c r="F371" s="54" t="s">
        <v>150</v>
      </c>
      <c r="G371" s="54" t="s">
        <v>150</v>
      </c>
      <c r="H371" s="54" t="s">
        <v>150</v>
      </c>
      <c r="J371" s="38"/>
      <c r="L371" s="52" t="s">
        <v>153</v>
      </c>
      <c r="M371" s="54" t="s">
        <v>150</v>
      </c>
      <c r="N371" s="54" t="s">
        <v>150</v>
      </c>
      <c r="O371" s="54" t="s">
        <v>150</v>
      </c>
      <c r="P371" s="54" t="s">
        <v>150</v>
      </c>
      <c r="Q371" s="54" t="s">
        <v>150</v>
      </c>
      <c r="R371" s="54" t="s">
        <v>150</v>
      </c>
      <c r="S371" s="55"/>
      <c r="T371" s="56"/>
      <c r="U371" s="41"/>
      <c r="V371" s="52" t="str">
        <f t="shared" si="272"/>
        <v>FICO 640-659</v>
      </c>
      <c r="W371" s="54" t="s">
        <v>150</v>
      </c>
      <c r="X371" s="54" t="s">
        <v>150</v>
      </c>
      <c r="Y371" s="54" t="s">
        <v>150</v>
      </c>
      <c r="Z371" s="54" t="s">
        <v>150</v>
      </c>
      <c r="AA371" s="54" t="s">
        <v>150</v>
      </c>
      <c r="AB371" s="54" t="s">
        <v>150</v>
      </c>
      <c r="AD371" s="38"/>
      <c r="AF371" s="52" t="str">
        <f t="shared" si="273"/>
        <v>FICO 640-659</v>
      </c>
      <c r="AG371" s="54" t="s">
        <v>150</v>
      </c>
      <c r="AH371" s="54" t="s">
        <v>150</v>
      </c>
      <c r="AI371" s="54" t="s">
        <v>150</v>
      </c>
      <c r="AJ371" s="54" t="s">
        <v>150</v>
      </c>
      <c r="AK371" s="54" t="s">
        <v>150</v>
      </c>
      <c r="AL371" s="54" t="s">
        <v>150</v>
      </c>
      <c r="AM371" s="55"/>
      <c r="AN371" s="56"/>
      <c r="AO371" s="41"/>
      <c r="AP371" s="52" t="str">
        <f t="shared" si="274"/>
        <v>FICO 640-659</v>
      </c>
      <c r="AQ371" s="54" t="s">
        <v>150</v>
      </c>
      <c r="AR371" s="54" t="s">
        <v>150</v>
      </c>
      <c r="AS371" s="54" t="s">
        <v>150</v>
      </c>
      <c r="AT371" s="54" t="s">
        <v>150</v>
      </c>
      <c r="AU371" s="54" t="s">
        <v>150</v>
      </c>
      <c r="AV371" s="54" t="s">
        <v>150</v>
      </c>
      <c r="AX371" s="38"/>
      <c r="AZ371" s="52" t="str">
        <f t="shared" si="275"/>
        <v>FICO 640-659</v>
      </c>
      <c r="BA371" s="54" t="s">
        <v>150</v>
      </c>
      <c r="BB371" s="54" t="s">
        <v>150</v>
      </c>
      <c r="BC371" s="54" t="s">
        <v>150</v>
      </c>
      <c r="BD371" s="54" t="s">
        <v>150</v>
      </c>
      <c r="BE371" s="54" t="s">
        <v>150</v>
      </c>
      <c r="BF371" s="54" t="s">
        <v>150</v>
      </c>
    </row>
    <row r="372" spans="2:58" s="37" customFormat="1" ht="12.75" customHeight="1" x14ac:dyDescent="0.45">
      <c r="C372" s="63"/>
      <c r="D372" s="63"/>
      <c r="E372" s="63"/>
      <c r="F372" s="63"/>
      <c r="G372" s="63"/>
      <c r="H372" s="63"/>
      <c r="J372" s="38"/>
      <c r="M372" s="63"/>
      <c r="N372" s="63"/>
      <c r="O372" s="63"/>
      <c r="P372" s="63"/>
      <c r="Q372" s="63"/>
      <c r="R372" s="63"/>
      <c r="S372" s="55"/>
      <c r="T372" s="56"/>
      <c r="U372" s="41"/>
      <c r="W372" s="63"/>
      <c r="X372" s="63"/>
      <c r="Y372" s="63"/>
      <c r="Z372" s="63"/>
      <c r="AA372" s="63"/>
      <c r="AB372" s="63"/>
      <c r="AD372" s="38"/>
      <c r="AG372" s="63"/>
      <c r="AH372" s="63"/>
      <c r="AI372" s="63"/>
      <c r="AJ372" s="63"/>
      <c r="AK372" s="63"/>
      <c r="AL372" s="63"/>
      <c r="AM372" s="55"/>
      <c r="AN372" s="56"/>
      <c r="AO372" s="41"/>
      <c r="AQ372" s="63"/>
      <c r="AR372" s="63"/>
      <c r="AS372" s="63"/>
      <c r="AT372" s="63"/>
      <c r="AU372" s="63"/>
      <c r="AV372" s="63"/>
      <c r="AX372" s="38"/>
      <c r="BA372" s="63"/>
      <c r="BB372" s="63"/>
      <c r="BC372" s="63"/>
      <c r="BD372" s="63"/>
      <c r="BE372" s="63"/>
      <c r="BF372" s="63"/>
    </row>
    <row r="373" spans="2:58" s="37" customFormat="1" ht="15.75" customHeight="1" x14ac:dyDescent="0.45">
      <c r="B373" s="94" t="s">
        <v>157</v>
      </c>
      <c r="C373" s="94"/>
      <c r="D373" s="94"/>
      <c r="E373" s="94"/>
      <c r="F373" s="94"/>
      <c r="G373" s="94"/>
      <c r="H373" s="94"/>
      <c r="J373" s="38"/>
      <c r="L373" s="94" t="s">
        <v>157</v>
      </c>
      <c r="M373" s="94"/>
      <c r="N373" s="94"/>
      <c r="O373" s="94"/>
      <c r="P373" s="94"/>
      <c r="Q373" s="94"/>
      <c r="R373" s="94"/>
      <c r="S373" s="39"/>
      <c r="T373" s="40"/>
      <c r="U373" s="41"/>
      <c r="V373" s="94" t="s">
        <v>157</v>
      </c>
      <c r="W373" s="94"/>
      <c r="X373" s="94"/>
      <c r="Y373" s="94"/>
      <c r="Z373" s="94"/>
      <c r="AA373" s="94"/>
      <c r="AB373" s="94"/>
      <c r="AD373" s="38"/>
      <c r="AF373" s="94" t="s">
        <v>157</v>
      </c>
      <c r="AG373" s="94"/>
      <c r="AH373" s="94"/>
      <c r="AI373" s="94"/>
      <c r="AJ373" s="94"/>
      <c r="AK373" s="94"/>
      <c r="AL373" s="94"/>
      <c r="AM373" s="39"/>
      <c r="AN373" s="40"/>
      <c r="AO373" s="41"/>
      <c r="AP373" s="94" t="s">
        <v>157</v>
      </c>
      <c r="AQ373" s="94"/>
      <c r="AR373" s="94"/>
      <c r="AS373" s="94"/>
      <c r="AT373" s="94"/>
      <c r="AU373" s="94"/>
      <c r="AV373" s="94"/>
      <c r="AX373" s="38"/>
      <c r="AZ373" s="94" t="s">
        <v>157</v>
      </c>
      <c r="BA373" s="94"/>
      <c r="BB373" s="94"/>
      <c r="BC373" s="94"/>
      <c r="BD373" s="94"/>
      <c r="BE373" s="94"/>
      <c r="BF373" s="94"/>
    </row>
    <row r="374" spans="2:58" s="37" customFormat="1" ht="12.75" customHeight="1" x14ac:dyDescent="0.45">
      <c r="B374" s="42"/>
      <c r="C374" s="95" t="s">
        <v>50</v>
      </c>
      <c r="D374" s="95"/>
      <c r="E374" s="95"/>
      <c r="F374" s="95"/>
      <c r="G374" s="95"/>
      <c r="H374" s="95"/>
      <c r="J374" s="38"/>
      <c r="L374" s="42"/>
      <c r="M374" s="95" t="s">
        <v>50</v>
      </c>
      <c r="N374" s="95"/>
      <c r="O374" s="95"/>
      <c r="P374" s="95"/>
      <c r="Q374" s="95"/>
      <c r="R374" s="95"/>
      <c r="S374" s="41"/>
      <c r="T374" s="43"/>
      <c r="U374" s="41"/>
      <c r="V374" s="42"/>
      <c r="W374" s="95" t="str">
        <f>C374</f>
        <v>LTC</v>
      </c>
      <c r="X374" s="95"/>
      <c r="Y374" s="95"/>
      <c r="Z374" s="95"/>
      <c r="AA374" s="95"/>
      <c r="AB374" s="95"/>
      <c r="AD374" s="38"/>
      <c r="AF374" s="42"/>
      <c r="AG374" s="95" t="str">
        <f>W374</f>
        <v>LTC</v>
      </c>
      <c r="AH374" s="95"/>
      <c r="AI374" s="95"/>
      <c r="AJ374" s="95"/>
      <c r="AK374" s="95"/>
      <c r="AL374" s="95"/>
      <c r="AM374" s="41"/>
      <c r="AN374" s="43"/>
      <c r="AO374" s="41"/>
      <c r="AP374" s="42"/>
      <c r="AQ374" s="95" t="str">
        <f>C374</f>
        <v>LTC</v>
      </c>
      <c r="AR374" s="95"/>
      <c r="AS374" s="95"/>
      <c r="AT374" s="95"/>
      <c r="AU374" s="95"/>
      <c r="AV374" s="95"/>
      <c r="AX374" s="38"/>
      <c r="AZ374" s="42"/>
      <c r="BA374" s="95" t="str">
        <f>C374</f>
        <v>LTC</v>
      </c>
      <c r="BB374" s="95"/>
      <c r="BC374" s="95"/>
      <c r="BD374" s="95"/>
      <c r="BE374" s="95"/>
      <c r="BF374" s="95"/>
    </row>
    <row r="375" spans="2:58" s="37" customFormat="1" ht="12.75" customHeight="1" x14ac:dyDescent="0.45">
      <c r="B375" s="44" t="s">
        <v>52</v>
      </c>
      <c r="C375" s="45" t="s">
        <v>143</v>
      </c>
      <c r="D375" s="45" t="s">
        <v>144</v>
      </c>
      <c r="E375" s="45" t="s">
        <v>145</v>
      </c>
      <c r="F375" s="45" t="s">
        <v>146</v>
      </c>
      <c r="G375" s="45" t="s">
        <v>147</v>
      </c>
      <c r="H375" s="45" t="s">
        <v>148</v>
      </c>
      <c r="J375" s="38"/>
      <c r="L375" s="44" t="s">
        <v>52</v>
      </c>
      <c r="M375" s="45" t="s">
        <v>143</v>
      </c>
      <c r="N375" s="45" t="s">
        <v>144</v>
      </c>
      <c r="O375" s="45" t="s">
        <v>145</v>
      </c>
      <c r="P375" s="45" t="s">
        <v>146</v>
      </c>
      <c r="Q375" s="45" t="s">
        <v>147</v>
      </c>
      <c r="R375" s="45" t="s">
        <v>148</v>
      </c>
      <c r="S375" s="41"/>
      <c r="T375" s="43"/>
      <c r="U375" s="41"/>
      <c r="V375" s="44" t="str">
        <f t="shared" ref="V375:V387" si="276">B375</f>
        <v>AR-LTV</v>
      </c>
      <c r="W375" s="45" t="str">
        <f>C375</f>
        <v>&lt;74.99%</v>
      </c>
      <c r="X375" s="45" t="str">
        <f>D375</f>
        <v>75.00%-80.00%</v>
      </c>
      <c r="Y375" s="45" t="str">
        <f>E375</f>
        <v>80.01%-85.00%</v>
      </c>
      <c r="Z375" s="45" t="str">
        <f>F375</f>
        <v>85.01%-87.50%</v>
      </c>
      <c r="AA375" s="45" t="str">
        <f>G375</f>
        <v>87.51%-89.99%</v>
      </c>
      <c r="AB375" s="45" t="str">
        <f>H375</f>
        <v>90.00%-92.50%</v>
      </c>
      <c r="AD375" s="38"/>
      <c r="AF375" s="44" t="str">
        <f t="shared" ref="AF375:AF387" si="277">V375</f>
        <v>AR-LTV</v>
      </c>
      <c r="AG375" s="45" t="str">
        <f>W375</f>
        <v>&lt;74.99%</v>
      </c>
      <c r="AH375" s="45" t="str">
        <f>X375</f>
        <v>75.00%-80.00%</v>
      </c>
      <c r="AI375" s="45" t="str">
        <f>Y375</f>
        <v>80.01%-85.00%</v>
      </c>
      <c r="AJ375" s="45" t="str">
        <f>Z375</f>
        <v>85.01%-87.50%</v>
      </c>
      <c r="AK375" s="45" t="str">
        <f>AA375</f>
        <v>87.51%-89.99%</v>
      </c>
      <c r="AL375" s="45" t="str">
        <f>AB375</f>
        <v>90.00%-92.50%</v>
      </c>
      <c r="AM375" s="41"/>
      <c r="AN375" s="43"/>
      <c r="AO375" s="41"/>
      <c r="AP375" s="44" t="str">
        <f t="shared" ref="AP375:AP387" si="278">B375</f>
        <v>AR-LTV</v>
      </c>
      <c r="AQ375" s="45" t="str">
        <f>C375</f>
        <v>&lt;74.99%</v>
      </c>
      <c r="AR375" s="45" t="str">
        <f>D375</f>
        <v>75.00%-80.00%</v>
      </c>
      <c r="AS375" s="45" t="str">
        <f>E375</f>
        <v>80.01%-85.00%</v>
      </c>
      <c r="AT375" s="45" t="str">
        <f>F375</f>
        <v>85.01%-87.50%</v>
      </c>
      <c r="AU375" s="45" t="str">
        <f>G375</f>
        <v>87.51%-89.99%</v>
      </c>
      <c r="AV375" s="45" t="str">
        <f>H375</f>
        <v>90.00%-92.50%</v>
      </c>
      <c r="AX375" s="38"/>
      <c r="AZ375" s="44" t="str">
        <f t="shared" ref="AZ375:AZ387" si="279">B375</f>
        <v>AR-LTV</v>
      </c>
      <c r="BA375" s="45" t="str">
        <f>C375</f>
        <v>&lt;74.99%</v>
      </c>
      <c r="BB375" s="45" t="str">
        <f>D375</f>
        <v>75.00%-80.00%</v>
      </c>
      <c r="BC375" s="45" t="str">
        <f>E375</f>
        <v>80.01%-85.00%</v>
      </c>
      <c r="BD375" s="45" t="str">
        <f>F375</f>
        <v>85.01%-87.50%</v>
      </c>
      <c r="BE375" s="45" t="str">
        <f>G375</f>
        <v>87.51%-89.99%</v>
      </c>
      <c r="BF375" s="45" t="str">
        <f>H375</f>
        <v>90.00%-92.50%</v>
      </c>
    </row>
    <row r="376" spans="2:58" s="37" customFormat="1" ht="12.75" customHeight="1" x14ac:dyDescent="0.45">
      <c r="B376" s="46" t="s">
        <v>149</v>
      </c>
      <c r="C376" s="49" t="s">
        <v>150</v>
      </c>
      <c r="D376" s="49" t="s">
        <v>150</v>
      </c>
      <c r="E376" s="49" t="s">
        <v>150</v>
      </c>
      <c r="F376" s="49" t="s">
        <v>150</v>
      </c>
      <c r="G376" s="49" t="s">
        <v>150</v>
      </c>
      <c r="H376" s="49" t="s">
        <v>150</v>
      </c>
      <c r="J376" s="38"/>
      <c r="L376" s="46" t="s">
        <v>149</v>
      </c>
      <c r="M376" s="49" t="s">
        <v>150</v>
      </c>
      <c r="N376" s="49" t="s">
        <v>150</v>
      </c>
      <c r="O376" s="49" t="s">
        <v>150</v>
      </c>
      <c r="P376" s="49" t="s">
        <v>150</v>
      </c>
      <c r="Q376" s="49" t="s">
        <v>150</v>
      </c>
      <c r="R376" s="49" t="s">
        <v>150</v>
      </c>
      <c r="S376" s="50"/>
      <c r="T376" s="51"/>
      <c r="U376" s="41"/>
      <c r="V376" s="46" t="str">
        <f t="shared" si="276"/>
        <v>70.01%-75.00%</v>
      </c>
      <c r="W376" s="49" t="s">
        <v>150</v>
      </c>
      <c r="X376" s="49" t="s">
        <v>150</v>
      </c>
      <c r="Y376" s="49" t="s">
        <v>150</v>
      </c>
      <c r="Z376" s="49" t="s">
        <v>150</v>
      </c>
      <c r="AA376" s="49" t="s">
        <v>150</v>
      </c>
      <c r="AB376" s="49" t="s">
        <v>150</v>
      </c>
      <c r="AD376" s="38"/>
      <c r="AF376" s="46" t="str">
        <f t="shared" si="277"/>
        <v>70.01%-75.00%</v>
      </c>
      <c r="AG376" s="49" t="s">
        <v>150</v>
      </c>
      <c r="AH376" s="49" t="s">
        <v>150</v>
      </c>
      <c r="AI376" s="49" t="s">
        <v>150</v>
      </c>
      <c r="AJ376" s="49" t="s">
        <v>150</v>
      </c>
      <c r="AK376" s="49" t="s">
        <v>150</v>
      </c>
      <c r="AL376" s="49" t="s">
        <v>150</v>
      </c>
      <c r="AM376" s="50"/>
      <c r="AN376" s="51"/>
      <c r="AO376" s="41"/>
      <c r="AP376" s="46" t="str">
        <f t="shared" si="278"/>
        <v>70.01%-75.00%</v>
      </c>
      <c r="AQ376" s="49" t="s">
        <v>150</v>
      </c>
      <c r="AR376" s="49" t="s">
        <v>150</v>
      </c>
      <c r="AS376" s="49" t="s">
        <v>150</v>
      </c>
      <c r="AT376" s="49" t="s">
        <v>150</v>
      </c>
      <c r="AU376" s="49" t="s">
        <v>150</v>
      </c>
      <c r="AV376" s="49" t="s">
        <v>150</v>
      </c>
      <c r="AX376" s="38"/>
      <c r="AZ376" s="46" t="str">
        <f t="shared" si="279"/>
        <v>70.01%-75.00%</v>
      </c>
      <c r="BA376" s="49" t="s">
        <v>150</v>
      </c>
      <c r="BB376" s="49" t="s">
        <v>150</v>
      </c>
      <c r="BC376" s="49" t="s">
        <v>150</v>
      </c>
      <c r="BD376" s="49" t="s">
        <v>150</v>
      </c>
      <c r="BE376" s="49" t="s">
        <v>150</v>
      </c>
      <c r="BF376" s="49" t="s">
        <v>150</v>
      </c>
    </row>
    <row r="377" spans="2:58" s="37" customFormat="1" ht="12.75" customHeight="1" x14ac:dyDescent="0.45">
      <c r="B377" s="52" t="s">
        <v>151</v>
      </c>
      <c r="C377" s="54" t="s">
        <v>150</v>
      </c>
      <c r="D377" s="54" t="s">
        <v>150</v>
      </c>
      <c r="E377" s="54" t="s">
        <v>150</v>
      </c>
      <c r="F377" s="54" t="s">
        <v>150</v>
      </c>
      <c r="G377" s="54" t="s">
        <v>150</v>
      </c>
      <c r="H377" s="54" t="s">
        <v>150</v>
      </c>
      <c r="J377" s="38"/>
      <c r="L377" s="52" t="s">
        <v>151</v>
      </c>
      <c r="M377" s="54" t="s">
        <v>150</v>
      </c>
      <c r="N377" s="54" t="s">
        <v>150</v>
      </c>
      <c r="O377" s="54" t="s">
        <v>150</v>
      </c>
      <c r="P377" s="54" t="s">
        <v>150</v>
      </c>
      <c r="Q377" s="54" t="s">
        <v>150</v>
      </c>
      <c r="R377" s="54" t="s">
        <v>150</v>
      </c>
      <c r="S377" s="55"/>
      <c r="T377" s="56"/>
      <c r="U377" s="41"/>
      <c r="V377" s="52" t="str">
        <f t="shared" si="276"/>
        <v>FICO 700+</v>
      </c>
      <c r="W377" s="54" t="s">
        <v>150</v>
      </c>
      <c r="X377" s="54" t="s">
        <v>150</v>
      </c>
      <c r="Y377" s="54" t="s">
        <v>150</v>
      </c>
      <c r="Z377" s="54" t="s">
        <v>150</v>
      </c>
      <c r="AA377" s="54" t="s">
        <v>150</v>
      </c>
      <c r="AB377" s="54" t="s">
        <v>150</v>
      </c>
      <c r="AD377" s="38"/>
      <c r="AF377" s="52" t="str">
        <f t="shared" si="277"/>
        <v>FICO 700+</v>
      </c>
      <c r="AG377" s="54" t="s">
        <v>150</v>
      </c>
      <c r="AH377" s="54" t="s">
        <v>150</v>
      </c>
      <c r="AI377" s="54" t="s">
        <v>150</v>
      </c>
      <c r="AJ377" s="54" t="s">
        <v>150</v>
      </c>
      <c r="AK377" s="54" t="s">
        <v>150</v>
      </c>
      <c r="AL377" s="54" t="s">
        <v>150</v>
      </c>
      <c r="AM377" s="55"/>
      <c r="AN377" s="56"/>
      <c r="AO377" s="41"/>
      <c r="AP377" s="52" t="str">
        <f t="shared" si="278"/>
        <v>FICO 700+</v>
      </c>
      <c r="AQ377" s="54" t="s">
        <v>150</v>
      </c>
      <c r="AR377" s="54" t="s">
        <v>150</v>
      </c>
      <c r="AS377" s="54" t="s">
        <v>150</v>
      </c>
      <c r="AT377" s="54" t="s">
        <v>150</v>
      </c>
      <c r="AU377" s="54" t="s">
        <v>150</v>
      </c>
      <c r="AV377" s="54" t="s">
        <v>150</v>
      </c>
      <c r="AX377" s="38"/>
      <c r="AZ377" s="52" t="str">
        <f t="shared" si="279"/>
        <v>FICO 700+</v>
      </c>
      <c r="BA377" s="54" t="s">
        <v>150</v>
      </c>
      <c r="BB377" s="54" t="s">
        <v>150</v>
      </c>
      <c r="BC377" s="54" t="s">
        <v>150</v>
      </c>
      <c r="BD377" s="54" t="s">
        <v>150</v>
      </c>
      <c r="BE377" s="54" t="s">
        <v>150</v>
      </c>
      <c r="BF377" s="54" t="s">
        <v>150</v>
      </c>
    </row>
    <row r="378" spans="2:58" s="37" customFormat="1" ht="12.75" customHeight="1" x14ac:dyDescent="0.45">
      <c r="B378" s="52" t="s">
        <v>158</v>
      </c>
      <c r="C378" s="54" t="s">
        <v>150</v>
      </c>
      <c r="D378" s="54" t="s">
        <v>150</v>
      </c>
      <c r="E378" s="54" t="s">
        <v>150</v>
      </c>
      <c r="F378" s="54" t="s">
        <v>150</v>
      </c>
      <c r="G378" s="54" t="s">
        <v>150</v>
      </c>
      <c r="H378" s="54" t="s">
        <v>150</v>
      </c>
      <c r="J378" s="38"/>
      <c r="L378" s="52" t="s">
        <v>158</v>
      </c>
      <c r="M378" s="54" t="s">
        <v>150</v>
      </c>
      <c r="N378" s="54" t="s">
        <v>150</v>
      </c>
      <c r="O378" s="54" t="s">
        <v>150</v>
      </c>
      <c r="P378" s="54" t="s">
        <v>150</v>
      </c>
      <c r="Q378" s="54" t="s">
        <v>150</v>
      </c>
      <c r="R378" s="54" t="s">
        <v>150</v>
      </c>
      <c r="S378" s="55"/>
      <c r="T378" s="56"/>
      <c r="U378" s="41"/>
      <c r="V378" s="52" t="str">
        <f t="shared" si="276"/>
        <v>FICO 680-699</v>
      </c>
      <c r="W378" s="54" t="s">
        <v>150</v>
      </c>
      <c r="X378" s="54" t="s">
        <v>150</v>
      </c>
      <c r="Y378" s="54" t="s">
        <v>150</v>
      </c>
      <c r="Z378" s="54" t="s">
        <v>150</v>
      </c>
      <c r="AA378" s="54" t="s">
        <v>150</v>
      </c>
      <c r="AB378" s="54" t="s">
        <v>150</v>
      </c>
      <c r="AD378" s="38"/>
      <c r="AF378" s="52" t="str">
        <f t="shared" si="277"/>
        <v>FICO 680-699</v>
      </c>
      <c r="AG378" s="54" t="s">
        <v>150</v>
      </c>
      <c r="AH378" s="54" t="s">
        <v>150</v>
      </c>
      <c r="AI378" s="54" t="s">
        <v>150</v>
      </c>
      <c r="AJ378" s="54" t="s">
        <v>150</v>
      </c>
      <c r="AK378" s="54" t="s">
        <v>150</v>
      </c>
      <c r="AL378" s="54" t="s">
        <v>150</v>
      </c>
      <c r="AM378" s="55"/>
      <c r="AN378" s="56"/>
      <c r="AO378" s="41"/>
      <c r="AP378" s="52" t="str">
        <f t="shared" si="278"/>
        <v>FICO 680-699</v>
      </c>
      <c r="AQ378" s="54" t="s">
        <v>150</v>
      </c>
      <c r="AR378" s="54" t="s">
        <v>150</v>
      </c>
      <c r="AS378" s="54" t="s">
        <v>150</v>
      </c>
      <c r="AT378" s="54" t="s">
        <v>150</v>
      </c>
      <c r="AU378" s="54" t="s">
        <v>150</v>
      </c>
      <c r="AV378" s="54" t="s">
        <v>150</v>
      </c>
      <c r="AX378" s="38"/>
      <c r="AZ378" s="52" t="str">
        <f t="shared" si="279"/>
        <v>FICO 680-699</v>
      </c>
      <c r="BA378" s="54" t="s">
        <v>150</v>
      </c>
      <c r="BB378" s="54" t="s">
        <v>150</v>
      </c>
      <c r="BC378" s="54" t="s">
        <v>150</v>
      </c>
      <c r="BD378" s="54" t="s">
        <v>150</v>
      </c>
      <c r="BE378" s="54" t="s">
        <v>150</v>
      </c>
      <c r="BF378" s="54" t="s">
        <v>150</v>
      </c>
    </row>
    <row r="379" spans="2:58" s="37" customFormat="1" ht="12.75" customHeight="1" x14ac:dyDescent="0.45">
      <c r="B379" s="57" t="s">
        <v>159</v>
      </c>
      <c r="C379" s="59" t="s">
        <v>150</v>
      </c>
      <c r="D379" s="59" t="s">
        <v>150</v>
      </c>
      <c r="E379" s="59" t="s">
        <v>150</v>
      </c>
      <c r="F379" s="59" t="s">
        <v>150</v>
      </c>
      <c r="G379" s="59" t="s">
        <v>150</v>
      </c>
      <c r="H379" s="59" t="s">
        <v>150</v>
      </c>
      <c r="J379" s="38"/>
      <c r="L379" s="57" t="s">
        <v>159</v>
      </c>
      <c r="M379" s="59" t="s">
        <v>150</v>
      </c>
      <c r="N379" s="59" t="s">
        <v>150</v>
      </c>
      <c r="O379" s="59" t="s">
        <v>150</v>
      </c>
      <c r="P379" s="59" t="s">
        <v>150</v>
      </c>
      <c r="Q379" s="59" t="s">
        <v>150</v>
      </c>
      <c r="R379" s="59" t="s">
        <v>150</v>
      </c>
      <c r="S379" s="55"/>
      <c r="T379" s="56"/>
      <c r="U379" s="41"/>
      <c r="V379" s="57" t="str">
        <f t="shared" si="276"/>
        <v>FICO 640-679</v>
      </c>
      <c r="W379" s="59" t="s">
        <v>150</v>
      </c>
      <c r="X379" s="59" t="s">
        <v>150</v>
      </c>
      <c r="Y379" s="59" t="s">
        <v>150</v>
      </c>
      <c r="Z379" s="59" t="s">
        <v>150</v>
      </c>
      <c r="AA379" s="59" t="s">
        <v>150</v>
      </c>
      <c r="AB379" s="59" t="s">
        <v>150</v>
      </c>
      <c r="AD379" s="38"/>
      <c r="AF379" s="57" t="str">
        <f t="shared" si="277"/>
        <v>FICO 640-679</v>
      </c>
      <c r="AG379" s="59" t="s">
        <v>150</v>
      </c>
      <c r="AH379" s="59" t="s">
        <v>150</v>
      </c>
      <c r="AI379" s="59" t="s">
        <v>150</v>
      </c>
      <c r="AJ379" s="59" t="s">
        <v>150</v>
      </c>
      <c r="AK379" s="59" t="s">
        <v>150</v>
      </c>
      <c r="AL379" s="59" t="s">
        <v>150</v>
      </c>
      <c r="AM379" s="55"/>
      <c r="AN379" s="56"/>
      <c r="AO379" s="41"/>
      <c r="AP379" s="57" t="str">
        <f t="shared" si="278"/>
        <v>FICO 640-679</v>
      </c>
      <c r="AQ379" s="59" t="s">
        <v>150</v>
      </c>
      <c r="AR379" s="59" t="s">
        <v>150</v>
      </c>
      <c r="AS379" s="59" t="s">
        <v>150</v>
      </c>
      <c r="AT379" s="59" t="s">
        <v>150</v>
      </c>
      <c r="AU379" s="59" t="s">
        <v>150</v>
      </c>
      <c r="AV379" s="59" t="s">
        <v>150</v>
      </c>
      <c r="AX379" s="38"/>
      <c r="AZ379" s="57" t="str">
        <f t="shared" si="279"/>
        <v>FICO 640-679</v>
      </c>
      <c r="BA379" s="59" t="s">
        <v>150</v>
      </c>
      <c r="BB379" s="59" t="s">
        <v>150</v>
      </c>
      <c r="BC379" s="59" t="s">
        <v>150</v>
      </c>
      <c r="BD379" s="59" t="s">
        <v>150</v>
      </c>
      <c r="BE379" s="59" t="s">
        <v>150</v>
      </c>
      <c r="BF379" s="59" t="s">
        <v>150</v>
      </c>
    </row>
    <row r="380" spans="2:58" s="37" customFormat="1" ht="12.75" customHeight="1" x14ac:dyDescent="0.45">
      <c r="B380" s="60" t="s">
        <v>154</v>
      </c>
      <c r="C380" s="64" t="s">
        <v>150</v>
      </c>
      <c r="D380" s="64" t="s">
        <v>150</v>
      </c>
      <c r="E380" s="64" t="s">
        <v>150</v>
      </c>
      <c r="F380" s="64" t="s">
        <v>150</v>
      </c>
      <c r="G380" s="64" t="s">
        <v>150</v>
      </c>
      <c r="H380" s="64" t="s">
        <v>150</v>
      </c>
      <c r="J380" s="38"/>
      <c r="L380" s="60" t="s">
        <v>154</v>
      </c>
      <c r="M380" s="64" t="s">
        <v>150</v>
      </c>
      <c r="N380" s="64" t="s">
        <v>150</v>
      </c>
      <c r="O380" s="64" t="s">
        <v>150</v>
      </c>
      <c r="P380" s="64" t="s">
        <v>150</v>
      </c>
      <c r="Q380" s="64" t="s">
        <v>150</v>
      </c>
      <c r="R380" s="64" t="s">
        <v>150</v>
      </c>
      <c r="S380" s="50"/>
      <c r="T380" s="51"/>
      <c r="U380" s="41"/>
      <c r="V380" s="60" t="str">
        <f t="shared" si="276"/>
        <v>65.00%-70.00%</v>
      </c>
      <c r="W380" s="64" t="s">
        <v>150</v>
      </c>
      <c r="X380" s="64" t="s">
        <v>150</v>
      </c>
      <c r="Y380" s="64" t="s">
        <v>150</v>
      </c>
      <c r="Z380" s="64" t="s">
        <v>150</v>
      </c>
      <c r="AA380" s="64" t="s">
        <v>150</v>
      </c>
      <c r="AB380" s="64" t="s">
        <v>150</v>
      </c>
      <c r="AD380" s="38"/>
      <c r="AF380" s="60" t="str">
        <f t="shared" si="277"/>
        <v>65.00%-70.00%</v>
      </c>
      <c r="AG380" s="64" t="s">
        <v>150</v>
      </c>
      <c r="AH380" s="64" t="s">
        <v>150</v>
      </c>
      <c r="AI380" s="64" t="s">
        <v>150</v>
      </c>
      <c r="AJ380" s="64" t="s">
        <v>150</v>
      </c>
      <c r="AK380" s="64" t="s">
        <v>150</v>
      </c>
      <c r="AL380" s="64" t="s">
        <v>150</v>
      </c>
      <c r="AM380" s="50"/>
      <c r="AN380" s="51"/>
      <c r="AO380" s="41"/>
      <c r="AP380" s="60" t="str">
        <f t="shared" si="278"/>
        <v>65.00%-70.00%</v>
      </c>
      <c r="AQ380" s="64" t="s">
        <v>150</v>
      </c>
      <c r="AR380" s="64" t="s">
        <v>150</v>
      </c>
      <c r="AS380" s="64" t="s">
        <v>150</v>
      </c>
      <c r="AT380" s="64" t="s">
        <v>150</v>
      </c>
      <c r="AU380" s="64" t="s">
        <v>150</v>
      </c>
      <c r="AV380" s="64" t="s">
        <v>150</v>
      </c>
      <c r="AX380" s="38"/>
      <c r="AZ380" s="60" t="str">
        <f t="shared" si="279"/>
        <v>65.00%-70.00%</v>
      </c>
      <c r="BA380" s="64" t="s">
        <v>150</v>
      </c>
      <c r="BB380" s="64" t="s">
        <v>150</v>
      </c>
      <c r="BC380" s="64" t="s">
        <v>150</v>
      </c>
      <c r="BD380" s="64" t="s">
        <v>150</v>
      </c>
      <c r="BE380" s="64" t="s">
        <v>150</v>
      </c>
      <c r="BF380" s="64" t="s">
        <v>150</v>
      </c>
    </row>
    <row r="381" spans="2:58" s="37" customFormat="1" ht="12.75" customHeight="1" x14ac:dyDescent="0.45">
      <c r="B381" s="52" t="s">
        <v>151</v>
      </c>
      <c r="C381" s="54" t="s">
        <v>150</v>
      </c>
      <c r="D381" s="54" t="s">
        <v>150</v>
      </c>
      <c r="E381" s="54" t="s">
        <v>150</v>
      </c>
      <c r="F381" s="54" t="s">
        <v>150</v>
      </c>
      <c r="G381" s="54" t="s">
        <v>150</v>
      </c>
      <c r="H381" s="54" t="s">
        <v>150</v>
      </c>
      <c r="J381" s="38"/>
      <c r="L381" s="52" t="s">
        <v>151</v>
      </c>
      <c r="M381" s="54" t="s">
        <v>150</v>
      </c>
      <c r="N381" s="54" t="s">
        <v>150</v>
      </c>
      <c r="O381" s="54" t="s">
        <v>150</v>
      </c>
      <c r="P381" s="54" t="s">
        <v>150</v>
      </c>
      <c r="Q381" s="54" t="s">
        <v>150</v>
      </c>
      <c r="R381" s="54" t="s">
        <v>150</v>
      </c>
      <c r="S381" s="55"/>
      <c r="T381" s="56"/>
      <c r="U381" s="41"/>
      <c r="V381" s="52" t="str">
        <f t="shared" si="276"/>
        <v>FICO 700+</v>
      </c>
      <c r="W381" s="54" t="s">
        <v>150</v>
      </c>
      <c r="X381" s="54" t="s">
        <v>150</v>
      </c>
      <c r="Y381" s="54" t="s">
        <v>150</v>
      </c>
      <c r="Z381" s="54" t="s">
        <v>150</v>
      </c>
      <c r="AA381" s="54" t="s">
        <v>150</v>
      </c>
      <c r="AB381" s="54" t="s">
        <v>150</v>
      </c>
      <c r="AD381" s="38"/>
      <c r="AF381" s="52" t="str">
        <f t="shared" si="277"/>
        <v>FICO 700+</v>
      </c>
      <c r="AG381" s="54" t="s">
        <v>150</v>
      </c>
      <c r="AH381" s="54" t="s">
        <v>150</v>
      </c>
      <c r="AI381" s="54" t="s">
        <v>150</v>
      </c>
      <c r="AJ381" s="54" t="s">
        <v>150</v>
      </c>
      <c r="AK381" s="54" t="s">
        <v>150</v>
      </c>
      <c r="AL381" s="54" t="s">
        <v>150</v>
      </c>
      <c r="AM381" s="55"/>
      <c r="AN381" s="56"/>
      <c r="AO381" s="41"/>
      <c r="AP381" s="52" t="str">
        <f t="shared" si="278"/>
        <v>FICO 700+</v>
      </c>
      <c r="AQ381" s="54" t="s">
        <v>150</v>
      </c>
      <c r="AR381" s="54" t="s">
        <v>150</v>
      </c>
      <c r="AS381" s="54" t="s">
        <v>150</v>
      </c>
      <c r="AT381" s="54" t="s">
        <v>150</v>
      </c>
      <c r="AU381" s="54" t="s">
        <v>150</v>
      </c>
      <c r="AV381" s="54" t="s">
        <v>150</v>
      </c>
      <c r="AX381" s="38"/>
      <c r="AZ381" s="52" t="str">
        <f t="shared" si="279"/>
        <v>FICO 700+</v>
      </c>
      <c r="BA381" s="54" t="s">
        <v>150</v>
      </c>
      <c r="BB381" s="54" t="s">
        <v>150</v>
      </c>
      <c r="BC381" s="54" t="s">
        <v>150</v>
      </c>
      <c r="BD381" s="54" t="s">
        <v>150</v>
      </c>
      <c r="BE381" s="54" t="s">
        <v>150</v>
      </c>
      <c r="BF381" s="54" t="s">
        <v>150</v>
      </c>
    </row>
    <row r="382" spans="2:58" s="37" customFormat="1" ht="12.75" customHeight="1" x14ac:dyDescent="0.45">
      <c r="B382" s="52" t="s">
        <v>158</v>
      </c>
      <c r="C382" s="54" t="s">
        <v>150</v>
      </c>
      <c r="D382" s="54" t="s">
        <v>150</v>
      </c>
      <c r="E382" s="54" t="s">
        <v>150</v>
      </c>
      <c r="F382" s="54" t="s">
        <v>150</v>
      </c>
      <c r="G382" s="54" t="s">
        <v>150</v>
      </c>
      <c r="H382" s="54" t="s">
        <v>150</v>
      </c>
      <c r="J382" s="38"/>
      <c r="L382" s="52" t="s">
        <v>158</v>
      </c>
      <c r="M382" s="54" t="s">
        <v>150</v>
      </c>
      <c r="N382" s="54" t="s">
        <v>150</v>
      </c>
      <c r="O382" s="54" t="s">
        <v>150</v>
      </c>
      <c r="P382" s="54" t="s">
        <v>150</v>
      </c>
      <c r="Q382" s="54" t="s">
        <v>150</v>
      </c>
      <c r="R382" s="54" t="s">
        <v>150</v>
      </c>
      <c r="S382" s="55"/>
      <c r="T382" s="56"/>
      <c r="U382" s="41"/>
      <c r="V382" s="52" t="str">
        <f t="shared" si="276"/>
        <v>FICO 680-699</v>
      </c>
      <c r="W382" s="54" t="s">
        <v>150</v>
      </c>
      <c r="X382" s="54" t="s">
        <v>150</v>
      </c>
      <c r="Y382" s="54" t="s">
        <v>150</v>
      </c>
      <c r="Z382" s="54" t="s">
        <v>150</v>
      </c>
      <c r="AA382" s="54" t="s">
        <v>150</v>
      </c>
      <c r="AB382" s="54" t="s">
        <v>150</v>
      </c>
      <c r="AD382" s="38"/>
      <c r="AF382" s="52" t="str">
        <f t="shared" si="277"/>
        <v>FICO 680-699</v>
      </c>
      <c r="AG382" s="54" t="s">
        <v>150</v>
      </c>
      <c r="AH382" s="54" t="s">
        <v>150</v>
      </c>
      <c r="AI382" s="54" t="s">
        <v>150</v>
      </c>
      <c r="AJ382" s="54" t="s">
        <v>150</v>
      </c>
      <c r="AK382" s="54" t="s">
        <v>150</v>
      </c>
      <c r="AL382" s="54" t="s">
        <v>150</v>
      </c>
      <c r="AM382" s="55"/>
      <c r="AN382" s="56"/>
      <c r="AO382" s="41"/>
      <c r="AP382" s="52" t="str">
        <f t="shared" si="278"/>
        <v>FICO 680-699</v>
      </c>
      <c r="AQ382" s="54" t="s">
        <v>150</v>
      </c>
      <c r="AR382" s="54" t="s">
        <v>150</v>
      </c>
      <c r="AS382" s="54" t="s">
        <v>150</v>
      </c>
      <c r="AT382" s="54" t="s">
        <v>150</v>
      </c>
      <c r="AU382" s="54" t="s">
        <v>150</v>
      </c>
      <c r="AV382" s="54" t="s">
        <v>150</v>
      </c>
      <c r="AX382" s="38"/>
      <c r="AZ382" s="52" t="str">
        <f t="shared" si="279"/>
        <v>FICO 680-699</v>
      </c>
      <c r="BA382" s="54" t="s">
        <v>150</v>
      </c>
      <c r="BB382" s="54" t="s">
        <v>150</v>
      </c>
      <c r="BC382" s="54" t="s">
        <v>150</v>
      </c>
      <c r="BD382" s="54" t="s">
        <v>150</v>
      </c>
      <c r="BE382" s="54" t="s">
        <v>150</v>
      </c>
      <c r="BF382" s="54" t="s">
        <v>150</v>
      </c>
    </row>
    <row r="383" spans="2:58" s="37" customFormat="1" ht="12.75" customHeight="1" x14ac:dyDescent="0.45">
      <c r="B383" s="57" t="s">
        <v>159</v>
      </c>
      <c r="C383" s="59" t="s">
        <v>150</v>
      </c>
      <c r="D383" s="59" t="s">
        <v>150</v>
      </c>
      <c r="E383" s="59" t="s">
        <v>150</v>
      </c>
      <c r="F383" s="59" t="s">
        <v>150</v>
      </c>
      <c r="G383" s="59" t="s">
        <v>150</v>
      </c>
      <c r="H383" s="59" t="s">
        <v>150</v>
      </c>
      <c r="J383" s="38"/>
      <c r="L383" s="57" t="s">
        <v>159</v>
      </c>
      <c r="M383" s="59" t="s">
        <v>150</v>
      </c>
      <c r="N383" s="59" t="s">
        <v>150</v>
      </c>
      <c r="O383" s="59" t="s">
        <v>150</v>
      </c>
      <c r="P383" s="59" t="s">
        <v>150</v>
      </c>
      <c r="Q383" s="59" t="s">
        <v>150</v>
      </c>
      <c r="R383" s="59" t="s">
        <v>150</v>
      </c>
      <c r="S383" s="55"/>
      <c r="T383" s="56"/>
      <c r="U383" s="41"/>
      <c r="V383" s="57" t="str">
        <f t="shared" si="276"/>
        <v>FICO 640-679</v>
      </c>
      <c r="W383" s="59" t="s">
        <v>150</v>
      </c>
      <c r="X383" s="59" t="s">
        <v>150</v>
      </c>
      <c r="Y383" s="59" t="s">
        <v>150</v>
      </c>
      <c r="Z383" s="59" t="s">
        <v>150</v>
      </c>
      <c r="AA383" s="59" t="s">
        <v>150</v>
      </c>
      <c r="AB383" s="59" t="s">
        <v>150</v>
      </c>
      <c r="AD383" s="38"/>
      <c r="AF383" s="57" t="str">
        <f t="shared" si="277"/>
        <v>FICO 640-679</v>
      </c>
      <c r="AG383" s="59" t="s">
        <v>150</v>
      </c>
      <c r="AH383" s="59" t="s">
        <v>150</v>
      </c>
      <c r="AI383" s="59" t="s">
        <v>150</v>
      </c>
      <c r="AJ383" s="59" t="s">
        <v>150</v>
      </c>
      <c r="AK383" s="59" t="s">
        <v>150</v>
      </c>
      <c r="AL383" s="59" t="s">
        <v>150</v>
      </c>
      <c r="AM383" s="55"/>
      <c r="AN383" s="56"/>
      <c r="AO383" s="41"/>
      <c r="AP383" s="57" t="str">
        <f t="shared" si="278"/>
        <v>FICO 640-679</v>
      </c>
      <c r="AQ383" s="59" t="s">
        <v>150</v>
      </c>
      <c r="AR383" s="59" t="s">
        <v>150</v>
      </c>
      <c r="AS383" s="59" t="s">
        <v>150</v>
      </c>
      <c r="AT383" s="59" t="s">
        <v>150</v>
      </c>
      <c r="AU383" s="59" t="s">
        <v>150</v>
      </c>
      <c r="AV383" s="59" t="s">
        <v>150</v>
      </c>
      <c r="AX383" s="38"/>
      <c r="AZ383" s="57" t="str">
        <f t="shared" si="279"/>
        <v>FICO 640-679</v>
      </c>
      <c r="BA383" s="59" t="s">
        <v>150</v>
      </c>
      <c r="BB383" s="59" t="s">
        <v>150</v>
      </c>
      <c r="BC383" s="59" t="s">
        <v>150</v>
      </c>
      <c r="BD383" s="59" t="s">
        <v>150</v>
      </c>
      <c r="BE383" s="59" t="s">
        <v>150</v>
      </c>
      <c r="BF383" s="59" t="s">
        <v>150</v>
      </c>
    </row>
    <row r="384" spans="2:58" s="37" customFormat="1" ht="12.75" customHeight="1" x14ac:dyDescent="0.45">
      <c r="B384" s="60" t="s">
        <v>155</v>
      </c>
      <c r="C384" s="64" t="s">
        <v>150</v>
      </c>
      <c r="D384" s="64" t="s">
        <v>150</v>
      </c>
      <c r="E384" s="64" t="s">
        <v>150</v>
      </c>
      <c r="F384" s="64" t="s">
        <v>150</v>
      </c>
      <c r="G384" s="64" t="s">
        <v>150</v>
      </c>
      <c r="H384" s="64" t="s">
        <v>150</v>
      </c>
      <c r="J384" s="38"/>
      <c r="L384" s="60" t="s">
        <v>155</v>
      </c>
      <c r="M384" s="49" t="s">
        <v>150</v>
      </c>
      <c r="N384" s="49" t="s">
        <v>150</v>
      </c>
      <c r="O384" s="49" t="s">
        <v>150</v>
      </c>
      <c r="P384" s="49" t="s">
        <v>150</v>
      </c>
      <c r="Q384" s="49" t="s">
        <v>150</v>
      </c>
      <c r="R384" s="49" t="s">
        <v>150</v>
      </c>
      <c r="S384" s="50"/>
      <c r="T384" s="51"/>
      <c r="U384" s="41"/>
      <c r="V384" s="60" t="str">
        <f t="shared" si="276"/>
        <v>&lt;64.99%</v>
      </c>
      <c r="W384" s="64" t="s">
        <v>150</v>
      </c>
      <c r="X384" s="64" t="s">
        <v>150</v>
      </c>
      <c r="Y384" s="64" t="s">
        <v>150</v>
      </c>
      <c r="Z384" s="64" t="s">
        <v>150</v>
      </c>
      <c r="AA384" s="64" t="s">
        <v>150</v>
      </c>
      <c r="AB384" s="64" t="s">
        <v>150</v>
      </c>
      <c r="AD384" s="38"/>
      <c r="AF384" s="60" t="str">
        <f t="shared" si="277"/>
        <v>&lt;64.99%</v>
      </c>
      <c r="AG384" s="49" t="s">
        <v>150</v>
      </c>
      <c r="AH384" s="49" t="s">
        <v>150</v>
      </c>
      <c r="AI384" s="49" t="s">
        <v>150</v>
      </c>
      <c r="AJ384" s="49" t="s">
        <v>150</v>
      </c>
      <c r="AK384" s="49" t="s">
        <v>150</v>
      </c>
      <c r="AL384" s="49" t="s">
        <v>150</v>
      </c>
      <c r="AM384" s="50"/>
      <c r="AN384" s="51"/>
      <c r="AO384" s="41"/>
      <c r="AP384" s="60" t="str">
        <f t="shared" si="278"/>
        <v>&lt;64.99%</v>
      </c>
      <c r="AQ384" s="64" t="s">
        <v>150</v>
      </c>
      <c r="AR384" s="64" t="s">
        <v>150</v>
      </c>
      <c r="AS384" s="64" t="s">
        <v>150</v>
      </c>
      <c r="AT384" s="64" t="s">
        <v>150</v>
      </c>
      <c r="AU384" s="64" t="s">
        <v>150</v>
      </c>
      <c r="AV384" s="64" t="s">
        <v>150</v>
      </c>
      <c r="AX384" s="38"/>
      <c r="AZ384" s="60" t="str">
        <f t="shared" si="279"/>
        <v>&lt;64.99%</v>
      </c>
      <c r="BA384" s="49" t="s">
        <v>150</v>
      </c>
      <c r="BB384" s="49" t="s">
        <v>150</v>
      </c>
      <c r="BC384" s="49" t="s">
        <v>150</v>
      </c>
      <c r="BD384" s="49" t="s">
        <v>150</v>
      </c>
      <c r="BE384" s="49" t="s">
        <v>150</v>
      </c>
      <c r="BF384" s="49" t="s">
        <v>150</v>
      </c>
    </row>
    <row r="385" spans="2:58" s="37" customFormat="1" ht="12.75" customHeight="1" x14ac:dyDescent="0.45">
      <c r="B385" s="52" t="s">
        <v>151</v>
      </c>
      <c r="C385" s="54" t="s">
        <v>150</v>
      </c>
      <c r="D385" s="54" t="s">
        <v>150</v>
      </c>
      <c r="E385" s="54" t="s">
        <v>150</v>
      </c>
      <c r="F385" s="54" t="s">
        <v>150</v>
      </c>
      <c r="G385" s="54" t="s">
        <v>150</v>
      </c>
      <c r="H385" s="54" t="s">
        <v>150</v>
      </c>
      <c r="J385" s="38"/>
      <c r="L385" s="52" t="s">
        <v>151</v>
      </c>
      <c r="M385" s="54" t="s">
        <v>150</v>
      </c>
      <c r="N385" s="54" t="s">
        <v>150</v>
      </c>
      <c r="O385" s="54" t="s">
        <v>150</v>
      </c>
      <c r="P385" s="54" t="s">
        <v>150</v>
      </c>
      <c r="Q385" s="54" t="s">
        <v>150</v>
      </c>
      <c r="R385" s="54" t="s">
        <v>150</v>
      </c>
      <c r="S385" s="55"/>
      <c r="T385" s="56"/>
      <c r="U385" s="41"/>
      <c r="V385" s="52" t="str">
        <f t="shared" si="276"/>
        <v>FICO 700+</v>
      </c>
      <c r="W385" s="54" t="s">
        <v>150</v>
      </c>
      <c r="X385" s="54" t="s">
        <v>150</v>
      </c>
      <c r="Y385" s="54" t="s">
        <v>150</v>
      </c>
      <c r="Z385" s="54" t="s">
        <v>150</v>
      </c>
      <c r="AA385" s="54" t="s">
        <v>150</v>
      </c>
      <c r="AB385" s="54" t="s">
        <v>150</v>
      </c>
      <c r="AD385" s="38"/>
      <c r="AF385" s="52" t="str">
        <f t="shared" si="277"/>
        <v>FICO 700+</v>
      </c>
      <c r="AG385" s="54" t="s">
        <v>150</v>
      </c>
      <c r="AH385" s="54" t="s">
        <v>150</v>
      </c>
      <c r="AI385" s="54" t="s">
        <v>150</v>
      </c>
      <c r="AJ385" s="54" t="s">
        <v>150</v>
      </c>
      <c r="AK385" s="54" t="s">
        <v>150</v>
      </c>
      <c r="AL385" s="54" t="s">
        <v>150</v>
      </c>
      <c r="AM385" s="55"/>
      <c r="AN385" s="56"/>
      <c r="AO385" s="41"/>
      <c r="AP385" s="52" t="str">
        <f t="shared" si="278"/>
        <v>FICO 700+</v>
      </c>
      <c r="AQ385" s="54" t="s">
        <v>150</v>
      </c>
      <c r="AR385" s="54" t="s">
        <v>150</v>
      </c>
      <c r="AS385" s="54" t="s">
        <v>150</v>
      </c>
      <c r="AT385" s="54" t="s">
        <v>150</v>
      </c>
      <c r="AU385" s="54" t="s">
        <v>150</v>
      </c>
      <c r="AV385" s="54" t="s">
        <v>150</v>
      </c>
      <c r="AX385" s="38"/>
      <c r="AZ385" s="52" t="str">
        <f t="shared" si="279"/>
        <v>FICO 700+</v>
      </c>
      <c r="BA385" s="54" t="s">
        <v>150</v>
      </c>
      <c r="BB385" s="54" t="s">
        <v>150</v>
      </c>
      <c r="BC385" s="54" t="s">
        <v>150</v>
      </c>
      <c r="BD385" s="54" t="s">
        <v>150</v>
      </c>
      <c r="BE385" s="54" t="s">
        <v>150</v>
      </c>
      <c r="BF385" s="54" t="s">
        <v>150</v>
      </c>
    </row>
    <row r="386" spans="2:58" s="37" customFormat="1" ht="12.75" customHeight="1" x14ac:dyDescent="0.45">
      <c r="B386" s="52" t="s">
        <v>158</v>
      </c>
      <c r="C386" s="54" t="s">
        <v>150</v>
      </c>
      <c r="D386" s="54" t="s">
        <v>150</v>
      </c>
      <c r="E386" s="54" t="s">
        <v>150</v>
      </c>
      <c r="F386" s="54" t="s">
        <v>150</v>
      </c>
      <c r="G386" s="54" t="s">
        <v>150</v>
      </c>
      <c r="H386" s="54" t="s">
        <v>150</v>
      </c>
      <c r="J386" s="38"/>
      <c r="L386" s="52" t="s">
        <v>158</v>
      </c>
      <c r="M386" s="54" t="s">
        <v>150</v>
      </c>
      <c r="N386" s="54" t="s">
        <v>150</v>
      </c>
      <c r="O386" s="54" t="s">
        <v>150</v>
      </c>
      <c r="P386" s="54" t="s">
        <v>150</v>
      </c>
      <c r="Q386" s="54" t="s">
        <v>150</v>
      </c>
      <c r="R386" s="54" t="s">
        <v>150</v>
      </c>
      <c r="S386" s="55"/>
      <c r="T386" s="56"/>
      <c r="U386" s="41"/>
      <c r="V386" s="52" t="str">
        <f t="shared" si="276"/>
        <v>FICO 680-699</v>
      </c>
      <c r="W386" s="54" t="s">
        <v>150</v>
      </c>
      <c r="X386" s="54" t="s">
        <v>150</v>
      </c>
      <c r="Y386" s="54" t="s">
        <v>150</v>
      </c>
      <c r="Z386" s="54" t="s">
        <v>150</v>
      </c>
      <c r="AA386" s="54" t="s">
        <v>150</v>
      </c>
      <c r="AB386" s="54" t="s">
        <v>150</v>
      </c>
      <c r="AD386" s="38"/>
      <c r="AF386" s="52" t="str">
        <f t="shared" si="277"/>
        <v>FICO 680-699</v>
      </c>
      <c r="AG386" s="54" t="s">
        <v>150</v>
      </c>
      <c r="AH386" s="54" t="s">
        <v>150</v>
      </c>
      <c r="AI386" s="54" t="s">
        <v>150</v>
      </c>
      <c r="AJ386" s="54" t="s">
        <v>150</v>
      </c>
      <c r="AK386" s="54" t="s">
        <v>150</v>
      </c>
      <c r="AL386" s="54" t="s">
        <v>150</v>
      </c>
      <c r="AM386" s="55"/>
      <c r="AN386" s="56"/>
      <c r="AO386" s="41"/>
      <c r="AP386" s="52" t="str">
        <f t="shared" si="278"/>
        <v>FICO 680-699</v>
      </c>
      <c r="AQ386" s="54" t="s">
        <v>150</v>
      </c>
      <c r="AR386" s="54" t="s">
        <v>150</v>
      </c>
      <c r="AS386" s="54" t="s">
        <v>150</v>
      </c>
      <c r="AT386" s="54" t="s">
        <v>150</v>
      </c>
      <c r="AU386" s="54" t="s">
        <v>150</v>
      </c>
      <c r="AV386" s="54" t="s">
        <v>150</v>
      </c>
      <c r="AX386" s="38"/>
      <c r="AZ386" s="52" t="str">
        <f t="shared" si="279"/>
        <v>FICO 680-699</v>
      </c>
      <c r="BA386" s="54" t="s">
        <v>150</v>
      </c>
      <c r="BB386" s="54" t="s">
        <v>150</v>
      </c>
      <c r="BC386" s="54" t="s">
        <v>150</v>
      </c>
      <c r="BD386" s="54" t="s">
        <v>150</v>
      </c>
      <c r="BE386" s="54" t="s">
        <v>150</v>
      </c>
      <c r="BF386" s="54" t="s">
        <v>150</v>
      </c>
    </row>
    <row r="387" spans="2:58" s="37" customFormat="1" ht="12.75" customHeight="1" x14ac:dyDescent="0.45">
      <c r="B387" s="52" t="s">
        <v>159</v>
      </c>
      <c r="C387" s="54" t="s">
        <v>150</v>
      </c>
      <c r="D387" s="54" t="s">
        <v>150</v>
      </c>
      <c r="E387" s="54" t="s">
        <v>150</v>
      </c>
      <c r="F387" s="54" t="s">
        <v>150</v>
      </c>
      <c r="G387" s="54" t="s">
        <v>150</v>
      </c>
      <c r="H387" s="54" t="s">
        <v>150</v>
      </c>
      <c r="J387" s="38"/>
      <c r="L387" s="52" t="s">
        <v>159</v>
      </c>
      <c r="M387" s="54" t="s">
        <v>150</v>
      </c>
      <c r="N387" s="54" t="s">
        <v>150</v>
      </c>
      <c r="O387" s="54" t="s">
        <v>150</v>
      </c>
      <c r="P387" s="54" t="s">
        <v>150</v>
      </c>
      <c r="Q387" s="54" t="s">
        <v>150</v>
      </c>
      <c r="R387" s="54" t="s">
        <v>150</v>
      </c>
      <c r="S387" s="55"/>
      <c r="T387" s="56"/>
      <c r="U387" s="41"/>
      <c r="V387" s="52" t="str">
        <f t="shared" si="276"/>
        <v>FICO 640-679</v>
      </c>
      <c r="W387" s="54" t="s">
        <v>150</v>
      </c>
      <c r="X387" s="54" t="s">
        <v>150</v>
      </c>
      <c r="Y387" s="54" t="s">
        <v>150</v>
      </c>
      <c r="Z387" s="54" t="s">
        <v>150</v>
      </c>
      <c r="AA387" s="54" t="s">
        <v>150</v>
      </c>
      <c r="AB387" s="54" t="s">
        <v>150</v>
      </c>
      <c r="AD387" s="38"/>
      <c r="AF387" s="52" t="str">
        <f t="shared" si="277"/>
        <v>FICO 640-679</v>
      </c>
      <c r="AG387" s="54" t="s">
        <v>150</v>
      </c>
      <c r="AH387" s="54" t="s">
        <v>150</v>
      </c>
      <c r="AI387" s="54" t="s">
        <v>150</v>
      </c>
      <c r="AJ387" s="54" t="s">
        <v>150</v>
      </c>
      <c r="AK387" s="54" t="s">
        <v>150</v>
      </c>
      <c r="AL387" s="54" t="s">
        <v>150</v>
      </c>
      <c r="AM387" s="55"/>
      <c r="AN387" s="56"/>
      <c r="AO387" s="41"/>
      <c r="AP387" s="52" t="str">
        <f t="shared" si="278"/>
        <v>FICO 640-679</v>
      </c>
      <c r="AQ387" s="54" t="s">
        <v>150</v>
      </c>
      <c r="AR387" s="54" t="s">
        <v>150</v>
      </c>
      <c r="AS387" s="54" t="s">
        <v>150</v>
      </c>
      <c r="AT387" s="54" t="s">
        <v>150</v>
      </c>
      <c r="AU387" s="54" t="s">
        <v>150</v>
      </c>
      <c r="AV387" s="54" t="s">
        <v>150</v>
      </c>
      <c r="AX387" s="38"/>
      <c r="AZ387" s="52" t="str">
        <f t="shared" si="279"/>
        <v>FICO 640-679</v>
      </c>
      <c r="BA387" s="54" t="s">
        <v>150</v>
      </c>
      <c r="BB387" s="54" t="s">
        <v>150</v>
      </c>
      <c r="BC387" s="54" t="s">
        <v>150</v>
      </c>
      <c r="BD387" s="54" t="s">
        <v>150</v>
      </c>
      <c r="BE387" s="54" t="s">
        <v>150</v>
      </c>
      <c r="BF387" s="54" t="s">
        <v>150</v>
      </c>
    </row>
    <row r="388" spans="2:58" s="37" customFormat="1" ht="12.75" customHeight="1" x14ac:dyDescent="0.45">
      <c r="C388" s="63"/>
      <c r="D388" s="63"/>
      <c r="E388" s="63"/>
      <c r="F388" s="63"/>
      <c r="G388" s="63"/>
      <c r="H388" s="63"/>
      <c r="J388" s="38"/>
      <c r="S388" s="41"/>
      <c r="T388" s="43"/>
      <c r="U388" s="41"/>
      <c r="W388" s="63"/>
      <c r="X388" s="63"/>
      <c r="Y388" s="63"/>
      <c r="Z388" s="63"/>
      <c r="AA388" s="63"/>
      <c r="AB388" s="63"/>
      <c r="AD388" s="38"/>
      <c r="AM388" s="41"/>
      <c r="AN388" s="43"/>
      <c r="AO388" s="41"/>
      <c r="AQ388" s="63"/>
      <c r="AR388" s="63"/>
      <c r="AS388" s="63"/>
      <c r="AT388" s="63"/>
      <c r="AU388" s="63"/>
      <c r="AV388" s="63"/>
      <c r="AX388" s="38"/>
    </row>
    <row r="389" spans="2:58" s="38" customFormat="1" ht="4.5" customHeight="1" x14ac:dyDescent="0.45">
      <c r="C389" s="65"/>
      <c r="D389" s="65"/>
      <c r="E389" s="65"/>
      <c r="F389" s="65"/>
      <c r="G389" s="65"/>
      <c r="H389" s="65"/>
      <c r="S389" s="41"/>
      <c r="T389" s="43"/>
      <c r="U389" s="41"/>
      <c r="W389" s="65"/>
      <c r="X389" s="65"/>
      <c r="Y389" s="65"/>
      <c r="Z389" s="65"/>
      <c r="AA389" s="65"/>
      <c r="AB389" s="65"/>
      <c r="AM389" s="41"/>
      <c r="AN389" s="43"/>
      <c r="AO389" s="41"/>
      <c r="AQ389" s="65"/>
      <c r="AR389" s="65"/>
      <c r="AS389" s="65"/>
      <c r="AT389" s="65"/>
      <c r="AU389" s="65"/>
      <c r="AV389" s="65"/>
    </row>
    <row r="391" spans="2:58" ht="15" customHeight="1" x14ac:dyDescent="0.45">
      <c r="B391" s="96" t="s">
        <v>160</v>
      </c>
      <c r="C391" s="96"/>
      <c r="D391" s="96"/>
      <c r="E391" s="96"/>
      <c r="F391" s="96"/>
      <c r="G391" s="96"/>
      <c r="H391" s="96"/>
      <c r="L391" s="96" t="s">
        <v>161</v>
      </c>
      <c r="M391" s="96"/>
      <c r="N391" s="96"/>
      <c r="O391" s="96"/>
      <c r="P391" s="96"/>
      <c r="Q391" s="96"/>
      <c r="R391" s="96"/>
      <c r="S391" s="35"/>
      <c r="T391" s="36"/>
      <c r="V391" s="96" t="s">
        <v>160</v>
      </c>
      <c r="W391" s="96"/>
      <c r="X391" s="96"/>
      <c r="Y391" s="96"/>
      <c r="Z391" s="96"/>
      <c r="AA391" s="96"/>
      <c r="AB391" s="96"/>
      <c r="AF391" s="96" t="s">
        <v>161</v>
      </c>
      <c r="AG391" s="96"/>
      <c r="AH391" s="96"/>
      <c r="AI391" s="96"/>
      <c r="AJ391" s="96"/>
      <c r="AK391" s="96"/>
      <c r="AL391" s="96"/>
      <c r="AM391" s="35"/>
      <c r="AN391" s="36"/>
      <c r="AP391" s="96" t="s">
        <v>160</v>
      </c>
      <c r="AQ391" s="96"/>
      <c r="AR391" s="96"/>
      <c r="AS391" s="96"/>
      <c r="AT391" s="96"/>
      <c r="AU391" s="96"/>
      <c r="AV391" s="96"/>
      <c r="AZ391" s="96" t="s">
        <v>161</v>
      </c>
      <c r="BA391" s="96"/>
      <c r="BB391" s="96"/>
      <c r="BC391" s="96"/>
      <c r="BD391" s="96"/>
      <c r="BE391" s="96"/>
      <c r="BF391" s="96"/>
    </row>
    <row r="392" spans="2:58" ht="15.75" customHeight="1" x14ac:dyDescent="0.45">
      <c r="B392" s="94" t="s">
        <v>142</v>
      </c>
      <c r="C392" s="94"/>
      <c r="D392" s="94"/>
      <c r="E392" s="94"/>
      <c r="F392" s="94"/>
      <c r="G392" s="94"/>
      <c r="H392" s="94"/>
      <c r="L392" s="94" t="s">
        <v>142</v>
      </c>
      <c r="M392" s="94"/>
      <c r="N392" s="94"/>
      <c r="O392" s="94"/>
      <c r="P392" s="94"/>
      <c r="Q392" s="94"/>
      <c r="R392" s="94"/>
      <c r="S392" s="39"/>
      <c r="T392" s="40"/>
      <c r="V392" s="94" t="s">
        <v>142</v>
      </c>
      <c r="W392" s="94"/>
      <c r="X392" s="94"/>
      <c r="Y392" s="94"/>
      <c r="Z392" s="94"/>
      <c r="AA392" s="94"/>
      <c r="AB392" s="94"/>
      <c r="AF392" s="94" t="s">
        <v>142</v>
      </c>
      <c r="AG392" s="94"/>
      <c r="AH392" s="94"/>
      <c r="AI392" s="94"/>
      <c r="AJ392" s="94"/>
      <c r="AK392" s="94"/>
      <c r="AL392" s="94"/>
      <c r="AM392" s="39"/>
      <c r="AN392" s="40"/>
      <c r="AP392" s="94" t="s">
        <v>142</v>
      </c>
      <c r="AQ392" s="94"/>
      <c r="AR392" s="94"/>
      <c r="AS392" s="94"/>
      <c r="AT392" s="94"/>
      <c r="AU392" s="94"/>
      <c r="AV392" s="94"/>
      <c r="AZ392" s="94" t="s">
        <v>142</v>
      </c>
      <c r="BA392" s="94"/>
      <c r="BB392" s="94"/>
      <c r="BC392" s="94"/>
      <c r="BD392" s="94"/>
      <c r="BE392" s="94"/>
      <c r="BF392" s="94"/>
    </row>
    <row r="393" spans="2:58" ht="15" customHeight="1" x14ac:dyDescent="0.45">
      <c r="B393" s="42"/>
      <c r="C393" s="95" t="s">
        <v>50</v>
      </c>
      <c r="D393" s="95"/>
      <c r="E393" s="95"/>
      <c r="F393" s="95"/>
      <c r="G393" s="95"/>
      <c r="H393" s="95"/>
      <c r="L393" s="42"/>
      <c r="M393" s="95" t="s">
        <v>50</v>
      </c>
      <c r="N393" s="95"/>
      <c r="O393" s="95"/>
      <c r="P393" s="95"/>
      <c r="Q393" s="95"/>
      <c r="R393" s="95"/>
      <c r="S393" s="41"/>
      <c r="T393" s="43"/>
      <c r="V393" s="42"/>
      <c r="W393" s="95" t="str">
        <f>C393</f>
        <v>LTC</v>
      </c>
      <c r="X393" s="95"/>
      <c r="Y393" s="95"/>
      <c r="Z393" s="95"/>
      <c r="AA393" s="95"/>
      <c r="AB393" s="95"/>
      <c r="AF393" s="42"/>
      <c r="AG393" s="95" t="str">
        <f t="shared" ref="AG393:AG406" si="280">W393</f>
        <v>LTC</v>
      </c>
      <c r="AH393" s="95"/>
      <c r="AI393" s="95"/>
      <c r="AJ393" s="95"/>
      <c r="AK393" s="95"/>
      <c r="AL393" s="95"/>
      <c r="AM393" s="41"/>
      <c r="AN393" s="43"/>
      <c r="AP393" s="42"/>
      <c r="AQ393" s="95" t="str">
        <f>C393</f>
        <v>LTC</v>
      </c>
      <c r="AR393" s="95"/>
      <c r="AS393" s="95"/>
      <c r="AT393" s="95"/>
      <c r="AU393" s="95"/>
      <c r="AV393" s="95"/>
      <c r="AZ393" s="42"/>
      <c r="BA393" s="95" t="str">
        <f>C393</f>
        <v>LTC</v>
      </c>
      <c r="BB393" s="95"/>
      <c r="BC393" s="95"/>
      <c r="BD393" s="95"/>
      <c r="BE393" s="95"/>
      <c r="BF393" s="95"/>
    </row>
    <row r="394" spans="2:58" ht="15" customHeight="1" x14ac:dyDescent="0.45">
      <c r="B394" s="44" t="s">
        <v>52</v>
      </c>
      <c r="C394" s="45" t="s">
        <v>143</v>
      </c>
      <c r="D394" s="45" t="s">
        <v>144</v>
      </c>
      <c r="E394" s="45" t="s">
        <v>145</v>
      </c>
      <c r="F394" s="45" t="s">
        <v>146</v>
      </c>
      <c r="G394" s="45" t="s">
        <v>147</v>
      </c>
      <c r="H394" s="45" t="s">
        <v>148</v>
      </c>
      <c r="L394" s="44" t="s">
        <v>52</v>
      </c>
      <c r="M394" s="45" t="s">
        <v>143</v>
      </c>
      <c r="N394" s="45" t="s">
        <v>144</v>
      </c>
      <c r="O394" s="45" t="s">
        <v>145</v>
      </c>
      <c r="P394" s="45" t="s">
        <v>146</v>
      </c>
      <c r="Q394" s="45" t="s">
        <v>147</v>
      </c>
      <c r="R394" s="45" t="s">
        <v>148</v>
      </c>
      <c r="S394" s="41"/>
      <c r="T394" s="43"/>
      <c r="V394" s="44" t="str">
        <f t="shared" ref="V394:V406" si="281">B394</f>
        <v>AR-LTV</v>
      </c>
      <c r="W394" s="45" t="str">
        <f>C394</f>
        <v>&lt;74.99%</v>
      </c>
      <c r="X394" s="45" t="str">
        <f>D394</f>
        <v>75.00%-80.00%</v>
      </c>
      <c r="Y394" s="45" t="str">
        <f>E394</f>
        <v>80.01%-85.00%</v>
      </c>
      <c r="Z394" s="45" t="str">
        <f>F394</f>
        <v>85.01%-87.50%</v>
      </c>
      <c r="AA394" s="45" t="str">
        <f>G394</f>
        <v>87.51%-89.99%</v>
      </c>
      <c r="AB394" s="45" t="str">
        <f>H394</f>
        <v>90.00%-92.50%</v>
      </c>
      <c r="AF394" s="44" t="str">
        <f t="shared" ref="AF394:AF406" si="282">V394</f>
        <v>AR-LTV</v>
      </c>
      <c r="AG394" s="45" t="str">
        <f t="shared" si="280"/>
        <v>&lt;74.99%</v>
      </c>
      <c r="AH394" s="45" t="str">
        <f t="shared" ref="AH394:AH406" si="283">X394</f>
        <v>75.00%-80.00%</v>
      </c>
      <c r="AI394" s="45" t="str">
        <f t="shared" ref="AI394:AI406" si="284">Y394</f>
        <v>80.01%-85.00%</v>
      </c>
      <c r="AJ394" s="45" t="str">
        <f t="shared" ref="AJ394:AJ406" si="285">Z394</f>
        <v>85.01%-87.50%</v>
      </c>
      <c r="AK394" s="45" t="str">
        <f t="shared" ref="AK394:AK406" si="286">AA394</f>
        <v>87.51%-89.99%</v>
      </c>
      <c r="AL394" s="45" t="str">
        <f t="shared" ref="AL394:AL406" si="287">AB394</f>
        <v>90.00%-92.50%</v>
      </c>
      <c r="AM394" s="41"/>
      <c r="AN394" s="43"/>
      <c r="AP394" s="44" t="str">
        <f t="shared" ref="AP394:AP406" si="288">B394</f>
        <v>AR-LTV</v>
      </c>
      <c r="AQ394" s="45" t="str">
        <f>C394</f>
        <v>&lt;74.99%</v>
      </c>
      <c r="AR394" s="45" t="str">
        <f>D394</f>
        <v>75.00%-80.00%</v>
      </c>
      <c r="AS394" s="45" t="str">
        <f>E394</f>
        <v>80.01%-85.00%</v>
      </c>
      <c r="AT394" s="45" t="str">
        <f>F394</f>
        <v>85.01%-87.50%</v>
      </c>
      <c r="AU394" s="45" t="str">
        <f>G394</f>
        <v>87.51%-89.99%</v>
      </c>
      <c r="AV394" s="45" t="str">
        <f>H394</f>
        <v>90.00%-92.50%</v>
      </c>
      <c r="AZ394" s="44" t="str">
        <f t="shared" ref="AZ394:AZ406" si="289">B394</f>
        <v>AR-LTV</v>
      </c>
      <c r="BA394" s="45" t="str">
        <f>C394</f>
        <v>&lt;74.99%</v>
      </c>
      <c r="BB394" s="45" t="str">
        <f>D394</f>
        <v>75.00%-80.00%</v>
      </c>
      <c r="BC394" s="45" t="str">
        <f>E394</f>
        <v>80.01%-85.00%</v>
      </c>
      <c r="BD394" s="45" t="str">
        <f>F394</f>
        <v>85.01%-87.50%</v>
      </c>
      <c r="BE394" s="45" t="str">
        <f>G394</f>
        <v>87.51%-89.99%</v>
      </c>
      <c r="BF394" s="45" t="str">
        <f>H394</f>
        <v>90.00%-92.50%</v>
      </c>
    </row>
    <row r="395" spans="2:58" ht="15" customHeight="1" x14ac:dyDescent="0.45">
      <c r="B395" s="46" t="s">
        <v>149</v>
      </c>
      <c r="C395" s="47">
        <f>C403+0.5%</f>
        <v>9.1249999999999998E-2</v>
      </c>
      <c r="D395" s="47">
        <f>C395+0.25%</f>
        <v>9.375E-2</v>
      </c>
      <c r="E395" s="49" t="s">
        <v>150</v>
      </c>
      <c r="F395" s="49" t="s">
        <v>150</v>
      </c>
      <c r="G395" s="49" t="s">
        <v>150</v>
      </c>
      <c r="H395" s="49" t="s">
        <v>150</v>
      </c>
      <c r="L395" s="46" t="s">
        <v>149</v>
      </c>
      <c r="M395" s="47">
        <f t="shared" ref="M395:M406" si="290">C395</f>
        <v>9.1249999999999998E-2</v>
      </c>
      <c r="N395" s="47">
        <f t="shared" ref="N395:N406" si="291">D395</f>
        <v>9.375E-2</v>
      </c>
      <c r="O395" s="49" t="str">
        <f t="shared" ref="O395:O406" si="292">E395</f>
        <v>NA</v>
      </c>
      <c r="P395" s="49" t="str">
        <f t="shared" ref="P395:P406" si="293">F395</f>
        <v>NA</v>
      </c>
      <c r="Q395" s="49" t="str">
        <f t="shared" ref="Q395:Q406" si="294">G395</f>
        <v>NA</v>
      </c>
      <c r="R395" s="49" t="str">
        <f t="shared" ref="R395:R406" si="295">H395</f>
        <v>NA</v>
      </c>
      <c r="S395" s="66"/>
      <c r="T395" s="67"/>
      <c r="V395" s="46" t="str">
        <f t="shared" si="281"/>
        <v>70.01%-75.00%</v>
      </c>
      <c r="W395" s="47">
        <f>W403+0.5%</f>
        <v>9.2499999999999999E-2</v>
      </c>
      <c r="X395" s="47">
        <f>W395+0.25%</f>
        <v>9.5000000000000001E-2</v>
      </c>
      <c r="Y395" s="49" t="s">
        <v>150</v>
      </c>
      <c r="Z395" s="49" t="s">
        <v>150</v>
      </c>
      <c r="AA395" s="49" t="s">
        <v>150</v>
      </c>
      <c r="AB395" s="49" t="s">
        <v>150</v>
      </c>
      <c r="AF395" s="46" t="str">
        <f t="shared" si="282"/>
        <v>70.01%-75.00%</v>
      </c>
      <c r="AG395" s="47">
        <f t="shared" si="280"/>
        <v>9.2499999999999999E-2</v>
      </c>
      <c r="AH395" s="47">
        <f t="shared" si="283"/>
        <v>9.5000000000000001E-2</v>
      </c>
      <c r="AI395" s="49" t="str">
        <f t="shared" si="284"/>
        <v>NA</v>
      </c>
      <c r="AJ395" s="49" t="str">
        <f t="shared" si="285"/>
        <v>NA</v>
      </c>
      <c r="AK395" s="49" t="str">
        <f t="shared" si="286"/>
        <v>NA</v>
      </c>
      <c r="AL395" s="49" t="str">
        <f t="shared" si="287"/>
        <v>NA</v>
      </c>
      <c r="AM395" s="66"/>
      <c r="AN395" s="67"/>
      <c r="AP395" s="46" t="str">
        <f t="shared" si="288"/>
        <v>70.01%-75.00%</v>
      </c>
      <c r="AQ395" s="47">
        <f>AQ403+0.5%</f>
        <v>9.375E-2</v>
      </c>
      <c r="AR395" s="47">
        <f>AQ395+0.25%</f>
        <v>9.6250000000000002E-2</v>
      </c>
      <c r="AS395" s="49" t="s">
        <v>150</v>
      </c>
      <c r="AT395" s="49" t="s">
        <v>150</v>
      </c>
      <c r="AU395" s="49" t="s">
        <v>150</v>
      </c>
      <c r="AV395" s="49" t="s">
        <v>150</v>
      </c>
      <c r="AZ395" s="46" t="str">
        <f t="shared" si="289"/>
        <v>70.01%-75.00%</v>
      </c>
      <c r="BA395" s="47">
        <f t="shared" ref="BA395:BA406" si="296">AQ395</f>
        <v>9.375E-2</v>
      </c>
      <c r="BB395" s="47">
        <f t="shared" ref="BB395:BB406" si="297">AR395</f>
        <v>9.6250000000000002E-2</v>
      </c>
      <c r="BC395" s="49" t="str">
        <f t="shared" ref="BC395:BC406" si="298">AS395</f>
        <v>NA</v>
      </c>
      <c r="BD395" s="49" t="str">
        <f t="shared" ref="BD395:BD406" si="299">AT395</f>
        <v>NA</v>
      </c>
      <c r="BE395" s="49" t="str">
        <f t="shared" ref="BE395:BE406" si="300">AU395</f>
        <v>NA</v>
      </c>
      <c r="BF395" s="49" t="str">
        <f t="shared" ref="BF395:BF406" si="301">AV395</f>
        <v>NA</v>
      </c>
    </row>
    <row r="396" spans="2:58" ht="15" customHeight="1" x14ac:dyDescent="0.45">
      <c r="B396" s="52" t="s">
        <v>151</v>
      </c>
      <c r="C396" s="53">
        <f>C395+0</f>
        <v>9.1249999999999998E-2</v>
      </c>
      <c r="D396" s="53">
        <f>D395+0</f>
        <v>9.375E-2</v>
      </c>
      <c r="E396" s="54" t="s">
        <v>150</v>
      </c>
      <c r="F396" s="54" t="s">
        <v>150</v>
      </c>
      <c r="G396" s="54" t="s">
        <v>150</v>
      </c>
      <c r="H396" s="54" t="s">
        <v>150</v>
      </c>
      <c r="L396" s="52" t="s">
        <v>151</v>
      </c>
      <c r="M396" s="53">
        <f t="shared" si="290"/>
        <v>9.1249999999999998E-2</v>
      </c>
      <c r="N396" s="53">
        <f t="shared" si="291"/>
        <v>9.375E-2</v>
      </c>
      <c r="O396" s="54" t="str">
        <f t="shared" si="292"/>
        <v>NA</v>
      </c>
      <c r="P396" s="54" t="str">
        <f t="shared" si="293"/>
        <v>NA</v>
      </c>
      <c r="Q396" s="54" t="str">
        <f t="shared" si="294"/>
        <v>NA</v>
      </c>
      <c r="R396" s="54" t="str">
        <f t="shared" si="295"/>
        <v>NA</v>
      </c>
      <c r="S396" s="68"/>
      <c r="T396" s="69"/>
      <c r="V396" s="52" t="str">
        <f t="shared" si="281"/>
        <v>FICO 700+</v>
      </c>
      <c r="W396" s="53">
        <f>W395+0</f>
        <v>9.2499999999999999E-2</v>
      </c>
      <c r="X396" s="53">
        <f>X395+0</f>
        <v>9.5000000000000001E-2</v>
      </c>
      <c r="Y396" s="54" t="s">
        <v>150</v>
      </c>
      <c r="Z396" s="54" t="s">
        <v>150</v>
      </c>
      <c r="AA396" s="54" t="s">
        <v>150</v>
      </c>
      <c r="AB396" s="54" t="s">
        <v>150</v>
      </c>
      <c r="AF396" s="52" t="str">
        <f t="shared" si="282"/>
        <v>FICO 700+</v>
      </c>
      <c r="AG396" s="53">
        <f t="shared" si="280"/>
        <v>9.2499999999999999E-2</v>
      </c>
      <c r="AH396" s="53">
        <f t="shared" si="283"/>
        <v>9.5000000000000001E-2</v>
      </c>
      <c r="AI396" s="54" t="str">
        <f t="shared" si="284"/>
        <v>NA</v>
      </c>
      <c r="AJ396" s="54" t="str">
        <f t="shared" si="285"/>
        <v>NA</v>
      </c>
      <c r="AK396" s="54" t="str">
        <f t="shared" si="286"/>
        <v>NA</v>
      </c>
      <c r="AL396" s="54" t="str">
        <f t="shared" si="287"/>
        <v>NA</v>
      </c>
      <c r="AM396" s="68"/>
      <c r="AN396" s="69"/>
      <c r="AP396" s="52" t="str">
        <f t="shared" si="288"/>
        <v>FICO 700+</v>
      </c>
      <c r="AQ396" s="53">
        <f>AQ395+0</f>
        <v>9.375E-2</v>
      </c>
      <c r="AR396" s="53">
        <f>AR395+0</f>
        <v>9.6250000000000002E-2</v>
      </c>
      <c r="AS396" s="54" t="s">
        <v>150</v>
      </c>
      <c r="AT396" s="54" t="s">
        <v>150</v>
      </c>
      <c r="AU396" s="54" t="s">
        <v>150</v>
      </c>
      <c r="AV396" s="54" t="s">
        <v>150</v>
      </c>
      <c r="AZ396" s="52" t="str">
        <f t="shared" si="289"/>
        <v>FICO 700+</v>
      </c>
      <c r="BA396" s="53">
        <f t="shared" si="296"/>
        <v>9.375E-2</v>
      </c>
      <c r="BB396" s="53">
        <f t="shared" si="297"/>
        <v>9.6250000000000002E-2</v>
      </c>
      <c r="BC396" s="54" t="str">
        <f t="shared" si="298"/>
        <v>NA</v>
      </c>
      <c r="BD396" s="54" t="str">
        <f t="shared" si="299"/>
        <v>NA</v>
      </c>
      <c r="BE396" s="54" t="str">
        <f t="shared" si="300"/>
        <v>NA</v>
      </c>
      <c r="BF396" s="54" t="str">
        <f t="shared" si="301"/>
        <v>NA</v>
      </c>
    </row>
    <row r="397" spans="2:58" ht="15" customHeight="1" x14ac:dyDescent="0.45">
      <c r="B397" s="52" t="s">
        <v>152</v>
      </c>
      <c r="C397" s="54" t="s">
        <v>150</v>
      </c>
      <c r="D397" s="54" t="s">
        <v>150</v>
      </c>
      <c r="E397" s="54" t="s">
        <v>150</v>
      </c>
      <c r="F397" s="54" t="s">
        <v>150</v>
      </c>
      <c r="G397" s="54" t="s">
        <v>150</v>
      </c>
      <c r="H397" s="54" t="s">
        <v>150</v>
      </c>
      <c r="L397" s="52" t="s">
        <v>152</v>
      </c>
      <c r="M397" s="54" t="str">
        <f t="shared" si="290"/>
        <v>NA</v>
      </c>
      <c r="N397" s="54" t="str">
        <f t="shared" si="291"/>
        <v>NA</v>
      </c>
      <c r="O397" s="54" t="str">
        <f t="shared" si="292"/>
        <v>NA</v>
      </c>
      <c r="P397" s="54" t="str">
        <f t="shared" si="293"/>
        <v>NA</v>
      </c>
      <c r="Q397" s="54" t="str">
        <f t="shared" si="294"/>
        <v>NA</v>
      </c>
      <c r="R397" s="54" t="str">
        <f t="shared" si="295"/>
        <v>NA</v>
      </c>
      <c r="S397" s="68"/>
      <c r="T397" s="69"/>
      <c r="V397" s="52" t="str">
        <f t="shared" si="281"/>
        <v>FICO 660-699</v>
      </c>
      <c r="W397" s="54" t="s">
        <v>150</v>
      </c>
      <c r="X397" s="54" t="s">
        <v>150</v>
      </c>
      <c r="Y397" s="54" t="s">
        <v>150</v>
      </c>
      <c r="Z397" s="54" t="s">
        <v>150</v>
      </c>
      <c r="AA397" s="54" t="s">
        <v>150</v>
      </c>
      <c r="AB397" s="54" t="s">
        <v>150</v>
      </c>
      <c r="AF397" s="52" t="str">
        <f t="shared" si="282"/>
        <v>FICO 660-699</v>
      </c>
      <c r="AG397" s="54" t="str">
        <f t="shared" si="280"/>
        <v>NA</v>
      </c>
      <c r="AH397" s="54" t="str">
        <f t="shared" si="283"/>
        <v>NA</v>
      </c>
      <c r="AI397" s="54" t="str">
        <f t="shared" si="284"/>
        <v>NA</v>
      </c>
      <c r="AJ397" s="54" t="str">
        <f t="shared" si="285"/>
        <v>NA</v>
      </c>
      <c r="AK397" s="54" t="str">
        <f t="shared" si="286"/>
        <v>NA</v>
      </c>
      <c r="AL397" s="54" t="str">
        <f t="shared" si="287"/>
        <v>NA</v>
      </c>
      <c r="AM397" s="68"/>
      <c r="AN397" s="69"/>
      <c r="AP397" s="52" t="str">
        <f t="shared" si="288"/>
        <v>FICO 660-699</v>
      </c>
      <c r="AQ397" s="54" t="s">
        <v>150</v>
      </c>
      <c r="AR397" s="54" t="s">
        <v>150</v>
      </c>
      <c r="AS397" s="54" t="s">
        <v>150</v>
      </c>
      <c r="AT397" s="54" t="s">
        <v>150</v>
      </c>
      <c r="AU397" s="54" t="s">
        <v>150</v>
      </c>
      <c r="AV397" s="54" t="s">
        <v>150</v>
      </c>
      <c r="AZ397" s="52" t="str">
        <f t="shared" si="289"/>
        <v>FICO 660-699</v>
      </c>
      <c r="BA397" s="54" t="str">
        <f t="shared" si="296"/>
        <v>NA</v>
      </c>
      <c r="BB397" s="54" t="str">
        <f t="shared" si="297"/>
        <v>NA</v>
      </c>
      <c r="BC397" s="54" t="str">
        <f t="shared" si="298"/>
        <v>NA</v>
      </c>
      <c r="BD397" s="54" t="str">
        <f t="shared" si="299"/>
        <v>NA</v>
      </c>
      <c r="BE397" s="54" t="str">
        <f t="shared" si="300"/>
        <v>NA</v>
      </c>
      <c r="BF397" s="54" t="str">
        <f t="shared" si="301"/>
        <v>NA</v>
      </c>
    </row>
    <row r="398" spans="2:58" ht="15" customHeight="1" x14ac:dyDescent="0.45">
      <c r="B398" s="57" t="s">
        <v>153</v>
      </c>
      <c r="C398" s="59" t="s">
        <v>150</v>
      </c>
      <c r="D398" s="59" t="s">
        <v>150</v>
      </c>
      <c r="E398" s="59" t="s">
        <v>150</v>
      </c>
      <c r="F398" s="59" t="s">
        <v>150</v>
      </c>
      <c r="G398" s="59" t="s">
        <v>150</v>
      </c>
      <c r="H398" s="59" t="s">
        <v>150</v>
      </c>
      <c r="L398" s="57" t="s">
        <v>153</v>
      </c>
      <c r="M398" s="59" t="str">
        <f t="shared" si="290"/>
        <v>NA</v>
      </c>
      <c r="N398" s="59" t="str">
        <f t="shared" si="291"/>
        <v>NA</v>
      </c>
      <c r="O398" s="59" t="str">
        <f t="shared" si="292"/>
        <v>NA</v>
      </c>
      <c r="P398" s="59" t="str">
        <f t="shared" si="293"/>
        <v>NA</v>
      </c>
      <c r="Q398" s="59" t="str">
        <f t="shared" si="294"/>
        <v>NA</v>
      </c>
      <c r="R398" s="59" t="str">
        <f t="shared" si="295"/>
        <v>NA</v>
      </c>
      <c r="S398" s="68"/>
      <c r="T398" s="69"/>
      <c r="V398" s="57" t="str">
        <f t="shared" si="281"/>
        <v>FICO 640-659</v>
      </c>
      <c r="W398" s="59" t="s">
        <v>150</v>
      </c>
      <c r="X398" s="59" t="s">
        <v>150</v>
      </c>
      <c r="Y398" s="59" t="s">
        <v>150</v>
      </c>
      <c r="Z398" s="59" t="s">
        <v>150</v>
      </c>
      <c r="AA398" s="59" t="s">
        <v>150</v>
      </c>
      <c r="AB398" s="59" t="s">
        <v>150</v>
      </c>
      <c r="AF398" s="57" t="str">
        <f t="shared" si="282"/>
        <v>FICO 640-659</v>
      </c>
      <c r="AG398" s="59" t="str">
        <f t="shared" si="280"/>
        <v>NA</v>
      </c>
      <c r="AH398" s="59" t="str">
        <f t="shared" si="283"/>
        <v>NA</v>
      </c>
      <c r="AI398" s="59" t="str">
        <f t="shared" si="284"/>
        <v>NA</v>
      </c>
      <c r="AJ398" s="59" t="str">
        <f t="shared" si="285"/>
        <v>NA</v>
      </c>
      <c r="AK398" s="59" t="str">
        <f t="shared" si="286"/>
        <v>NA</v>
      </c>
      <c r="AL398" s="59" t="str">
        <f t="shared" si="287"/>
        <v>NA</v>
      </c>
      <c r="AM398" s="68"/>
      <c r="AN398" s="69"/>
      <c r="AP398" s="57" t="str">
        <f t="shared" si="288"/>
        <v>FICO 640-659</v>
      </c>
      <c r="AQ398" s="59" t="s">
        <v>150</v>
      </c>
      <c r="AR398" s="59" t="s">
        <v>150</v>
      </c>
      <c r="AS398" s="59" t="s">
        <v>150</v>
      </c>
      <c r="AT398" s="59" t="s">
        <v>150</v>
      </c>
      <c r="AU398" s="59" t="s">
        <v>150</v>
      </c>
      <c r="AV398" s="59" t="s">
        <v>150</v>
      </c>
      <c r="AZ398" s="57" t="str">
        <f t="shared" si="289"/>
        <v>FICO 640-659</v>
      </c>
      <c r="BA398" s="59" t="str">
        <f t="shared" si="296"/>
        <v>NA</v>
      </c>
      <c r="BB398" s="59" t="str">
        <f t="shared" si="297"/>
        <v>NA</v>
      </c>
      <c r="BC398" s="59" t="str">
        <f t="shared" si="298"/>
        <v>NA</v>
      </c>
      <c r="BD398" s="59" t="str">
        <f t="shared" si="299"/>
        <v>NA</v>
      </c>
      <c r="BE398" s="59" t="str">
        <f t="shared" si="300"/>
        <v>NA</v>
      </c>
      <c r="BF398" s="59" t="str">
        <f t="shared" si="301"/>
        <v>NA</v>
      </c>
    </row>
    <row r="399" spans="2:58" ht="15" customHeight="1" x14ac:dyDescent="0.45">
      <c r="B399" s="60" t="s">
        <v>154</v>
      </c>
      <c r="C399" s="48">
        <f>C403+0.25%</f>
        <v>8.8749999999999996E-2</v>
      </c>
      <c r="D399" s="48">
        <f>C399+0.25%</f>
        <v>9.1249999999999998E-2</v>
      </c>
      <c r="E399" s="49" t="s">
        <v>150</v>
      </c>
      <c r="F399" s="49" t="s">
        <v>150</v>
      </c>
      <c r="G399" s="49" t="s">
        <v>150</v>
      </c>
      <c r="H399" s="49" t="s">
        <v>150</v>
      </c>
      <c r="L399" s="60" t="s">
        <v>154</v>
      </c>
      <c r="M399" s="48">
        <f t="shared" si="290"/>
        <v>8.8749999999999996E-2</v>
      </c>
      <c r="N399" s="48">
        <f t="shared" si="291"/>
        <v>9.1249999999999998E-2</v>
      </c>
      <c r="O399" s="49" t="str">
        <f t="shared" si="292"/>
        <v>NA</v>
      </c>
      <c r="P399" s="49" t="str">
        <f t="shared" si="293"/>
        <v>NA</v>
      </c>
      <c r="Q399" s="49" t="str">
        <f t="shared" si="294"/>
        <v>NA</v>
      </c>
      <c r="R399" s="49" t="str">
        <f t="shared" si="295"/>
        <v>NA</v>
      </c>
      <c r="S399" s="66"/>
      <c r="T399" s="67"/>
      <c r="V399" s="60" t="str">
        <f t="shared" si="281"/>
        <v>65.00%-70.00%</v>
      </c>
      <c r="W399" s="48">
        <f>W403+0.25%</f>
        <v>0.09</v>
      </c>
      <c r="X399" s="48">
        <f>W399+0.25%</f>
        <v>9.2499999999999999E-2</v>
      </c>
      <c r="Y399" s="49" t="s">
        <v>150</v>
      </c>
      <c r="Z399" s="49" t="s">
        <v>150</v>
      </c>
      <c r="AA399" s="49" t="s">
        <v>150</v>
      </c>
      <c r="AB399" s="49" t="s">
        <v>150</v>
      </c>
      <c r="AF399" s="60" t="str">
        <f t="shared" si="282"/>
        <v>65.00%-70.00%</v>
      </c>
      <c r="AG399" s="48">
        <f t="shared" si="280"/>
        <v>0.09</v>
      </c>
      <c r="AH399" s="48">
        <f t="shared" si="283"/>
        <v>9.2499999999999999E-2</v>
      </c>
      <c r="AI399" s="49" t="str">
        <f t="shared" si="284"/>
        <v>NA</v>
      </c>
      <c r="AJ399" s="49" t="str">
        <f t="shared" si="285"/>
        <v>NA</v>
      </c>
      <c r="AK399" s="49" t="str">
        <f t="shared" si="286"/>
        <v>NA</v>
      </c>
      <c r="AL399" s="49" t="str">
        <f t="shared" si="287"/>
        <v>NA</v>
      </c>
      <c r="AM399" s="66"/>
      <c r="AN399" s="67"/>
      <c r="AP399" s="60" t="str">
        <f t="shared" si="288"/>
        <v>65.00%-70.00%</v>
      </c>
      <c r="AQ399" s="48">
        <f>AQ403+0.25%</f>
        <v>9.1249999999999998E-2</v>
      </c>
      <c r="AR399" s="48">
        <f>AQ399+0.25%</f>
        <v>9.375E-2</v>
      </c>
      <c r="AS399" s="49" t="s">
        <v>150</v>
      </c>
      <c r="AT399" s="49" t="s">
        <v>150</v>
      </c>
      <c r="AU399" s="49" t="s">
        <v>150</v>
      </c>
      <c r="AV399" s="49" t="s">
        <v>150</v>
      </c>
      <c r="AZ399" s="60" t="str">
        <f t="shared" si="289"/>
        <v>65.00%-70.00%</v>
      </c>
      <c r="BA399" s="48">
        <f t="shared" si="296"/>
        <v>9.1249999999999998E-2</v>
      </c>
      <c r="BB399" s="48">
        <f t="shared" si="297"/>
        <v>9.375E-2</v>
      </c>
      <c r="BC399" s="49" t="str">
        <f t="shared" si="298"/>
        <v>NA</v>
      </c>
      <c r="BD399" s="49" t="str">
        <f t="shared" si="299"/>
        <v>NA</v>
      </c>
      <c r="BE399" s="49" t="str">
        <f t="shared" si="300"/>
        <v>NA</v>
      </c>
      <c r="BF399" s="49" t="str">
        <f t="shared" si="301"/>
        <v>NA</v>
      </c>
    </row>
    <row r="400" spans="2:58" ht="15" customHeight="1" x14ac:dyDescent="0.45">
      <c r="B400" s="52" t="s">
        <v>151</v>
      </c>
      <c r="C400" s="53">
        <f>C399+0</f>
        <v>8.8749999999999996E-2</v>
      </c>
      <c r="D400" s="53">
        <f>D399+0</f>
        <v>9.1249999999999998E-2</v>
      </c>
      <c r="E400" s="54" t="s">
        <v>150</v>
      </c>
      <c r="F400" s="54" t="s">
        <v>150</v>
      </c>
      <c r="G400" s="54" t="s">
        <v>150</v>
      </c>
      <c r="H400" s="54" t="s">
        <v>150</v>
      </c>
      <c r="L400" s="52" t="s">
        <v>151</v>
      </c>
      <c r="M400" s="53">
        <f t="shared" si="290"/>
        <v>8.8749999999999996E-2</v>
      </c>
      <c r="N400" s="53">
        <f t="shared" si="291"/>
        <v>9.1249999999999998E-2</v>
      </c>
      <c r="O400" s="54" t="str">
        <f t="shared" si="292"/>
        <v>NA</v>
      </c>
      <c r="P400" s="54" t="str">
        <f t="shared" si="293"/>
        <v>NA</v>
      </c>
      <c r="Q400" s="54" t="str">
        <f t="shared" si="294"/>
        <v>NA</v>
      </c>
      <c r="R400" s="54" t="str">
        <f t="shared" si="295"/>
        <v>NA</v>
      </c>
      <c r="S400" s="68"/>
      <c r="T400" s="69"/>
      <c r="V400" s="52" t="str">
        <f t="shared" si="281"/>
        <v>FICO 700+</v>
      </c>
      <c r="W400" s="53">
        <f>W399+0</f>
        <v>0.09</v>
      </c>
      <c r="X400" s="53">
        <f>X399+0</f>
        <v>9.2499999999999999E-2</v>
      </c>
      <c r="Y400" s="54" t="s">
        <v>150</v>
      </c>
      <c r="Z400" s="54" t="s">
        <v>150</v>
      </c>
      <c r="AA400" s="54" t="s">
        <v>150</v>
      </c>
      <c r="AB400" s="54" t="s">
        <v>150</v>
      </c>
      <c r="AF400" s="52" t="str">
        <f t="shared" si="282"/>
        <v>FICO 700+</v>
      </c>
      <c r="AG400" s="53">
        <f t="shared" si="280"/>
        <v>0.09</v>
      </c>
      <c r="AH400" s="53">
        <f t="shared" si="283"/>
        <v>9.2499999999999999E-2</v>
      </c>
      <c r="AI400" s="54" t="str">
        <f t="shared" si="284"/>
        <v>NA</v>
      </c>
      <c r="AJ400" s="54" t="str">
        <f t="shared" si="285"/>
        <v>NA</v>
      </c>
      <c r="AK400" s="54" t="str">
        <f t="shared" si="286"/>
        <v>NA</v>
      </c>
      <c r="AL400" s="54" t="str">
        <f t="shared" si="287"/>
        <v>NA</v>
      </c>
      <c r="AM400" s="68"/>
      <c r="AN400" s="69"/>
      <c r="AP400" s="52" t="str">
        <f t="shared" si="288"/>
        <v>FICO 700+</v>
      </c>
      <c r="AQ400" s="53">
        <f>AQ399+0</f>
        <v>9.1249999999999998E-2</v>
      </c>
      <c r="AR400" s="53">
        <f>AR399+0</f>
        <v>9.375E-2</v>
      </c>
      <c r="AS400" s="54" t="s">
        <v>150</v>
      </c>
      <c r="AT400" s="54" t="s">
        <v>150</v>
      </c>
      <c r="AU400" s="54" t="s">
        <v>150</v>
      </c>
      <c r="AV400" s="54" t="s">
        <v>150</v>
      </c>
      <c r="AZ400" s="52" t="str">
        <f t="shared" si="289"/>
        <v>FICO 700+</v>
      </c>
      <c r="BA400" s="53">
        <f t="shared" si="296"/>
        <v>9.1249999999999998E-2</v>
      </c>
      <c r="BB400" s="53">
        <f t="shared" si="297"/>
        <v>9.375E-2</v>
      </c>
      <c r="BC400" s="54" t="str">
        <f t="shared" si="298"/>
        <v>NA</v>
      </c>
      <c r="BD400" s="54" t="str">
        <f t="shared" si="299"/>
        <v>NA</v>
      </c>
      <c r="BE400" s="54" t="str">
        <f t="shared" si="300"/>
        <v>NA</v>
      </c>
      <c r="BF400" s="54" t="str">
        <f t="shared" si="301"/>
        <v>NA</v>
      </c>
    </row>
    <row r="401" spans="2:58" ht="15" customHeight="1" x14ac:dyDescent="0.45">
      <c r="B401" s="52" t="s">
        <v>152</v>
      </c>
      <c r="C401" s="54" t="s">
        <v>150</v>
      </c>
      <c r="D401" s="54" t="s">
        <v>150</v>
      </c>
      <c r="E401" s="54" t="s">
        <v>150</v>
      </c>
      <c r="F401" s="54" t="s">
        <v>150</v>
      </c>
      <c r="G401" s="54" t="s">
        <v>150</v>
      </c>
      <c r="H401" s="54" t="s">
        <v>150</v>
      </c>
      <c r="L401" s="52" t="s">
        <v>152</v>
      </c>
      <c r="M401" s="54" t="str">
        <f t="shared" si="290"/>
        <v>NA</v>
      </c>
      <c r="N401" s="54" t="str">
        <f t="shared" si="291"/>
        <v>NA</v>
      </c>
      <c r="O401" s="54" t="str">
        <f t="shared" si="292"/>
        <v>NA</v>
      </c>
      <c r="P401" s="54" t="str">
        <f t="shared" si="293"/>
        <v>NA</v>
      </c>
      <c r="Q401" s="54" t="str">
        <f t="shared" si="294"/>
        <v>NA</v>
      </c>
      <c r="R401" s="54" t="str">
        <f t="shared" si="295"/>
        <v>NA</v>
      </c>
      <c r="S401" s="68"/>
      <c r="T401" s="69"/>
      <c r="V401" s="52" t="str">
        <f t="shared" si="281"/>
        <v>FICO 660-699</v>
      </c>
      <c r="W401" s="54" t="s">
        <v>150</v>
      </c>
      <c r="X401" s="54" t="s">
        <v>150</v>
      </c>
      <c r="Y401" s="54" t="s">
        <v>150</v>
      </c>
      <c r="Z401" s="54" t="s">
        <v>150</v>
      </c>
      <c r="AA401" s="54" t="s">
        <v>150</v>
      </c>
      <c r="AB401" s="54" t="s">
        <v>150</v>
      </c>
      <c r="AF401" s="52" t="str">
        <f t="shared" si="282"/>
        <v>FICO 660-699</v>
      </c>
      <c r="AG401" s="54" t="str">
        <f t="shared" si="280"/>
        <v>NA</v>
      </c>
      <c r="AH401" s="54" t="str">
        <f t="shared" si="283"/>
        <v>NA</v>
      </c>
      <c r="AI401" s="54" t="str">
        <f t="shared" si="284"/>
        <v>NA</v>
      </c>
      <c r="AJ401" s="54" t="str">
        <f t="shared" si="285"/>
        <v>NA</v>
      </c>
      <c r="AK401" s="54" t="str">
        <f t="shared" si="286"/>
        <v>NA</v>
      </c>
      <c r="AL401" s="54" t="str">
        <f t="shared" si="287"/>
        <v>NA</v>
      </c>
      <c r="AM401" s="68"/>
      <c r="AN401" s="69"/>
      <c r="AP401" s="52" t="str">
        <f t="shared" si="288"/>
        <v>FICO 660-699</v>
      </c>
      <c r="AQ401" s="54" t="s">
        <v>150</v>
      </c>
      <c r="AR401" s="54" t="s">
        <v>150</v>
      </c>
      <c r="AS401" s="54" t="s">
        <v>150</v>
      </c>
      <c r="AT401" s="54" t="s">
        <v>150</v>
      </c>
      <c r="AU401" s="54" t="s">
        <v>150</v>
      </c>
      <c r="AV401" s="54" t="s">
        <v>150</v>
      </c>
      <c r="AZ401" s="52" t="str">
        <f t="shared" si="289"/>
        <v>FICO 660-699</v>
      </c>
      <c r="BA401" s="54" t="str">
        <f t="shared" si="296"/>
        <v>NA</v>
      </c>
      <c r="BB401" s="54" t="str">
        <f t="shared" si="297"/>
        <v>NA</v>
      </c>
      <c r="BC401" s="54" t="str">
        <f t="shared" si="298"/>
        <v>NA</v>
      </c>
      <c r="BD401" s="54" t="str">
        <f t="shared" si="299"/>
        <v>NA</v>
      </c>
      <c r="BE401" s="54" t="str">
        <f t="shared" si="300"/>
        <v>NA</v>
      </c>
      <c r="BF401" s="54" t="str">
        <f t="shared" si="301"/>
        <v>NA</v>
      </c>
    </row>
    <row r="402" spans="2:58" ht="15" customHeight="1" x14ac:dyDescent="0.45">
      <c r="B402" s="57" t="s">
        <v>153</v>
      </c>
      <c r="C402" s="59" t="s">
        <v>150</v>
      </c>
      <c r="D402" s="59" t="s">
        <v>150</v>
      </c>
      <c r="E402" s="59" t="s">
        <v>150</v>
      </c>
      <c r="F402" s="59" t="s">
        <v>150</v>
      </c>
      <c r="G402" s="59" t="s">
        <v>150</v>
      </c>
      <c r="H402" s="59" t="s">
        <v>150</v>
      </c>
      <c r="L402" s="57" t="s">
        <v>153</v>
      </c>
      <c r="M402" s="59" t="str">
        <f t="shared" si="290"/>
        <v>NA</v>
      </c>
      <c r="N402" s="59" t="str">
        <f t="shared" si="291"/>
        <v>NA</v>
      </c>
      <c r="O402" s="59" t="str">
        <f t="shared" si="292"/>
        <v>NA</v>
      </c>
      <c r="P402" s="59" t="str">
        <f t="shared" si="293"/>
        <v>NA</v>
      </c>
      <c r="Q402" s="59" t="str">
        <f t="shared" si="294"/>
        <v>NA</v>
      </c>
      <c r="R402" s="59" t="str">
        <f t="shared" si="295"/>
        <v>NA</v>
      </c>
      <c r="S402" s="68"/>
      <c r="T402" s="69"/>
      <c r="V402" s="57" t="str">
        <f t="shared" si="281"/>
        <v>FICO 640-659</v>
      </c>
      <c r="W402" s="59" t="s">
        <v>150</v>
      </c>
      <c r="X402" s="59" t="s">
        <v>150</v>
      </c>
      <c r="Y402" s="59" t="s">
        <v>150</v>
      </c>
      <c r="Z402" s="59" t="s">
        <v>150</v>
      </c>
      <c r="AA402" s="59" t="s">
        <v>150</v>
      </c>
      <c r="AB402" s="59" t="s">
        <v>150</v>
      </c>
      <c r="AF402" s="57" t="str">
        <f t="shared" si="282"/>
        <v>FICO 640-659</v>
      </c>
      <c r="AG402" s="59" t="str">
        <f t="shared" si="280"/>
        <v>NA</v>
      </c>
      <c r="AH402" s="59" t="str">
        <f t="shared" si="283"/>
        <v>NA</v>
      </c>
      <c r="AI402" s="59" t="str">
        <f t="shared" si="284"/>
        <v>NA</v>
      </c>
      <c r="AJ402" s="59" t="str">
        <f t="shared" si="285"/>
        <v>NA</v>
      </c>
      <c r="AK402" s="59" t="str">
        <f t="shared" si="286"/>
        <v>NA</v>
      </c>
      <c r="AL402" s="59" t="str">
        <f t="shared" si="287"/>
        <v>NA</v>
      </c>
      <c r="AM402" s="68"/>
      <c r="AN402" s="69"/>
      <c r="AP402" s="57" t="str">
        <f t="shared" si="288"/>
        <v>FICO 640-659</v>
      </c>
      <c r="AQ402" s="59" t="s">
        <v>150</v>
      </c>
      <c r="AR402" s="59" t="s">
        <v>150</v>
      </c>
      <c r="AS402" s="59" t="s">
        <v>150</v>
      </c>
      <c r="AT402" s="59" t="s">
        <v>150</v>
      </c>
      <c r="AU402" s="59" t="s">
        <v>150</v>
      </c>
      <c r="AV402" s="59" t="s">
        <v>150</v>
      </c>
      <c r="AZ402" s="57" t="str">
        <f t="shared" si="289"/>
        <v>FICO 640-659</v>
      </c>
      <c r="BA402" s="59" t="str">
        <f t="shared" si="296"/>
        <v>NA</v>
      </c>
      <c r="BB402" s="59" t="str">
        <f t="shared" si="297"/>
        <v>NA</v>
      </c>
      <c r="BC402" s="59" t="str">
        <f t="shared" si="298"/>
        <v>NA</v>
      </c>
      <c r="BD402" s="59" t="str">
        <f t="shared" si="299"/>
        <v>NA</v>
      </c>
      <c r="BE402" s="59" t="str">
        <f t="shared" si="300"/>
        <v>NA</v>
      </c>
      <c r="BF402" s="59" t="str">
        <f t="shared" si="301"/>
        <v>NA</v>
      </c>
    </row>
    <row r="403" spans="2:58" ht="15" customHeight="1" x14ac:dyDescent="0.45">
      <c r="B403" s="46" t="s">
        <v>155</v>
      </c>
      <c r="C403" s="61">
        <v>8.6249999999999993E-2</v>
      </c>
      <c r="D403" s="48">
        <f>C403+0.25%</f>
        <v>8.8749999999999996E-2</v>
      </c>
      <c r="E403" s="49" t="s">
        <v>150</v>
      </c>
      <c r="F403" s="49" t="s">
        <v>150</v>
      </c>
      <c r="G403" s="49" t="s">
        <v>150</v>
      </c>
      <c r="H403" s="49" t="s">
        <v>150</v>
      </c>
      <c r="L403" s="60" t="s">
        <v>155</v>
      </c>
      <c r="M403" s="62">
        <f t="shared" si="290"/>
        <v>8.6249999999999993E-2</v>
      </c>
      <c r="N403" s="48">
        <f t="shared" si="291"/>
        <v>8.8749999999999996E-2</v>
      </c>
      <c r="O403" s="49" t="str">
        <f t="shared" si="292"/>
        <v>NA</v>
      </c>
      <c r="P403" s="49" t="str">
        <f t="shared" si="293"/>
        <v>NA</v>
      </c>
      <c r="Q403" s="49" t="str">
        <f t="shared" si="294"/>
        <v>NA</v>
      </c>
      <c r="R403" s="49" t="str">
        <f t="shared" si="295"/>
        <v>NA</v>
      </c>
      <c r="S403" s="66"/>
      <c r="T403" s="67"/>
      <c r="V403" s="60" t="str">
        <f t="shared" si="281"/>
        <v>&lt;64.99%</v>
      </c>
      <c r="W403" s="62">
        <f>C403+0.125%</f>
        <v>8.7499999999999994E-2</v>
      </c>
      <c r="X403" s="48">
        <f>W403+0.25%</f>
        <v>0.09</v>
      </c>
      <c r="Y403" s="49" t="s">
        <v>150</v>
      </c>
      <c r="Z403" s="49" t="s">
        <v>150</v>
      </c>
      <c r="AA403" s="49" t="s">
        <v>150</v>
      </c>
      <c r="AB403" s="49" t="s">
        <v>150</v>
      </c>
      <c r="AF403" s="60" t="str">
        <f t="shared" si="282"/>
        <v>&lt;64.99%</v>
      </c>
      <c r="AG403" s="62">
        <f t="shared" si="280"/>
        <v>8.7499999999999994E-2</v>
      </c>
      <c r="AH403" s="48">
        <f t="shared" si="283"/>
        <v>0.09</v>
      </c>
      <c r="AI403" s="49" t="str">
        <f t="shared" si="284"/>
        <v>NA</v>
      </c>
      <c r="AJ403" s="49" t="str">
        <f t="shared" si="285"/>
        <v>NA</v>
      </c>
      <c r="AK403" s="49" t="str">
        <f t="shared" si="286"/>
        <v>NA</v>
      </c>
      <c r="AL403" s="49" t="str">
        <f t="shared" si="287"/>
        <v>NA</v>
      </c>
      <c r="AM403" s="66"/>
      <c r="AN403" s="67"/>
      <c r="AP403" s="60" t="str">
        <f t="shared" si="288"/>
        <v>&lt;64.99%</v>
      </c>
      <c r="AQ403" s="62">
        <f>W403+0.125%</f>
        <v>8.8749999999999996E-2</v>
      </c>
      <c r="AR403" s="48">
        <f>AQ403+0.25%</f>
        <v>9.1249999999999998E-2</v>
      </c>
      <c r="AS403" s="49" t="s">
        <v>150</v>
      </c>
      <c r="AT403" s="49" t="s">
        <v>150</v>
      </c>
      <c r="AU403" s="49" t="s">
        <v>150</v>
      </c>
      <c r="AV403" s="49" t="s">
        <v>150</v>
      </c>
      <c r="AZ403" s="60" t="str">
        <f t="shared" si="289"/>
        <v>&lt;64.99%</v>
      </c>
      <c r="BA403" s="62">
        <f t="shared" si="296"/>
        <v>8.8749999999999996E-2</v>
      </c>
      <c r="BB403" s="48">
        <f t="shared" si="297"/>
        <v>9.1249999999999998E-2</v>
      </c>
      <c r="BC403" s="49" t="str">
        <f t="shared" si="298"/>
        <v>NA</v>
      </c>
      <c r="BD403" s="49" t="str">
        <f t="shared" si="299"/>
        <v>NA</v>
      </c>
      <c r="BE403" s="49" t="str">
        <f t="shared" si="300"/>
        <v>NA</v>
      </c>
      <c r="BF403" s="49" t="str">
        <f t="shared" si="301"/>
        <v>NA</v>
      </c>
    </row>
    <row r="404" spans="2:58" ht="15" customHeight="1" x14ac:dyDescent="0.45">
      <c r="B404" s="52" t="s">
        <v>151</v>
      </c>
      <c r="C404" s="53">
        <f>C403+0</f>
        <v>8.6249999999999993E-2</v>
      </c>
      <c r="D404" s="53">
        <f>D403+0</f>
        <v>8.8749999999999996E-2</v>
      </c>
      <c r="E404" s="54" t="s">
        <v>150</v>
      </c>
      <c r="F404" s="54" t="s">
        <v>150</v>
      </c>
      <c r="G404" s="54" t="s">
        <v>150</v>
      </c>
      <c r="H404" s="54" t="s">
        <v>150</v>
      </c>
      <c r="L404" s="52" t="s">
        <v>151</v>
      </c>
      <c r="M404" s="53">
        <f t="shared" si="290"/>
        <v>8.6249999999999993E-2</v>
      </c>
      <c r="N404" s="53">
        <f t="shared" si="291"/>
        <v>8.8749999999999996E-2</v>
      </c>
      <c r="O404" s="54" t="str">
        <f t="shared" si="292"/>
        <v>NA</v>
      </c>
      <c r="P404" s="54" t="str">
        <f t="shared" si="293"/>
        <v>NA</v>
      </c>
      <c r="Q404" s="54" t="str">
        <f t="shared" si="294"/>
        <v>NA</v>
      </c>
      <c r="R404" s="54" t="str">
        <f t="shared" si="295"/>
        <v>NA</v>
      </c>
      <c r="S404" s="68"/>
      <c r="T404" s="69"/>
      <c r="V404" s="52" t="str">
        <f t="shared" si="281"/>
        <v>FICO 700+</v>
      </c>
      <c r="W404" s="53">
        <f>W403+0</f>
        <v>8.7499999999999994E-2</v>
      </c>
      <c r="X404" s="53">
        <f>X403+0</f>
        <v>0.09</v>
      </c>
      <c r="Y404" s="54" t="s">
        <v>150</v>
      </c>
      <c r="Z404" s="54" t="s">
        <v>150</v>
      </c>
      <c r="AA404" s="54" t="s">
        <v>150</v>
      </c>
      <c r="AB404" s="54" t="s">
        <v>150</v>
      </c>
      <c r="AF404" s="52" t="str">
        <f t="shared" si="282"/>
        <v>FICO 700+</v>
      </c>
      <c r="AG404" s="53">
        <f t="shared" si="280"/>
        <v>8.7499999999999994E-2</v>
      </c>
      <c r="AH404" s="53">
        <f t="shared" si="283"/>
        <v>0.09</v>
      </c>
      <c r="AI404" s="54" t="str">
        <f t="shared" si="284"/>
        <v>NA</v>
      </c>
      <c r="AJ404" s="54" t="str">
        <f t="shared" si="285"/>
        <v>NA</v>
      </c>
      <c r="AK404" s="54" t="str">
        <f t="shared" si="286"/>
        <v>NA</v>
      </c>
      <c r="AL404" s="54" t="str">
        <f t="shared" si="287"/>
        <v>NA</v>
      </c>
      <c r="AM404" s="68"/>
      <c r="AN404" s="69"/>
      <c r="AP404" s="52" t="str">
        <f t="shared" si="288"/>
        <v>FICO 700+</v>
      </c>
      <c r="AQ404" s="53">
        <f>AQ403+0</f>
        <v>8.8749999999999996E-2</v>
      </c>
      <c r="AR404" s="53">
        <f>AR403+0</f>
        <v>9.1249999999999998E-2</v>
      </c>
      <c r="AS404" s="54" t="s">
        <v>150</v>
      </c>
      <c r="AT404" s="54" t="s">
        <v>150</v>
      </c>
      <c r="AU404" s="54" t="s">
        <v>150</v>
      </c>
      <c r="AV404" s="54" t="s">
        <v>150</v>
      </c>
      <c r="AZ404" s="52" t="str">
        <f t="shared" si="289"/>
        <v>FICO 700+</v>
      </c>
      <c r="BA404" s="53">
        <f t="shared" si="296"/>
        <v>8.8749999999999996E-2</v>
      </c>
      <c r="BB404" s="53">
        <f t="shared" si="297"/>
        <v>9.1249999999999998E-2</v>
      </c>
      <c r="BC404" s="54" t="str">
        <f t="shared" si="298"/>
        <v>NA</v>
      </c>
      <c r="BD404" s="54" t="str">
        <f t="shared" si="299"/>
        <v>NA</v>
      </c>
      <c r="BE404" s="54" t="str">
        <f t="shared" si="300"/>
        <v>NA</v>
      </c>
      <c r="BF404" s="54" t="str">
        <f t="shared" si="301"/>
        <v>NA</v>
      </c>
    </row>
    <row r="405" spans="2:58" ht="15" customHeight="1" x14ac:dyDescent="0.45">
      <c r="B405" s="52" t="s">
        <v>152</v>
      </c>
      <c r="C405" s="54" t="s">
        <v>150</v>
      </c>
      <c r="D405" s="54" t="s">
        <v>150</v>
      </c>
      <c r="E405" s="54" t="s">
        <v>150</v>
      </c>
      <c r="F405" s="54" t="s">
        <v>150</v>
      </c>
      <c r="G405" s="54" t="s">
        <v>150</v>
      </c>
      <c r="H405" s="54" t="s">
        <v>150</v>
      </c>
      <c r="L405" s="52" t="s">
        <v>152</v>
      </c>
      <c r="M405" s="54" t="str">
        <f t="shared" si="290"/>
        <v>NA</v>
      </c>
      <c r="N405" s="54" t="str">
        <f t="shared" si="291"/>
        <v>NA</v>
      </c>
      <c r="O405" s="54" t="str">
        <f t="shared" si="292"/>
        <v>NA</v>
      </c>
      <c r="P405" s="54" t="str">
        <f t="shared" si="293"/>
        <v>NA</v>
      </c>
      <c r="Q405" s="54" t="str">
        <f t="shared" si="294"/>
        <v>NA</v>
      </c>
      <c r="R405" s="54" t="str">
        <f t="shared" si="295"/>
        <v>NA</v>
      </c>
      <c r="S405" s="68"/>
      <c r="T405" s="69"/>
      <c r="V405" s="52" t="str">
        <f t="shared" si="281"/>
        <v>FICO 660-699</v>
      </c>
      <c r="W405" s="54" t="s">
        <v>150</v>
      </c>
      <c r="X405" s="54" t="s">
        <v>150</v>
      </c>
      <c r="Y405" s="54" t="s">
        <v>150</v>
      </c>
      <c r="Z405" s="54" t="s">
        <v>150</v>
      </c>
      <c r="AA405" s="54" t="s">
        <v>150</v>
      </c>
      <c r="AB405" s="54" t="s">
        <v>150</v>
      </c>
      <c r="AF405" s="52" t="str">
        <f t="shared" si="282"/>
        <v>FICO 660-699</v>
      </c>
      <c r="AG405" s="54" t="str">
        <f t="shared" si="280"/>
        <v>NA</v>
      </c>
      <c r="AH405" s="54" t="str">
        <f t="shared" si="283"/>
        <v>NA</v>
      </c>
      <c r="AI405" s="54" t="str">
        <f t="shared" si="284"/>
        <v>NA</v>
      </c>
      <c r="AJ405" s="54" t="str">
        <f t="shared" si="285"/>
        <v>NA</v>
      </c>
      <c r="AK405" s="54" t="str">
        <f t="shared" si="286"/>
        <v>NA</v>
      </c>
      <c r="AL405" s="54" t="str">
        <f t="shared" si="287"/>
        <v>NA</v>
      </c>
      <c r="AM405" s="68"/>
      <c r="AN405" s="69"/>
      <c r="AP405" s="52" t="str">
        <f t="shared" si="288"/>
        <v>FICO 660-699</v>
      </c>
      <c r="AQ405" s="54" t="s">
        <v>150</v>
      </c>
      <c r="AR405" s="54" t="s">
        <v>150</v>
      </c>
      <c r="AS405" s="54" t="s">
        <v>150</v>
      </c>
      <c r="AT405" s="54" t="s">
        <v>150</v>
      </c>
      <c r="AU405" s="54" t="s">
        <v>150</v>
      </c>
      <c r="AV405" s="54" t="s">
        <v>150</v>
      </c>
      <c r="AZ405" s="52" t="str">
        <f t="shared" si="289"/>
        <v>FICO 660-699</v>
      </c>
      <c r="BA405" s="54" t="str">
        <f t="shared" si="296"/>
        <v>NA</v>
      </c>
      <c r="BB405" s="54" t="str">
        <f t="shared" si="297"/>
        <v>NA</v>
      </c>
      <c r="BC405" s="54" t="str">
        <f t="shared" si="298"/>
        <v>NA</v>
      </c>
      <c r="BD405" s="54" t="str">
        <f t="shared" si="299"/>
        <v>NA</v>
      </c>
      <c r="BE405" s="54" t="str">
        <f t="shared" si="300"/>
        <v>NA</v>
      </c>
      <c r="BF405" s="54" t="str">
        <f t="shared" si="301"/>
        <v>NA</v>
      </c>
    </row>
    <row r="406" spans="2:58" ht="15" customHeight="1" x14ac:dyDescent="0.45">
      <c r="B406" s="52" t="s">
        <v>153</v>
      </c>
      <c r="C406" s="54" t="s">
        <v>150</v>
      </c>
      <c r="D406" s="54" t="s">
        <v>150</v>
      </c>
      <c r="E406" s="54" t="s">
        <v>150</v>
      </c>
      <c r="F406" s="54" t="s">
        <v>150</v>
      </c>
      <c r="G406" s="54" t="s">
        <v>150</v>
      </c>
      <c r="H406" s="54" t="s">
        <v>150</v>
      </c>
      <c r="L406" s="52" t="s">
        <v>153</v>
      </c>
      <c r="M406" s="54" t="str">
        <f t="shared" si="290"/>
        <v>NA</v>
      </c>
      <c r="N406" s="54" t="str">
        <f t="shared" si="291"/>
        <v>NA</v>
      </c>
      <c r="O406" s="54" t="str">
        <f t="shared" si="292"/>
        <v>NA</v>
      </c>
      <c r="P406" s="54" t="str">
        <f t="shared" si="293"/>
        <v>NA</v>
      </c>
      <c r="Q406" s="54" t="str">
        <f t="shared" si="294"/>
        <v>NA</v>
      </c>
      <c r="R406" s="54" t="str">
        <f t="shared" si="295"/>
        <v>NA</v>
      </c>
      <c r="S406" s="68"/>
      <c r="T406" s="69"/>
      <c r="V406" s="52" t="str">
        <f t="shared" si="281"/>
        <v>FICO 640-659</v>
      </c>
      <c r="W406" s="54" t="s">
        <v>150</v>
      </c>
      <c r="X406" s="54" t="s">
        <v>150</v>
      </c>
      <c r="Y406" s="54" t="s">
        <v>150</v>
      </c>
      <c r="Z406" s="54" t="s">
        <v>150</v>
      </c>
      <c r="AA406" s="54" t="s">
        <v>150</v>
      </c>
      <c r="AB406" s="54" t="s">
        <v>150</v>
      </c>
      <c r="AF406" s="52" t="str">
        <f t="shared" si="282"/>
        <v>FICO 640-659</v>
      </c>
      <c r="AG406" s="54" t="str">
        <f t="shared" si="280"/>
        <v>NA</v>
      </c>
      <c r="AH406" s="54" t="str">
        <f t="shared" si="283"/>
        <v>NA</v>
      </c>
      <c r="AI406" s="54" t="str">
        <f t="shared" si="284"/>
        <v>NA</v>
      </c>
      <c r="AJ406" s="54" t="str">
        <f t="shared" si="285"/>
        <v>NA</v>
      </c>
      <c r="AK406" s="54" t="str">
        <f t="shared" si="286"/>
        <v>NA</v>
      </c>
      <c r="AL406" s="54" t="str">
        <f t="shared" si="287"/>
        <v>NA</v>
      </c>
      <c r="AM406" s="68"/>
      <c r="AN406" s="69"/>
      <c r="AP406" s="52" t="str">
        <f t="shared" si="288"/>
        <v>FICO 640-659</v>
      </c>
      <c r="AQ406" s="54" t="s">
        <v>150</v>
      </c>
      <c r="AR406" s="54" t="s">
        <v>150</v>
      </c>
      <c r="AS406" s="54" t="s">
        <v>150</v>
      </c>
      <c r="AT406" s="54" t="s">
        <v>150</v>
      </c>
      <c r="AU406" s="54" t="s">
        <v>150</v>
      </c>
      <c r="AV406" s="54" t="s">
        <v>150</v>
      </c>
      <c r="AZ406" s="52" t="str">
        <f t="shared" si="289"/>
        <v>FICO 640-659</v>
      </c>
      <c r="BA406" s="54" t="str">
        <f t="shared" si="296"/>
        <v>NA</v>
      </c>
      <c r="BB406" s="54" t="str">
        <f t="shared" si="297"/>
        <v>NA</v>
      </c>
      <c r="BC406" s="54" t="str">
        <f t="shared" si="298"/>
        <v>NA</v>
      </c>
      <c r="BD406" s="54" t="str">
        <f t="shared" si="299"/>
        <v>NA</v>
      </c>
      <c r="BE406" s="54" t="str">
        <f t="shared" si="300"/>
        <v>NA</v>
      </c>
      <c r="BF406" s="54" t="str">
        <f t="shared" si="301"/>
        <v>NA</v>
      </c>
    </row>
    <row r="407" spans="2:58" ht="15" customHeight="1" x14ac:dyDescent="0.45">
      <c r="B407" s="37"/>
      <c r="C407" s="63"/>
      <c r="D407" s="63"/>
      <c r="E407" s="63"/>
      <c r="F407" s="63"/>
      <c r="G407" s="63"/>
      <c r="H407" s="63"/>
      <c r="L407" s="37"/>
      <c r="M407" s="63"/>
      <c r="N407" s="63"/>
      <c r="O407" s="63"/>
      <c r="P407" s="63"/>
      <c r="Q407" s="63"/>
      <c r="R407" s="63"/>
      <c r="S407" s="55"/>
      <c r="T407" s="56"/>
      <c r="V407" s="37"/>
      <c r="W407" s="63"/>
      <c r="X407" s="63"/>
      <c r="Y407" s="63"/>
      <c r="Z407" s="63"/>
      <c r="AA407" s="63"/>
      <c r="AB407" s="63"/>
      <c r="AF407" s="37"/>
      <c r="AG407" s="63"/>
      <c r="AH407" s="63"/>
      <c r="AI407" s="63"/>
      <c r="AJ407" s="63"/>
      <c r="AK407" s="63"/>
      <c r="AL407" s="63"/>
      <c r="AM407" s="55"/>
      <c r="AN407" s="56"/>
      <c r="AP407" s="37"/>
      <c r="AQ407" s="63"/>
      <c r="AR407" s="63"/>
      <c r="AS407" s="63"/>
      <c r="AT407" s="63"/>
      <c r="AU407" s="63"/>
      <c r="AV407" s="63"/>
      <c r="AZ407" s="37"/>
      <c r="BA407" s="63"/>
      <c r="BB407" s="63"/>
      <c r="BC407" s="63"/>
      <c r="BD407" s="63"/>
      <c r="BE407" s="63"/>
      <c r="BF407" s="63"/>
    </row>
    <row r="408" spans="2:58" ht="15.75" customHeight="1" x14ac:dyDescent="0.45">
      <c r="B408" s="94" t="s">
        <v>156</v>
      </c>
      <c r="C408" s="94"/>
      <c r="D408" s="94"/>
      <c r="E408" s="94"/>
      <c r="F408" s="94"/>
      <c r="G408" s="94"/>
      <c r="H408" s="94"/>
      <c r="L408" s="94" t="s">
        <v>156</v>
      </c>
      <c r="M408" s="94"/>
      <c r="N408" s="94"/>
      <c r="O408" s="94"/>
      <c r="P408" s="94"/>
      <c r="Q408" s="94"/>
      <c r="R408" s="94"/>
      <c r="S408" s="39"/>
      <c r="T408" s="40"/>
      <c r="V408" s="94" t="s">
        <v>156</v>
      </c>
      <c r="W408" s="94"/>
      <c r="X408" s="94"/>
      <c r="Y408" s="94"/>
      <c r="Z408" s="94"/>
      <c r="AA408" s="94"/>
      <c r="AB408" s="94"/>
      <c r="AF408" s="94" t="s">
        <v>156</v>
      </c>
      <c r="AG408" s="94"/>
      <c r="AH408" s="94"/>
      <c r="AI408" s="94"/>
      <c r="AJ408" s="94"/>
      <c r="AK408" s="94"/>
      <c r="AL408" s="94"/>
      <c r="AM408" s="39"/>
      <c r="AN408" s="40"/>
      <c r="AP408" s="94" t="s">
        <v>156</v>
      </c>
      <c r="AQ408" s="94"/>
      <c r="AR408" s="94"/>
      <c r="AS408" s="94"/>
      <c r="AT408" s="94"/>
      <c r="AU408" s="94"/>
      <c r="AV408" s="94"/>
      <c r="AZ408" s="94" t="s">
        <v>156</v>
      </c>
      <c r="BA408" s="94"/>
      <c r="BB408" s="94"/>
      <c r="BC408" s="94"/>
      <c r="BD408" s="94"/>
      <c r="BE408" s="94"/>
      <c r="BF408" s="94"/>
    </row>
    <row r="409" spans="2:58" ht="15" customHeight="1" x14ac:dyDescent="0.45">
      <c r="B409" s="42"/>
      <c r="C409" s="95" t="s">
        <v>50</v>
      </c>
      <c r="D409" s="95"/>
      <c r="E409" s="95"/>
      <c r="F409" s="95"/>
      <c r="G409" s="95"/>
      <c r="H409" s="95"/>
      <c r="L409" s="42"/>
      <c r="M409" s="95" t="s">
        <v>50</v>
      </c>
      <c r="N409" s="95"/>
      <c r="O409" s="95"/>
      <c r="P409" s="95"/>
      <c r="Q409" s="95"/>
      <c r="R409" s="95"/>
      <c r="S409" s="41"/>
      <c r="T409" s="43"/>
      <c r="V409" s="42"/>
      <c r="W409" s="95" t="str">
        <f>C409</f>
        <v>LTC</v>
      </c>
      <c r="X409" s="95"/>
      <c r="Y409" s="95"/>
      <c r="Z409" s="95"/>
      <c r="AA409" s="95"/>
      <c r="AB409" s="95"/>
      <c r="AF409" s="42"/>
      <c r="AG409" s="95" t="str">
        <f t="shared" ref="AG409:AG422" si="302">W409</f>
        <v>LTC</v>
      </c>
      <c r="AH409" s="95"/>
      <c r="AI409" s="95"/>
      <c r="AJ409" s="95"/>
      <c r="AK409" s="95"/>
      <c r="AL409" s="95"/>
      <c r="AM409" s="41"/>
      <c r="AN409" s="43"/>
      <c r="AP409" s="42"/>
      <c r="AQ409" s="95" t="str">
        <f>C409</f>
        <v>LTC</v>
      </c>
      <c r="AR409" s="95"/>
      <c r="AS409" s="95"/>
      <c r="AT409" s="95"/>
      <c r="AU409" s="95"/>
      <c r="AV409" s="95"/>
      <c r="AZ409" s="42"/>
      <c r="BA409" s="95" t="str">
        <f>C409</f>
        <v>LTC</v>
      </c>
      <c r="BB409" s="95"/>
      <c r="BC409" s="95"/>
      <c r="BD409" s="95"/>
      <c r="BE409" s="95"/>
      <c r="BF409" s="95"/>
    </row>
    <row r="410" spans="2:58" ht="15" customHeight="1" x14ac:dyDescent="0.45">
      <c r="B410" s="44" t="s">
        <v>52</v>
      </c>
      <c r="C410" s="45" t="s">
        <v>143</v>
      </c>
      <c r="D410" s="45" t="s">
        <v>144</v>
      </c>
      <c r="E410" s="45" t="s">
        <v>145</v>
      </c>
      <c r="F410" s="45" t="s">
        <v>146</v>
      </c>
      <c r="G410" s="45" t="s">
        <v>147</v>
      </c>
      <c r="H410" s="45" t="s">
        <v>148</v>
      </c>
      <c r="L410" s="44" t="s">
        <v>52</v>
      </c>
      <c r="M410" s="70" t="s">
        <v>143</v>
      </c>
      <c r="N410" s="70" t="s">
        <v>144</v>
      </c>
      <c r="O410" s="70" t="s">
        <v>145</v>
      </c>
      <c r="P410" s="70" t="s">
        <v>146</v>
      </c>
      <c r="Q410" s="70" t="s">
        <v>147</v>
      </c>
      <c r="R410" s="70" t="s">
        <v>148</v>
      </c>
      <c r="S410" s="41"/>
      <c r="T410" s="43"/>
      <c r="V410" s="44" t="str">
        <f t="shared" ref="V410:V422" si="303">B410</f>
        <v>AR-LTV</v>
      </c>
      <c r="W410" s="45" t="str">
        <f>C410</f>
        <v>&lt;74.99%</v>
      </c>
      <c r="X410" s="45" t="str">
        <f>D410</f>
        <v>75.00%-80.00%</v>
      </c>
      <c r="Y410" s="45" t="str">
        <f>E410</f>
        <v>80.01%-85.00%</v>
      </c>
      <c r="Z410" s="45" t="str">
        <f>F410</f>
        <v>85.01%-87.50%</v>
      </c>
      <c r="AA410" s="45" t="str">
        <f>G410</f>
        <v>87.51%-89.99%</v>
      </c>
      <c r="AB410" s="45" t="str">
        <f>H410</f>
        <v>90.00%-92.50%</v>
      </c>
      <c r="AF410" s="44" t="str">
        <f t="shared" ref="AF410:AF422" si="304">V410</f>
        <v>AR-LTV</v>
      </c>
      <c r="AG410" s="45" t="str">
        <f t="shared" si="302"/>
        <v>&lt;74.99%</v>
      </c>
      <c r="AH410" s="45" t="str">
        <f t="shared" ref="AH410:AH422" si="305">X410</f>
        <v>75.00%-80.00%</v>
      </c>
      <c r="AI410" s="45" t="str">
        <f t="shared" ref="AI410:AI422" si="306">Y410</f>
        <v>80.01%-85.00%</v>
      </c>
      <c r="AJ410" s="45" t="str">
        <f t="shared" ref="AJ410:AJ422" si="307">Z410</f>
        <v>85.01%-87.50%</v>
      </c>
      <c r="AK410" s="45" t="str">
        <f t="shared" ref="AK410:AK422" si="308">AA410</f>
        <v>87.51%-89.99%</v>
      </c>
      <c r="AL410" s="45" t="str">
        <f t="shared" ref="AL410:AL422" si="309">AB410</f>
        <v>90.00%-92.50%</v>
      </c>
      <c r="AM410" s="41"/>
      <c r="AN410" s="43"/>
      <c r="AP410" s="44" t="str">
        <f t="shared" ref="AP410:AP422" si="310">B410</f>
        <v>AR-LTV</v>
      </c>
      <c r="AQ410" s="45" t="str">
        <f>C410</f>
        <v>&lt;74.99%</v>
      </c>
      <c r="AR410" s="45" t="str">
        <f>D410</f>
        <v>75.00%-80.00%</v>
      </c>
      <c r="AS410" s="45" t="str">
        <f>E410</f>
        <v>80.01%-85.00%</v>
      </c>
      <c r="AT410" s="45" t="str">
        <f>F410</f>
        <v>85.01%-87.50%</v>
      </c>
      <c r="AU410" s="45" t="str">
        <f>G410</f>
        <v>87.51%-89.99%</v>
      </c>
      <c r="AV410" s="45" t="str">
        <f>H410</f>
        <v>90.00%-92.50%</v>
      </c>
      <c r="AZ410" s="44" t="str">
        <f t="shared" ref="AZ410:AZ422" si="311">B410</f>
        <v>AR-LTV</v>
      </c>
      <c r="BA410" s="45" t="str">
        <f>C410</f>
        <v>&lt;74.99%</v>
      </c>
      <c r="BB410" s="45" t="str">
        <f>D410</f>
        <v>75.00%-80.00%</v>
      </c>
      <c r="BC410" s="45" t="str">
        <f>E410</f>
        <v>80.01%-85.00%</v>
      </c>
      <c r="BD410" s="45" t="str">
        <f>F410</f>
        <v>85.01%-87.50%</v>
      </c>
      <c r="BE410" s="45" t="str">
        <f>G410</f>
        <v>87.51%-89.99%</v>
      </c>
      <c r="BF410" s="45" t="str">
        <f>H410</f>
        <v>90.00%-92.50%</v>
      </c>
    </row>
    <row r="411" spans="2:58" ht="15" customHeight="1" x14ac:dyDescent="0.45">
      <c r="B411" s="46" t="s">
        <v>149</v>
      </c>
      <c r="C411" s="49" t="s">
        <v>150</v>
      </c>
      <c r="D411" s="49" t="s">
        <v>150</v>
      </c>
      <c r="E411" s="49" t="s">
        <v>150</v>
      </c>
      <c r="F411" s="49" t="s">
        <v>150</v>
      </c>
      <c r="G411" s="49" t="s">
        <v>150</v>
      </c>
      <c r="H411" s="49" t="s">
        <v>150</v>
      </c>
      <c r="L411" s="60" t="s">
        <v>149</v>
      </c>
      <c r="M411" s="64" t="str">
        <f t="shared" ref="M411:M422" si="312">C411</f>
        <v>NA</v>
      </c>
      <c r="N411" s="64" t="str">
        <f t="shared" ref="N411:N422" si="313">D411</f>
        <v>NA</v>
      </c>
      <c r="O411" s="49" t="str">
        <f t="shared" ref="O411:O422" si="314">E411</f>
        <v>NA</v>
      </c>
      <c r="P411" s="49" t="str">
        <f t="shared" ref="P411:P422" si="315">F411</f>
        <v>NA</v>
      </c>
      <c r="Q411" s="49" t="str">
        <f t="shared" ref="Q411:Q422" si="316">G411</f>
        <v>NA</v>
      </c>
      <c r="R411" s="49" t="str">
        <f t="shared" ref="R411:R422" si="317">H411</f>
        <v>NA</v>
      </c>
      <c r="S411" s="50"/>
      <c r="T411" s="51"/>
      <c r="V411" s="46" t="str">
        <f t="shared" si="303"/>
        <v>70.01%-75.00%</v>
      </c>
      <c r="W411" s="49" t="s">
        <v>150</v>
      </c>
      <c r="X411" s="49" t="s">
        <v>150</v>
      </c>
      <c r="Y411" s="49" t="s">
        <v>150</v>
      </c>
      <c r="Z411" s="49" t="s">
        <v>150</v>
      </c>
      <c r="AA411" s="49" t="s">
        <v>150</v>
      </c>
      <c r="AB411" s="49" t="s">
        <v>150</v>
      </c>
      <c r="AF411" s="46" t="str">
        <f t="shared" si="304"/>
        <v>70.01%-75.00%</v>
      </c>
      <c r="AG411" s="64" t="str">
        <f t="shared" si="302"/>
        <v>NA</v>
      </c>
      <c r="AH411" s="64" t="str">
        <f t="shared" si="305"/>
        <v>NA</v>
      </c>
      <c r="AI411" s="49" t="str">
        <f t="shared" si="306"/>
        <v>NA</v>
      </c>
      <c r="AJ411" s="49" t="str">
        <f t="shared" si="307"/>
        <v>NA</v>
      </c>
      <c r="AK411" s="49" t="str">
        <f t="shared" si="308"/>
        <v>NA</v>
      </c>
      <c r="AL411" s="49" t="str">
        <f t="shared" si="309"/>
        <v>NA</v>
      </c>
      <c r="AM411" s="50"/>
      <c r="AN411" s="51"/>
      <c r="AP411" s="46" t="str">
        <f t="shared" si="310"/>
        <v>70.01%-75.00%</v>
      </c>
      <c r="AQ411" s="49" t="s">
        <v>150</v>
      </c>
      <c r="AR411" s="49" t="s">
        <v>150</v>
      </c>
      <c r="AS411" s="49" t="s">
        <v>150</v>
      </c>
      <c r="AT411" s="49" t="s">
        <v>150</v>
      </c>
      <c r="AU411" s="49" t="s">
        <v>150</v>
      </c>
      <c r="AV411" s="49" t="s">
        <v>150</v>
      </c>
      <c r="AZ411" s="60" t="str">
        <f t="shared" si="311"/>
        <v>70.01%-75.00%</v>
      </c>
      <c r="BA411" s="64" t="str">
        <f t="shared" ref="BA411:BA422" si="318">AQ411</f>
        <v>NA</v>
      </c>
      <c r="BB411" s="64" t="str">
        <f t="shared" ref="BB411:BB422" si="319">AR411</f>
        <v>NA</v>
      </c>
      <c r="BC411" s="49" t="str">
        <f t="shared" ref="BC411:BC422" si="320">AS411</f>
        <v>NA</v>
      </c>
      <c r="BD411" s="49" t="str">
        <f t="shared" ref="BD411:BD422" si="321">AT411</f>
        <v>NA</v>
      </c>
      <c r="BE411" s="49" t="str">
        <f t="shared" ref="BE411:BE422" si="322">AU411</f>
        <v>NA</v>
      </c>
      <c r="BF411" s="49" t="str">
        <f t="shared" ref="BF411:BF422" si="323">AV411</f>
        <v>NA</v>
      </c>
    </row>
    <row r="412" spans="2:58" ht="15" customHeight="1" x14ac:dyDescent="0.45">
      <c r="B412" s="52" t="s">
        <v>151</v>
      </c>
      <c r="C412" s="54" t="s">
        <v>150</v>
      </c>
      <c r="D412" s="54" t="s">
        <v>150</v>
      </c>
      <c r="E412" s="54" t="s">
        <v>150</v>
      </c>
      <c r="F412" s="54" t="s">
        <v>150</v>
      </c>
      <c r="G412" s="54" t="s">
        <v>150</v>
      </c>
      <c r="H412" s="54" t="s">
        <v>150</v>
      </c>
      <c r="L412" s="52" t="s">
        <v>151</v>
      </c>
      <c r="M412" s="54" t="str">
        <f t="shared" si="312"/>
        <v>NA</v>
      </c>
      <c r="N412" s="54" t="str">
        <f t="shared" si="313"/>
        <v>NA</v>
      </c>
      <c r="O412" s="54" t="str">
        <f t="shared" si="314"/>
        <v>NA</v>
      </c>
      <c r="P412" s="54" t="str">
        <f t="shared" si="315"/>
        <v>NA</v>
      </c>
      <c r="Q412" s="54" t="str">
        <f t="shared" si="316"/>
        <v>NA</v>
      </c>
      <c r="R412" s="54" t="str">
        <f t="shared" si="317"/>
        <v>NA</v>
      </c>
      <c r="S412" s="55"/>
      <c r="T412" s="56"/>
      <c r="V412" s="52" t="str">
        <f t="shared" si="303"/>
        <v>FICO 700+</v>
      </c>
      <c r="W412" s="54" t="s">
        <v>150</v>
      </c>
      <c r="X412" s="54" t="s">
        <v>150</v>
      </c>
      <c r="Y412" s="54" t="s">
        <v>150</v>
      </c>
      <c r="Z412" s="54" t="s">
        <v>150</v>
      </c>
      <c r="AA412" s="54" t="s">
        <v>150</v>
      </c>
      <c r="AB412" s="54" t="s">
        <v>150</v>
      </c>
      <c r="AF412" s="52" t="str">
        <f t="shared" si="304"/>
        <v>FICO 700+</v>
      </c>
      <c r="AG412" s="54" t="str">
        <f t="shared" si="302"/>
        <v>NA</v>
      </c>
      <c r="AH412" s="54" t="str">
        <f t="shared" si="305"/>
        <v>NA</v>
      </c>
      <c r="AI412" s="54" t="str">
        <f t="shared" si="306"/>
        <v>NA</v>
      </c>
      <c r="AJ412" s="54" t="str">
        <f t="shared" si="307"/>
        <v>NA</v>
      </c>
      <c r="AK412" s="54" t="str">
        <f t="shared" si="308"/>
        <v>NA</v>
      </c>
      <c r="AL412" s="54" t="str">
        <f t="shared" si="309"/>
        <v>NA</v>
      </c>
      <c r="AM412" s="55"/>
      <c r="AN412" s="56"/>
      <c r="AP412" s="52" t="str">
        <f t="shared" si="310"/>
        <v>FICO 700+</v>
      </c>
      <c r="AQ412" s="54" t="s">
        <v>150</v>
      </c>
      <c r="AR412" s="54" t="s">
        <v>150</v>
      </c>
      <c r="AS412" s="54" t="s">
        <v>150</v>
      </c>
      <c r="AT412" s="54" t="s">
        <v>150</v>
      </c>
      <c r="AU412" s="54" t="s">
        <v>150</v>
      </c>
      <c r="AV412" s="54" t="s">
        <v>150</v>
      </c>
      <c r="AZ412" s="52" t="str">
        <f t="shared" si="311"/>
        <v>FICO 700+</v>
      </c>
      <c r="BA412" s="54" t="str">
        <f t="shared" si="318"/>
        <v>NA</v>
      </c>
      <c r="BB412" s="54" t="str">
        <f t="shared" si="319"/>
        <v>NA</v>
      </c>
      <c r="BC412" s="54" t="str">
        <f t="shared" si="320"/>
        <v>NA</v>
      </c>
      <c r="BD412" s="54" t="str">
        <f t="shared" si="321"/>
        <v>NA</v>
      </c>
      <c r="BE412" s="54" t="str">
        <f t="shared" si="322"/>
        <v>NA</v>
      </c>
      <c r="BF412" s="54" t="str">
        <f t="shared" si="323"/>
        <v>NA</v>
      </c>
    </row>
    <row r="413" spans="2:58" ht="15" customHeight="1" x14ac:dyDescent="0.45">
      <c r="B413" s="52" t="s">
        <v>152</v>
      </c>
      <c r="C413" s="54" t="s">
        <v>150</v>
      </c>
      <c r="D413" s="54" t="s">
        <v>150</v>
      </c>
      <c r="E413" s="54" t="s">
        <v>150</v>
      </c>
      <c r="F413" s="54" t="s">
        <v>150</v>
      </c>
      <c r="G413" s="54" t="s">
        <v>150</v>
      </c>
      <c r="H413" s="54" t="s">
        <v>150</v>
      </c>
      <c r="L413" s="52" t="s">
        <v>152</v>
      </c>
      <c r="M413" s="54" t="str">
        <f t="shared" si="312"/>
        <v>NA</v>
      </c>
      <c r="N413" s="54" t="str">
        <f t="shared" si="313"/>
        <v>NA</v>
      </c>
      <c r="O413" s="54" t="str">
        <f t="shared" si="314"/>
        <v>NA</v>
      </c>
      <c r="P413" s="54" t="str">
        <f t="shared" si="315"/>
        <v>NA</v>
      </c>
      <c r="Q413" s="54" t="str">
        <f t="shared" si="316"/>
        <v>NA</v>
      </c>
      <c r="R413" s="54" t="str">
        <f t="shared" si="317"/>
        <v>NA</v>
      </c>
      <c r="S413" s="55"/>
      <c r="T413" s="56"/>
      <c r="V413" s="52" t="str">
        <f t="shared" si="303"/>
        <v>FICO 660-699</v>
      </c>
      <c r="W413" s="54" t="s">
        <v>150</v>
      </c>
      <c r="X413" s="54" t="s">
        <v>150</v>
      </c>
      <c r="Y413" s="54" t="s">
        <v>150</v>
      </c>
      <c r="Z413" s="54" t="s">
        <v>150</v>
      </c>
      <c r="AA413" s="54" t="s">
        <v>150</v>
      </c>
      <c r="AB413" s="54" t="s">
        <v>150</v>
      </c>
      <c r="AF413" s="52" t="str">
        <f t="shared" si="304"/>
        <v>FICO 660-699</v>
      </c>
      <c r="AG413" s="54" t="str">
        <f t="shared" si="302"/>
        <v>NA</v>
      </c>
      <c r="AH413" s="54" t="str">
        <f t="shared" si="305"/>
        <v>NA</v>
      </c>
      <c r="AI413" s="54" t="str">
        <f t="shared" si="306"/>
        <v>NA</v>
      </c>
      <c r="AJ413" s="54" t="str">
        <f t="shared" si="307"/>
        <v>NA</v>
      </c>
      <c r="AK413" s="54" t="str">
        <f t="shared" si="308"/>
        <v>NA</v>
      </c>
      <c r="AL413" s="54" t="str">
        <f t="shared" si="309"/>
        <v>NA</v>
      </c>
      <c r="AM413" s="55"/>
      <c r="AN413" s="56"/>
      <c r="AP413" s="52" t="str">
        <f t="shared" si="310"/>
        <v>FICO 660-699</v>
      </c>
      <c r="AQ413" s="54" t="s">
        <v>150</v>
      </c>
      <c r="AR413" s="54" t="s">
        <v>150</v>
      </c>
      <c r="AS413" s="54" t="s">
        <v>150</v>
      </c>
      <c r="AT413" s="54" t="s">
        <v>150</v>
      </c>
      <c r="AU413" s="54" t="s">
        <v>150</v>
      </c>
      <c r="AV413" s="54" t="s">
        <v>150</v>
      </c>
      <c r="AZ413" s="52" t="str">
        <f t="shared" si="311"/>
        <v>FICO 660-699</v>
      </c>
      <c r="BA413" s="54" t="str">
        <f t="shared" si="318"/>
        <v>NA</v>
      </c>
      <c r="BB413" s="54" t="str">
        <f t="shared" si="319"/>
        <v>NA</v>
      </c>
      <c r="BC413" s="54" t="str">
        <f t="shared" si="320"/>
        <v>NA</v>
      </c>
      <c r="BD413" s="54" t="str">
        <f t="shared" si="321"/>
        <v>NA</v>
      </c>
      <c r="BE413" s="54" t="str">
        <f t="shared" si="322"/>
        <v>NA</v>
      </c>
      <c r="BF413" s="54" t="str">
        <f t="shared" si="323"/>
        <v>NA</v>
      </c>
    </row>
    <row r="414" spans="2:58" ht="15" customHeight="1" x14ac:dyDescent="0.45">
      <c r="B414" s="57" t="s">
        <v>153</v>
      </c>
      <c r="C414" s="59" t="s">
        <v>150</v>
      </c>
      <c r="D414" s="59" t="s">
        <v>150</v>
      </c>
      <c r="E414" s="59" t="s">
        <v>150</v>
      </c>
      <c r="F414" s="59" t="s">
        <v>150</v>
      </c>
      <c r="G414" s="59" t="s">
        <v>150</v>
      </c>
      <c r="H414" s="59" t="s">
        <v>150</v>
      </c>
      <c r="L414" s="57" t="s">
        <v>153</v>
      </c>
      <c r="M414" s="59" t="str">
        <f t="shared" si="312"/>
        <v>NA</v>
      </c>
      <c r="N414" s="59" t="str">
        <f t="shared" si="313"/>
        <v>NA</v>
      </c>
      <c r="O414" s="59" t="str">
        <f t="shared" si="314"/>
        <v>NA</v>
      </c>
      <c r="P414" s="59" t="str">
        <f t="shared" si="315"/>
        <v>NA</v>
      </c>
      <c r="Q414" s="59" t="str">
        <f t="shared" si="316"/>
        <v>NA</v>
      </c>
      <c r="R414" s="59" t="str">
        <f t="shared" si="317"/>
        <v>NA</v>
      </c>
      <c r="S414" s="55"/>
      <c r="T414" s="56"/>
      <c r="V414" s="57" t="str">
        <f t="shared" si="303"/>
        <v>FICO 640-659</v>
      </c>
      <c r="W414" s="59" t="s">
        <v>150</v>
      </c>
      <c r="X414" s="59" t="s">
        <v>150</v>
      </c>
      <c r="Y414" s="59" t="s">
        <v>150</v>
      </c>
      <c r="Z414" s="59" t="s">
        <v>150</v>
      </c>
      <c r="AA414" s="59" t="s">
        <v>150</v>
      </c>
      <c r="AB414" s="59" t="s">
        <v>150</v>
      </c>
      <c r="AF414" s="57" t="str">
        <f t="shared" si="304"/>
        <v>FICO 640-659</v>
      </c>
      <c r="AG414" s="59" t="str">
        <f t="shared" si="302"/>
        <v>NA</v>
      </c>
      <c r="AH414" s="59" t="str">
        <f t="shared" si="305"/>
        <v>NA</v>
      </c>
      <c r="AI414" s="59" t="str">
        <f t="shared" si="306"/>
        <v>NA</v>
      </c>
      <c r="AJ414" s="59" t="str">
        <f t="shared" si="307"/>
        <v>NA</v>
      </c>
      <c r="AK414" s="59" t="str">
        <f t="shared" si="308"/>
        <v>NA</v>
      </c>
      <c r="AL414" s="59" t="str">
        <f t="shared" si="309"/>
        <v>NA</v>
      </c>
      <c r="AM414" s="55"/>
      <c r="AN414" s="56"/>
      <c r="AP414" s="57" t="str">
        <f t="shared" si="310"/>
        <v>FICO 640-659</v>
      </c>
      <c r="AQ414" s="59" t="s">
        <v>150</v>
      </c>
      <c r="AR414" s="59" t="s">
        <v>150</v>
      </c>
      <c r="AS414" s="59" t="s">
        <v>150</v>
      </c>
      <c r="AT414" s="59" t="s">
        <v>150</v>
      </c>
      <c r="AU414" s="59" t="s">
        <v>150</v>
      </c>
      <c r="AV414" s="59" t="s">
        <v>150</v>
      </c>
      <c r="AZ414" s="57" t="str">
        <f t="shared" si="311"/>
        <v>FICO 640-659</v>
      </c>
      <c r="BA414" s="59" t="str">
        <f t="shared" si="318"/>
        <v>NA</v>
      </c>
      <c r="BB414" s="59" t="str">
        <f t="shared" si="319"/>
        <v>NA</v>
      </c>
      <c r="BC414" s="59" t="str">
        <f t="shared" si="320"/>
        <v>NA</v>
      </c>
      <c r="BD414" s="59" t="str">
        <f t="shared" si="321"/>
        <v>NA</v>
      </c>
      <c r="BE414" s="59" t="str">
        <f t="shared" si="322"/>
        <v>NA</v>
      </c>
      <c r="BF414" s="59" t="str">
        <f t="shared" si="323"/>
        <v>NA</v>
      </c>
    </row>
    <row r="415" spans="2:58" ht="15" customHeight="1" x14ac:dyDescent="0.45">
      <c r="B415" s="60" t="s">
        <v>154</v>
      </c>
      <c r="C415" s="48">
        <f>C419+0.25%</f>
        <v>0.09</v>
      </c>
      <c r="D415" s="48">
        <f>C415+0.25%</f>
        <v>9.2499999999999999E-2</v>
      </c>
      <c r="E415" s="49" t="s">
        <v>150</v>
      </c>
      <c r="F415" s="49" t="s">
        <v>150</v>
      </c>
      <c r="G415" s="49" t="s">
        <v>150</v>
      </c>
      <c r="H415" s="49" t="s">
        <v>150</v>
      </c>
      <c r="L415" s="60" t="s">
        <v>154</v>
      </c>
      <c r="M415" s="48">
        <f t="shared" si="312"/>
        <v>0.09</v>
      </c>
      <c r="N415" s="48">
        <f t="shared" si="313"/>
        <v>9.2499999999999999E-2</v>
      </c>
      <c r="O415" s="49" t="str">
        <f t="shared" si="314"/>
        <v>NA</v>
      </c>
      <c r="P415" s="49" t="str">
        <f t="shared" si="315"/>
        <v>NA</v>
      </c>
      <c r="Q415" s="49" t="str">
        <f t="shared" si="316"/>
        <v>NA</v>
      </c>
      <c r="R415" s="49" t="str">
        <f t="shared" si="317"/>
        <v>NA</v>
      </c>
      <c r="S415" s="50"/>
      <c r="T415" s="51"/>
      <c r="V415" s="60" t="str">
        <f t="shared" si="303"/>
        <v>65.00%-70.00%</v>
      </c>
      <c r="W415" s="48">
        <f>W419+0.25%</f>
        <v>9.1249999999999998E-2</v>
      </c>
      <c r="X415" s="48">
        <f>W415+0.25%</f>
        <v>9.375E-2</v>
      </c>
      <c r="Y415" s="49" t="s">
        <v>150</v>
      </c>
      <c r="Z415" s="49" t="s">
        <v>150</v>
      </c>
      <c r="AA415" s="49" t="s">
        <v>150</v>
      </c>
      <c r="AB415" s="49" t="s">
        <v>150</v>
      </c>
      <c r="AF415" s="60" t="str">
        <f t="shared" si="304"/>
        <v>65.00%-70.00%</v>
      </c>
      <c r="AG415" s="48">
        <f t="shared" si="302"/>
        <v>9.1249999999999998E-2</v>
      </c>
      <c r="AH415" s="48">
        <f t="shared" si="305"/>
        <v>9.375E-2</v>
      </c>
      <c r="AI415" s="49" t="str">
        <f t="shared" si="306"/>
        <v>NA</v>
      </c>
      <c r="AJ415" s="49" t="str">
        <f t="shared" si="307"/>
        <v>NA</v>
      </c>
      <c r="AK415" s="49" t="str">
        <f t="shared" si="308"/>
        <v>NA</v>
      </c>
      <c r="AL415" s="49" t="str">
        <f t="shared" si="309"/>
        <v>NA</v>
      </c>
      <c r="AM415" s="50"/>
      <c r="AN415" s="51"/>
      <c r="AP415" s="60" t="str">
        <f t="shared" si="310"/>
        <v>65.00%-70.00%</v>
      </c>
      <c r="AQ415" s="48">
        <f>AQ419+0.25%</f>
        <v>9.2499999999999999E-2</v>
      </c>
      <c r="AR415" s="48">
        <f>AQ415+0.25%</f>
        <v>9.5000000000000001E-2</v>
      </c>
      <c r="AS415" s="49" t="s">
        <v>150</v>
      </c>
      <c r="AT415" s="49" t="s">
        <v>150</v>
      </c>
      <c r="AU415" s="49" t="s">
        <v>150</v>
      </c>
      <c r="AV415" s="49" t="s">
        <v>150</v>
      </c>
      <c r="AZ415" s="60" t="str">
        <f t="shared" si="311"/>
        <v>65.00%-70.00%</v>
      </c>
      <c r="BA415" s="48">
        <f t="shared" si="318"/>
        <v>9.2499999999999999E-2</v>
      </c>
      <c r="BB415" s="48">
        <f t="shared" si="319"/>
        <v>9.5000000000000001E-2</v>
      </c>
      <c r="BC415" s="49" t="str">
        <f t="shared" si="320"/>
        <v>NA</v>
      </c>
      <c r="BD415" s="49" t="str">
        <f t="shared" si="321"/>
        <v>NA</v>
      </c>
      <c r="BE415" s="49" t="str">
        <f t="shared" si="322"/>
        <v>NA</v>
      </c>
      <c r="BF415" s="49" t="str">
        <f t="shared" si="323"/>
        <v>NA</v>
      </c>
    </row>
    <row r="416" spans="2:58" ht="15" customHeight="1" x14ac:dyDescent="0.45">
      <c r="B416" s="52" t="s">
        <v>151</v>
      </c>
      <c r="C416" s="53">
        <f>C415+0</f>
        <v>0.09</v>
      </c>
      <c r="D416" s="53">
        <f>D415+0</f>
        <v>9.2499999999999999E-2</v>
      </c>
      <c r="E416" s="54" t="s">
        <v>150</v>
      </c>
      <c r="F416" s="54" t="s">
        <v>150</v>
      </c>
      <c r="G416" s="54" t="s">
        <v>150</v>
      </c>
      <c r="H416" s="54" t="s">
        <v>150</v>
      </c>
      <c r="L416" s="52" t="s">
        <v>151</v>
      </c>
      <c r="M416" s="53">
        <f t="shared" si="312"/>
        <v>0.09</v>
      </c>
      <c r="N416" s="53">
        <f t="shared" si="313"/>
        <v>9.2499999999999999E-2</v>
      </c>
      <c r="O416" s="54" t="str">
        <f t="shared" si="314"/>
        <v>NA</v>
      </c>
      <c r="P416" s="54" t="str">
        <f t="shared" si="315"/>
        <v>NA</v>
      </c>
      <c r="Q416" s="54" t="str">
        <f t="shared" si="316"/>
        <v>NA</v>
      </c>
      <c r="R416" s="54" t="str">
        <f t="shared" si="317"/>
        <v>NA</v>
      </c>
      <c r="S416" s="55"/>
      <c r="T416" s="56"/>
      <c r="V416" s="52" t="str">
        <f t="shared" si="303"/>
        <v>FICO 700+</v>
      </c>
      <c r="W416" s="53">
        <f>W415+0</f>
        <v>9.1249999999999998E-2</v>
      </c>
      <c r="X416" s="53">
        <f>X415+0</f>
        <v>9.375E-2</v>
      </c>
      <c r="Y416" s="54" t="s">
        <v>150</v>
      </c>
      <c r="Z416" s="54" t="s">
        <v>150</v>
      </c>
      <c r="AA416" s="54" t="s">
        <v>150</v>
      </c>
      <c r="AB416" s="54" t="s">
        <v>150</v>
      </c>
      <c r="AF416" s="52" t="str">
        <f t="shared" si="304"/>
        <v>FICO 700+</v>
      </c>
      <c r="AG416" s="53">
        <f t="shared" si="302"/>
        <v>9.1249999999999998E-2</v>
      </c>
      <c r="AH416" s="53">
        <f t="shared" si="305"/>
        <v>9.375E-2</v>
      </c>
      <c r="AI416" s="54" t="str">
        <f t="shared" si="306"/>
        <v>NA</v>
      </c>
      <c r="AJ416" s="54" t="str">
        <f t="shared" si="307"/>
        <v>NA</v>
      </c>
      <c r="AK416" s="54" t="str">
        <f t="shared" si="308"/>
        <v>NA</v>
      </c>
      <c r="AL416" s="54" t="str">
        <f t="shared" si="309"/>
        <v>NA</v>
      </c>
      <c r="AM416" s="55"/>
      <c r="AN416" s="56"/>
      <c r="AP416" s="52" t="str">
        <f t="shared" si="310"/>
        <v>FICO 700+</v>
      </c>
      <c r="AQ416" s="53">
        <f>AQ415+0</f>
        <v>9.2499999999999999E-2</v>
      </c>
      <c r="AR416" s="53">
        <f>AR415+0</f>
        <v>9.5000000000000001E-2</v>
      </c>
      <c r="AS416" s="54" t="s">
        <v>150</v>
      </c>
      <c r="AT416" s="54" t="s">
        <v>150</v>
      </c>
      <c r="AU416" s="54" t="s">
        <v>150</v>
      </c>
      <c r="AV416" s="54" t="s">
        <v>150</v>
      </c>
      <c r="AZ416" s="52" t="str">
        <f t="shared" si="311"/>
        <v>FICO 700+</v>
      </c>
      <c r="BA416" s="53">
        <f t="shared" si="318"/>
        <v>9.2499999999999999E-2</v>
      </c>
      <c r="BB416" s="53">
        <f t="shared" si="319"/>
        <v>9.5000000000000001E-2</v>
      </c>
      <c r="BC416" s="54" t="str">
        <f t="shared" si="320"/>
        <v>NA</v>
      </c>
      <c r="BD416" s="54" t="str">
        <f t="shared" si="321"/>
        <v>NA</v>
      </c>
      <c r="BE416" s="54" t="str">
        <f t="shared" si="322"/>
        <v>NA</v>
      </c>
      <c r="BF416" s="54" t="str">
        <f t="shared" si="323"/>
        <v>NA</v>
      </c>
    </row>
    <row r="417" spans="2:58" ht="15" customHeight="1" x14ac:dyDescent="0.45">
      <c r="B417" s="52" t="s">
        <v>152</v>
      </c>
      <c r="C417" s="53">
        <f>C415+0.5%</f>
        <v>9.5000000000000001E-2</v>
      </c>
      <c r="D417" s="53">
        <f>D415+0.5%</f>
        <v>9.7500000000000003E-2</v>
      </c>
      <c r="E417" s="54" t="s">
        <v>150</v>
      </c>
      <c r="F417" s="54" t="s">
        <v>150</v>
      </c>
      <c r="G417" s="54" t="s">
        <v>150</v>
      </c>
      <c r="H417" s="54" t="s">
        <v>150</v>
      </c>
      <c r="L417" s="52" t="s">
        <v>152</v>
      </c>
      <c r="M417" s="53">
        <f t="shared" si="312"/>
        <v>9.5000000000000001E-2</v>
      </c>
      <c r="N417" s="53">
        <f t="shared" si="313"/>
        <v>9.7500000000000003E-2</v>
      </c>
      <c r="O417" s="54" t="str">
        <f t="shared" si="314"/>
        <v>NA</v>
      </c>
      <c r="P417" s="54" t="str">
        <f t="shared" si="315"/>
        <v>NA</v>
      </c>
      <c r="Q417" s="54" t="str">
        <f t="shared" si="316"/>
        <v>NA</v>
      </c>
      <c r="R417" s="54" t="str">
        <f t="shared" si="317"/>
        <v>NA</v>
      </c>
      <c r="S417" s="55"/>
      <c r="T417" s="56"/>
      <c r="V417" s="52" t="str">
        <f t="shared" si="303"/>
        <v>FICO 660-699</v>
      </c>
      <c r="W417" s="53">
        <f>W415+0.5%</f>
        <v>9.6250000000000002E-2</v>
      </c>
      <c r="X417" s="53">
        <f>X415+0.5%</f>
        <v>9.8750000000000004E-2</v>
      </c>
      <c r="Y417" s="54" t="s">
        <v>150</v>
      </c>
      <c r="Z417" s="54" t="s">
        <v>150</v>
      </c>
      <c r="AA417" s="54" t="s">
        <v>150</v>
      </c>
      <c r="AB417" s="54" t="s">
        <v>150</v>
      </c>
      <c r="AF417" s="52" t="str">
        <f t="shared" si="304"/>
        <v>FICO 660-699</v>
      </c>
      <c r="AG417" s="53">
        <f t="shared" si="302"/>
        <v>9.6250000000000002E-2</v>
      </c>
      <c r="AH417" s="53">
        <f t="shared" si="305"/>
        <v>9.8750000000000004E-2</v>
      </c>
      <c r="AI417" s="54" t="str">
        <f t="shared" si="306"/>
        <v>NA</v>
      </c>
      <c r="AJ417" s="54" t="str">
        <f t="shared" si="307"/>
        <v>NA</v>
      </c>
      <c r="AK417" s="54" t="str">
        <f t="shared" si="308"/>
        <v>NA</v>
      </c>
      <c r="AL417" s="54" t="str">
        <f t="shared" si="309"/>
        <v>NA</v>
      </c>
      <c r="AM417" s="55"/>
      <c r="AN417" s="56"/>
      <c r="AP417" s="52" t="str">
        <f t="shared" si="310"/>
        <v>FICO 660-699</v>
      </c>
      <c r="AQ417" s="53">
        <f>AQ415+0.5%</f>
        <v>9.7500000000000003E-2</v>
      </c>
      <c r="AR417" s="53">
        <f>AR415+0.5%</f>
        <v>0.1</v>
      </c>
      <c r="AS417" s="54" t="s">
        <v>150</v>
      </c>
      <c r="AT417" s="54" t="s">
        <v>150</v>
      </c>
      <c r="AU417" s="54" t="s">
        <v>150</v>
      </c>
      <c r="AV417" s="54" t="s">
        <v>150</v>
      </c>
      <c r="AZ417" s="52" t="str">
        <f t="shared" si="311"/>
        <v>FICO 660-699</v>
      </c>
      <c r="BA417" s="53">
        <f t="shared" si="318"/>
        <v>9.7500000000000003E-2</v>
      </c>
      <c r="BB417" s="53">
        <f t="shared" si="319"/>
        <v>0.1</v>
      </c>
      <c r="BC417" s="54" t="str">
        <f t="shared" si="320"/>
        <v>NA</v>
      </c>
      <c r="BD417" s="54" t="str">
        <f t="shared" si="321"/>
        <v>NA</v>
      </c>
      <c r="BE417" s="54" t="str">
        <f t="shared" si="322"/>
        <v>NA</v>
      </c>
      <c r="BF417" s="54" t="str">
        <f t="shared" si="323"/>
        <v>NA</v>
      </c>
    </row>
    <row r="418" spans="2:58" ht="15" customHeight="1" x14ac:dyDescent="0.45">
      <c r="B418" s="57" t="s">
        <v>153</v>
      </c>
      <c r="C418" s="59" t="s">
        <v>150</v>
      </c>
      <c r="D418" s="59" t="s">
        <v>150</v>
      </c>
      <c r="E418" s="59" t="s">
        <v>150</v>
      </c>
      <c r="F418" s="59" t="s">
        <v>150</v>
      </c>
      <c r="G418" s="59" t="s">
        <v>150</v>
      </c>
      <c r="H418" s="59" t="s">
        <v>150</v>
      </c>
      <c r="L418" s="57" t="s">
        <v>153</v>
      </c>
      <c r="M418" s="59" t="str">
        <f t="shared" si="312"/>
        <v>NA</v>
      </c>
      <c r="N418" s="59" t="str">
        <f t="shared" si="313"/>
        <v>NA</v>
      </c>
      <c r="O418" s="59" t="str">
        <f t="shared" si="314"/>
        <v>NA</v>
      </c>
      <c r="P418" s="59" t="str">
        <f t="shared" si="315"/>
        <v>NA</v>
      </c>
      <c r="Q418" s="59" t="str">
        <f t="shared" si="316"/>
        <v>NA</v>
      </c>
      <c r="R418" s="59" t="str">
        <f t="shared" si="317"/>
        <v>NA</v>
      </c>
      <c r="S418" s="55"/>
      <c r="T418" s="56"/>
      <c r="V418" s="57" t="str">
        <f t="shared" si="303"/>
        <v>FICO 640-659</v>
      </c>
      <c r="W418" s="59" t="s">
        <v>150</v>
      </c>
      <c r="X418" s="59" t="s">
        <v>150</v>
      </c>
      <c r="Y418" s="59" t="s">
        <v>150</v>
      </c>
      <c r="Z418" s="59" t="s">
        <v>150</v>
      </c>
      <c r="AA418" s="59" t="s">
        <v>150</v>
      </c>
      <c r="AB418" s="59" t="s">
        <v>150</v>
      </c>
      <c r="AF418" s="57" t="str">
        <f t="shared" si="304"/>
        <v>FICO 640-659</v>
      </c>
      <c r="AG418" s="59" t="str">
        <f t="shared" si="302"/>
        <v>NA</v>
      </c>
      <c r="AH418" s="59" t="str">
        <f t="shared" si="305"/>
        <v>NA</v>
      </c>
      <c r="AI418" s="59" t="str">
        <f t="shared" si="306"/>
        <v>NA</v>
      </c>
      <c r="AJ418" s="59" t="str">
        <f t="shared" si="307"/>
        <v>NA</v>
      </c>
      <c r="AK418" s="59" t="str">
        <f t="shared" si="308"/>
        <v>NA</v>
      </c>
      <c r="AL418" s="59" t="str">
        <f t="shared" si="309"/>
        <v>NA</v>
      </c>
      <c r="AM418" s="55"/>
      <c r="AN418" s="56"/>
      <c r="AP418" s="57" t="str">
        <f t="shared" si="310"/>
        <v>FICO 640-659</v>
      </c>
      <c r="AQ418" s="59" t="s">
        <v>150</v>
      </c>
      <c r="AR418" s="59" t="s">
        <v>150</v>
      </c>
      <c r="AS418" s="59" t="s">
        <v>150</v>
      </c>
      <c r="AT418" s="59" t="s">
        <v>150</v>
      </c>
      <c r="AU418" s="59" t="s">
        <v>150</v>
      </c>
      <c r="AV418" s="59" t="s">
        <v>150</v>
      </c>
      <c r="AZ418" s="57" t="str">
        <f t="shared" si="311"/>
        <v>FICO 640-659</v>
      </c>
      <c r="BA418" s="59" t="str">
        <f t="shared" si="318"/>
        <v>NA</v>
      </c>
      <c r="BB418" s="59" t="str">
        <f t="shared" si="319"/>
        <v>NA</v>
      </c>
      <c r="BC418" s="59" t="str">
        <f t="shared" si="320"/>
        <v>NA</v>
      </c>
      <c r="BD418" s="59" t="str">
        <f t="shared" si="321"/>
        <v>NA</v>
      </c>
      <c r="BE418" s="59" t="str">
        <f t="shared" si="322"/>
        <v>NA</v>
      </c>
      <c r="BF418" s="59" t="str">
        <f t="shared" si="323"/>
        <v>NA</v>
      </c>
    </row>
    <row r="419" spans="2:58" ht="15" customHeight="1" x14ac:dyDescent="0.45">
      <c r="B419" s="60" t="s">
        <v>155</v>
      </c>
      <c r="C419" s="61">
        <v>8.7499999999999994E-2</v>
      </c>
      <c r="D419" s="48">
        <f>C419+0.25%</f>
        <v>0.09</v>
      </c>
      <c r="E419" s="49" t="s">
        <v>150</v>
      </c>
      <c r="F419" s="49" t="s">
        <v>150</v>
      </c>
      <c r="G419" s="49" t="s">
        <v>150</v>
      </c>
      <c r="H419" s="49" t="s">
        <v>150</v>
      </c>
      <c r="L419" s="60" t="s">
        <v>155</v>
      </c>
      <c r="M419" s="62">
        <f t="shared" si="312"/>
        <v>8.7499999999999994E-2</v>
      </c>
      <c r="N419" s="48">
        <f t="shared" si="313"/>
        <v>0.09</v>
      </c>
      <c r="O419" s="49" t="str">
        <f t="shared" si="314"/>
        <v>NA</v>
      </c>
      <c r="P419" s="49" t="str">
        <f t="shared" si="315"/>
        <v>NA</v>
      </c>
      <c r="Q419" s="49" t="str">
        <f t="shared" si="316"/>
        <v>NA</v>
      </c>
      <c r="R419" s="49" t="str">
        <f t="shared" si="317"/>
        <v>NA</v>
      </c>
      <c r="S419" s="50"/>
      <c r="T419" s="51"/>
      <c r="V419" s="60" t="str">
        <f t="shared" si="303"/>
        <v>&lt;64.99%</v>
      </c>
      <c r="W419" s="62">
        <f>C419+0.125%</f>
        <v>8.8749999999999996E-2</v>
      </c>
      <c r="X419" s="48">
        <f>W419+0.25%</f>
        <v>9.1249999999999998E-2</v>
      </c>
      <c r="Y419" s="49" t="s">
        <v>150</v>
      </c>
      <c r="Z419" s="49" t="s">
        <v>150</v>
      </c>
      <c r="AA419" s="49" t="s">
        <v>150</v>
      </c>
      <c r="AB419" s="49" t="s">
        <v>150</v>
      </c>
      <c r="AF419" s="60" t="str">
        <f t="shared" si="304"/>
        <v>&lt;64.99%</v>
      </c>
      <c r="AG419" s="62">
        <f t="shared" si="302"/>
        <v>8.8749999999999996E-2</v>
      </c>
      <c r="AH419" s="48">
        <f t="shared" si="305"/>
        <v>9.1249999999999998E-2</v>
      </c>
      <c r="AI419" s="49" t="str">
        <f t="shared" si="306"/>
        <v>NA</v>
      </c>
      <c r="AJ419" s="49" t="str">
        <f t="shared" si="307"/>
        <v>NA</v>
      </c>
      <c r="AK419" s="49" t="str">
        <f t="shared" si="308"/>
        <v>NA</v>
      </c>
      <c r="AL419" s="49" t="str">
        <f t="shared" si="309"/>
        <v>NA</v>
      </c>
      <c r="AM419" s="50"/>
      <c r="AN419" s="51"/>
      <c r="AP419" s="60" t="str">
        <f t="shared" si="310"/>
        <v>&lt;64.99%</v>
      </c>
      <c r="AQ419" s="62">
        <f>W419+0.125%</f>
        <v>0.09</v>
      </c>
      <c r="AR419" s="48">
        <f>AQ419+0.25%</f>
        <v>9.2499999999999999E-2</v>
      </c>
      <c r="AS419" s="49" t="s">
        <v>150</v>
      </c>
      <c r="AT419" s="49" t="s">
        <v>150</v>
      </c>
      <c r="AU419" s="49" t="s">
        <v>150</v>
      </c>
      <c r="AV419" s="49" t="s">
        <v>150</v>
      </c>
      <c r="AZ419" s="60" t="str">
        <f t="shared" si="311"/>
        <v>&lt;64.99%</v>
      </c>
      <c r="BA419" s="62">
        <f t="shared" si="318"/>
        <v>0.09</v>
      </c>
      <c r="BB419" s="48">
        <f t="shared" si="319"/>
        <v>9.2499999999999999E-2</v>
      </c>
      <c r="BC419" s="49" t="str">
        <f t="shared" si="320"/>
        <v>NA</v>
      </c>
      <c r="BD419" s="49" t="str">
        <f t="shared" si="321"/>
        <v>NA</v>
      </c>
      <c r="BE419" s="49" t="str">
        <f t="shared" si="322"/>
        <v>NA</v>
      </c>
      <c r="BF419" s="49" t="str">
        <f t="shared" si="323"/>
        <v>NA</v>
      </c>
    </row>
    <row r="420" spans="2:58" ht="15" customHeight="1" x14ac:dyDescent="0.45">
      <c r="B420" s="52" t="s">
        <v>151</v>
      </c>
      <c r="C420" s="53">
        <f>C419+0</f>
        <v>8.7499999999999994E-2</v>
      </c>
      <c r="D420" s="53">
        <f>D419+0</f>
        <v>0.09</v>
      </c>
      <c r="E420" s="54" t="s">
        <v>150</v>
      </c>
      <c r="F420" s="54" t="s">
        <v>150</v>
      </c>
      <c r="G420" s="54" t="s">
        <v>150</v>
      </c>
      <c r="H420" s="54" t="s">
        <v>150</v>
      </c>
      <c r="L420" s="52" t="s">
        <v>151</v>
      </c>
      <c r="M420" s="53">
        <f t="shared" si="312"/>
        <v>8.7499999999999994E-2</v>
      </c>
      <c r="N420" s="53">
        <f t="shared" si="313"/>
        <v>0.09</v>
      </c>
      <c r="O420" s="54" t="str">
        <f t="shared" si="314"/>
        <v>NA</v>
      </c>
      <c r="P420" s="54" t="str">
        <f t="shared" si="315"/>
        <v>NA</v>
      </c>
      <c r="Q420" s="54" t="str">
        <f t="shared" si="316"/>
        <v>NA</v>
      </c>
      <c r="R420" s="54" t="str">
        <f t="shared" si="317"/>
        <v>NA</v>
      </c>
      <c r="S420" s="55"/>
      <c r="T420" s="56"/>
      <c r="V420" s="52" t="str">
        <f t="shared" si="303"/>
        <v>FICO 700+</v>
      </c>
      <c r="W420" s="53">
        <f>W419+0</f>
        <v>8.8749999999999996E-2</v>
      </c>
      <c r="X420" s="53">
        <f>X419+0</f>
        <v>9.1249999999999998E-2</v>
      </c>
      <c r="Y420" s="54" t="s">
        <v>150</v>
      </c>
      <c r="Z420" s="54" t="s">
        <v>150</v>
      </c>
      <c r="AA420" s="54" t="s">
        <v>150</v>
      </c>
      <c r="AB420" s="54" t="s">
        <v>150</v>
      </c>
      <c r="AF420" s="52" t="str">
        <f t="shared" si="304"/>
        <v>FICO 700+</v>
      </c>
      <c r="AG420" s="53">
        <f t="shared" si="302"/>
        <v>8.8749999999999996E-2</v>
      </c>
      <c r="AH420" s="53">
        <f t="shared" si="305"/>
        <v>9.1249999999999998E-2</v>
      </c>
      <c r="AI420" s="54" t="str">
        <f t="shared" si="306"/>
        <v>NA</v>
      </c>
      <c r="AJ420" s="54" t="str">
        <f t="shared" si="307"/>
        <v>NA</v>
      </c>
      <c r="AK420" s="54" t="str">
        <f t="shared" si="308"/>
        <v>NA</v>
      </c>
      <c r="AL420" s="54" t="str">
        <f t="shared" si="309"/>
        <v>NA</v>
      </c>
      <c r="AM420" s="55"/>
      <c r="AN420" s="56"/>
      <c r="AP420" s="52" t="str">
        <f t="shared" si="310"/>
        <v>FICO 700+</v>
      </c>
      <c r="AQ420" s="53">
        <f>AQ419+0</f>
        <v>0.09</v>
      </c>
      <c r="AR420" s="53">
        <f>AR419+0</f>
        <v>9.2499999999999999E-2</v>
      </c>
      <c r="AS420" s="54" t="s">
        <v>150</v>
      </c>
      <c r="AT420" s="54" t="s">
        <v>150</v>
      </c>
      <c r="AU420" s="54" t="s">
        <v>150</v>
      </c>
      <c r="AV420" s="54" t="s">
        <v>150</v>
      </c>
      <c r="AZ420" s="52" t="str">
        <f t="shared" si="311"/>
        <v>FICO 700+</v>
      </c>
      <c r="BA420" s="53">
        <f t="shared" si="318"/>
        <v>0.09</v>
      </c>
      <c r="BB420" s="53">
        <f t="shared" si="319"/>
        <v>9.2499999999999999E-2</v>
      </c>
      <c r="BC420" s="54" t="str">
        <f t="shared" si="320"/>
        <v>NA</v>
      </c>
      <c r="BD420" s="54" t="str">
        <f t="shared" si="321"/>
        <v>NA</v>
      </c>
      <c r="BE420" s="54" t="str">
        <f t="shared" si="322"/>
        <v>NA</v>
      </c>
      <c r="BF420" s="54" t="str">
        <f t="shared" si="323"/>
        <v>NA</v>
      </c>
    </row>
    <row r="421" spans="2:58" ht="15" customHeight="1" x14ac:dyDescent="0.45">
      <c r="B421" s="52" t="s">
        <v>152</v>
      </c>
      <c r="C421" s="53">
        <f>C419+0.5%</f>
        <v>9.2499999999999999E-2</v>
      </c>
      <c r="D421" s="53">
        <f>D419+0.5%</f>
        <v>9.5000000000000001E-2</v>
      </c>
      <c r="E421" s="54" t="s">
        <v>150</v>
      </c>
      <c r="F421" s="54" t="s">
        <v>150</v>
      </c>
      <c r="G421" s="54" t="s">
        <v>150</v>
      </c>
      <c r="H421" s="54" t="s">
        <v>150</v>
      </c>
      <c r="L421" s="52" t="s">
        <v>152</v>
      </c>
      <c r="M421" s="53">
        <f t="shared" si="312"/>
        <v>9.2499999999999999E-2</v>
      </c>
      <c r="N421" s="53">
        <f t="shared" si="313"/>
        <v>9.5000000000000001E-2</v>
      </c>
      <c r="O421" s="54" t="str">
        <f t="shared" si="314"/>
        <v>NA</v>
      </c>
      <c r="P421" s="54" t="str">
        <f t="shared" si="315"/>
        <v>NA</v>
      </c>
      <c r="Q421" s="54" t="str">
        <f t="shared" si="316"/>
        <v>NA</v>
      </c>
      <c r="R421" s="54" t="str">
        <f t="shared" si="317"/>
        <v>NA</v>
      </c>
      <c r="S421" s="55"/>
      <c r="T421" s="56"/>
      <c r="V421" s="52" t="str">
        <f t="shared" si="303"/>
        <v>FICO 660-699</v>
      </c>
      <c r="W421" s="53">
        <f>W419+0.5%</f>
        <v>9.375E-2</v>
      </c>
      <c r="X421" s="53">
        <f>X419+0.5%</f>
        <v>9.6250000000000002E-2</v>
      </c>
      <c r="Y421" s="54" t="s">
        <v>150</v>
      </c>
      <c r="Z421" s="54" t="s">
        <v>150</v>
      </c>
      <c r="AA421" s="54" t="s">
        <v>150</v>
      </c>
      <c r="AB421" s="54" t="s">
        <v>150</v>
      </c>
      <c r="AF421" s="52" t="str">
        <f t="shared" si="304"/>
        <v>FICO 660-699</v>
      </c>
      <c r="AG421" s="53">
        <f t="shared" si="302"/>
        <v>9.375E-2</v>
      </c>
      <c r="AH421" s="53">
        <f t="shared" si="305"/>
        <v>9.6250000000000002E-2</v>
      </c>
      <c r="AI421" s="54" t="str">
        <f t="shared" si="306"/>
        <v>NA</v>
      </c>
      <c r="AJ421" s="54" t="str">
        <f t="shared" si="307"/>
        <v>NA</v>
      </c>
      <c r="AK421" s="54" t="str">
        <f t="shared" si="308"/>
        <v>NA</v>
      </c>
      <c r="AL421" s="54" t="str">
        <f t="shared" si="309"/>
        <v>NA</v>
      </c>
      <c r="AM421" s="55"/>
      <c r="AN421" s="56"/>
      <c r="AP421" s="52" t="str">
        <f t="shared" si="310"/>
        <v>FICO 660-699</v>
      </c>
      <c r="AQ421" s="53">
        <f>AQ419+0.5%</f>
        <v>9.5000000000000001E-2</v>
      </c>
      <c r="AR421" s="53">
        <f>AR419+0.5%</f>
        <v>9.7500000000000003E-2</v>
      </c>
      <c r="AS421" s="54" t="s">
        <v>150</v>
      </c>
      <c r="AT421" s="54" t="s">
        <v>150</v>
      </c>
      <c r="AU421" s="54" t="s">
        <v>150</v>
      </c>
      <c r="AV421" s="54" t="s">
        <v>150</v>
      </c>
      <c r="AZ421" s="52" t="str">
        <f t="shared" si="311"/>
        <v>FICO 660-699</v>
      </c>
      <c r="BA421" s="53">
        <f t="shared" si="318"/>
        <v>9.5000000000000001E-2</v>
      </c>
      <c r="BB421" s="53">
        <f t="shared" si="319"/>
        <v>9.7500000000000003E-2</v>
      </c>
      <c r="BC421" s="54" t="str">
        <f t="shared" si="320"/>
        <v>NA</v>
      </c>
      <c r="BD421" s="54" t="str">
        <f t="shared" si="321"/>
        <v>NA</v>
      </c>
      <c r="BE421" s="54" t="str">
        <f t="shared" si="322"/>
        <v>NA</v>
      </c>
      <c r="BF421" s="54" t="str">
        <f t="shared" si="323"/>
        <v>NA</v>
      </c>
    </row>
    <row r="422" spans="2:58" ht="15" customHeight="1" x14ac:dyDescent="0.45">
      <c r="B422" s="52" t="s">
        <v>153</v>
      </c>
      <c r="C422" s="54" t="s">
        <v>150</v>
      </c>
      <c r="D422" s="54" t="s">
        <v>150</v>
      </c>
      <c r="E422" s="54" t="s">
        <v>150</v>
      </c>
      <c r="F422" s="54" t="s">
        <v>150</v>
      </c>
      <c r="G422" s="54" t="s">
        <v>150</v>
      </c>
      <c r="H422" s="54" t="s">
        <v>150</v>
      </c>
      <c r="L422" s="52" t="s">
        <v>153</v>
      </c>
      <c r="M422" s="54" t="str">
        <f t="shared" si="312"/>
        <v>NA</v>
      </c>
      <c r="N422" s="54" t="str">
        <f t="shared" si="313"/>
        <v>NA</v>
      </c>
      <c r="O422" s="54" t="str">
        <f t="shared" si="314"/>
        <v>NA</v>
      </c>
      <c r="P422" s="54" t="str">
        <f t="shared" si="315"/>
        <v>NA</v>
      </c>
      <c r="Q422" s="54" t="str">
        <f t="shared" si="316"/>
        <v>NA</v>
      </c>
      <c r="R422" s="54" t="str">
        <f t="shared" si="317"/>
        <v>NA</v>
      </c>
      <c r="S422" s="55"/>
      <c r="T422" s="56"/>
      <c r="V422" s="52" t="str">
        <f t="shared" si="303"/>
        <v>FICO 640-659</v>
      </c>
      <c r="W422" s="54" t="s">
        <v>150</v>
      </c>
      <c r="X422" s="54" t="s">
        <v>150</v>
      </c>
      <c r="Y422" s="54" t="s">
        <v>150</v>
      </c>
      <c r="Z422" s="54" t="s">
        <v>150</v>
      </c>
      <c r="AA422" s="54" t="s">
        <v>150</v>
      </c>
      <c r="AB422" s="54" t="s">
        <v>150</v>
      </c>
      <c r="AF422" s="52" t="str">
        <f t="shared" si="304"/>
        <v>FICO 640-659</v>
      </c>
      <c r="AG422" s="54" t="str">
        <f t="shared" si="302"/>
        <v>NA</v>
      </c>
      <c r="AH422" s="54" t="str">
        <f t="shared" si="305"/>
        <v>NA</v>
      </c>
      <c r="AI422" s="54" t="str">
        <f t="shared" si="306"/>
        <v>NA</v>
      </c>
      <c r="AJ422" s="54" t="str">
        <f t="shared" si="307"/>
        <v>NA</v>
      </c>
      <c r="AK422" s="54" t="str">
        <f t="shared" si="308"/>
        <v>NA</v>
      </c>
      <c r="AL422" s="54" t="str">
        <f t="shared" si="309"/>
        <v>NA</v>
      </c>
      <c r="AM422" s="55"/>
      <c r="AN422" s="56"/>
      <c r="AP422" s="52" t="str">
        <f t="shared" si="310"/>
        <v>FICO 640-659</v>
      </c>
      <c r="AQ422" s="54" t="s">
        <v>150</v>
      </c>
      <c r="AR422" s="54" t="s">
        <v>150</v>
      </c>
      <c r="AS422" s="54" t="s">
        <v>150</v>
      </c>
      <c r="AT422" s="54" t="s">
        <v>150</v>
      </c>
      <c r="AU422" s="54" t="s">
        <v>150</v>
      </c>
      <c r="AV422" s="54" t="s">
        <v>150</v>
      </c>
      <c r="AZ422" s="52" t="str">
        <f t="shared" si="311"/>
        <v>FICO 640-659</v>
      </c>
      <c r="BA422" s="54" t="str">
        <f t="shared" si="318"/>
        <v>NA</v>
      </c>
      <c r="BB422" s="54" t="str">
        <f t="shared" si="319"/>
        <v>NA</v>
      </c>
      <c r="BC422" s="54" t="str">
        <f t="shared" si="320"/>
        <v>NA</v>
      </c>
      <c r="BD422" s="54" t="str">
        <f t="shared" si="321"/>
        <v>NA</v>
      </c>
      <c r="BE422" s="54" t="str">
        <f t="shared" si="322"/>
        <v>NA</v>
      </c>
      <c r="BF422" s="54" t="str">
        <f t="shared" si="323"/>
        <v>NA</v>
      </c>
    </row>
    <row r="423" spans="2:58" ht="15" customHeight="1" x14ac:dyDescent="0.45">
      <c r="B423" s="37"/>
      <c r="C423" s="63"/>
      <c r="D423" s="63"/>
      <c r="E423" s="63"/>
      <c r="F423" s="63"/>
      <c r="G423" s="63"/>
      <c r="H423" s="63"/>
      <c r="L423" s="37"/>
      <c r="M423" s="63"/>
      <c r="N423" s="63"/>
      <c r="O423" s="63"/>
      <c r="P423" s="63"/>
      <c r="Q423" s="63"/>
      <c r="R423" s="63"/>
      <c r="S423" s="55"/>
      <c r="T423" s="56"/>
      <c r="V423" s="37"/>
      <c r="W423" s="63"/>
      <c r="X423" s="63"/>
      <c r="Y423" s="63"/>
      <c r="Z423" s="63"/>
      <c r="AA423" s="63"/>
      <c r="AB423" s="63"/>
      <c r="AF423" s="37"/>
      <c r="AG423" s="63"/>
      <c r="AH423" s="63"/>
      <c r="AI423" s="63"/>
      <c r="AJ423" s="63"/>
      <c r="AK423" s="63"/>
      <c r="AL423" s="63"/>
      <c r="AM423" s="55"/>
      <c r="AN423" s="56"/>
      <c r="AP423" s="37"/>
      <c r="AQ423" s="63"/>
      <c r="AR423" s="63"/>
      <c r="AS423" s="63"/>
      <c r="AT423" s="63"/>
      <c r="AU423" s="63"/>
      <c r="AV423" s="63"/>
      <c r="AZ423" s="37"/>
      <c r="BA423" s="63"/>
      <c r="BB423" s="63"/>
      <c r="BC423" s="63"/>
      <c r="BD423" s="63"/>
      <c r="BE423" s="63"/>
      <c r="BF423" s="63"/>
    </row>
    <row r="424" spans="2:58" ht="15.75" customHeight="1" x14ac:dyDescent="0.45">
      <c r="B424" s="94" t="s">
        <v>157</v>
      </c>
      <c r="C424" s="94"/>
      <c r="D424" s="94"/>
      <c r="E424" s="94"/>
      <c r="F424" s="94"/>
      <c r="G424" s="94"/>
      <c r="H424" s="94"/>
      <c r="L424" s="94" t="s">
        <v>157</v>
      </c>
      <c r="M424" s="94"/>
      <c r="N424" s="94"/>
      <c r="O424" s="94"/>
      <c r="P424" s="94"/>
      <c r="Q424" s="94"/>
      <c r="R424" s="94"/>
      <c r="S424" s="39"/>
      <c r="T424" s="40"/>
      <c r="V424" s="94" t="s">
        <v>157</v>
      </c>
      <c r="W424" s="94"/>
      <c r="X424" s="94"/>
      <c r="Y424" s="94"/>
      <c r="Z424" s="94"/>
      <c r="AA424" s="94"/>
      <c r="AB424" s="94"/>
      <c r="AF424" s="94" t="s">
        <v>157</v>
      </c>
      <c r="AG424" s="94"/>
      <c r="AH424" s="94"/>
      <c r="AI424" s="94"/>
      <c r="AJ424" s="94"/>
      <c r="AK424" s="94"/>
      <c r="AL424" s="94"/>
      <c r="AM424" s="39"/>
      <c r="AN424" s="40"/>
      <c r="AP424" s="94" t="s">
        <v>157</v>
      </c>
      <c r="AQ424" s="94"/>
      <c r="AR424" s="94"/>
      <c r="AS424" s="94"/>
      <c r="AT424" s="94"/>
      <c r="AU424" s="94"/>
      <c r="AV424" s="94"/>
      <c r="AZ424" s="94" t="s">
        <v>157</v>
      </c>
      <c r="BA424" s="94"/>
      <c r="BB424" s="94"/>
      <c r="BC424" s="94"/>
      <c r="BD424" s="94"/>
      <c r="BE424" s="94"/>
      <c r="BF424" s="94"/>
    </row>
    <row r="425" spans="2:58" ht="15" customHeight="1" x14ac:dyDescent="0.45">
      <c r="B425" s="42"/>
      <c r="C425" s="95" t="s">
        <v>50</v>
      </c>
      <c r="D425" s="95"/>
      <c r="E425" s="95"/>
      <c r="F425" s="95"/>
      <c r="G425" s="95"/>
      <c r="H425" s="95"/>
      <c r="L425" s="42"/>
      <c r="M425" s="95" t="s">
        <v>50</v>
      </c>
      <c r="N425" s="95"/>
      <c r="O425" s="95"/>
      <c r="P425" s="95"/>
      <c r="Q425" s="95"/>
      <c r="R425" s="95"/>
      <c r="S425" s="41"/>
      <c r="T425" s="43"/>
      <c r="V425" s="42"/>
      <c r="W425" s="95" t="str">
        <f>C425</f>
        <v>LTC</v>
      </c>
      <c r="X425" s="95"/>
      <c r="Y425" s="95"/>
      <c r="Z425" s="95"/>
      <c r="AA425" s="95"/>
      <c r="AB425" s="95"/>
      <c r="AF425" s="42"/>
      <c r="AG425" s="95" t="str">
        <f t="shared" ref="AG425:AG438" si="324">W425</f>
        <v>LTC</v>
      </c>
      <c r="AH425" s="95"/>
      <c r="AI425" s="95"/>
      <c r="AJ425" s="95"/>
      <c r="AK425" s="95"/>
      <c r="AL425" s="95"/>
      <c r="AM425" s="41"/>
      <c r="AN425" s="43"/>
      <c r="AP425" s="42"/>
      <c r="AQ425" s="95" t="str">
        <f>C425</f>
        <v>LTC</v>
      </c>
      <c r="AR425" s="95"/>
      <c r="AS425" s="95"/>
      <c r="AT425" s="95"/>
      <c r="AU425" s="95"/>
      <c r="AV425" s="95"/>
      <c r="AZ425" s="42"/>
      <c r="BA425" s="95" t="str">
        <f>C425</f>
        <v>LTC</v>
      </c>
      <c r="BB425" s="95"/>
      <c r="BC425" s="95"/>
      <c r="BD425" s="95"/>
      <c r="BE425" s="95"/>
      <c r="BF425" s="95"/>
    </row>
    <row r="426" spans="2:58" ht="15" customHeight="1" x14ac:dyDescent="0.45">
      <c r="B426" s="44" t="s">
        <v>52</v>
      </c>
      <c r="C426" s="45" t="s">
        <v>143</v>
      </c>
      <c r="D426" s="45" t="s">
        <v>144</v>
      </c>
      <c r="E426" s="45" t="s">
        <v>145</v>
      </c>
      <c r="F426" s="45" t="s">
        <v>146</v>
      </c>
      <c r="G426" s="45" t="s">
        <v>147</v>
      </c>
      <c r="H426" s="45" t="s">
        <v>148</v>
      </c>
      <c r="L426" s="44" t="s">
        <v>52</v>
      </c>
      <c r="M426" s="45" t="s">
        <v>143</v>
      </c>
      <c r="N426" s="45" t="s">
        <v>144</v>
      </c>
      <c r="O426" s="45" t="s">
        <v>145</v>
      </c>
      <c r="P426" s="45" t="s">
        <v>146</v>
      </c>
      <c r="Q426" s="45" t="s">
        <v>147</v>
      </c>
      <c r="R426" s="45" t="s">
        <v>148</v>
      </c>
      <c r="S426" s="41"/>
      <c r="T426" s="43"/>
      <c r="V426" s="44" t="str">
        <f t="shared" ref="V426:V438" si="325">B426</f>
        <v>AR-LTV</v>
      </c>
      <c r="W426" s="45" t="str">
        <f>C426</f>
        <v>&lt;74.99%</v>
      </c>
      <c r="X426" s="45" t="str">
        <f>D426</f>
        <v>75.00%-80.00%</v>
      </c>
      <c r="Y426" s="45" t="str">
        <f>E426</f>
        <v>80.01%-85.00%</v>
      </c>
      <c r="Z426" s="45" t="str">
        <f>F426</f>
        <v>85.01%-87.50%</v>
      </c>
      <c r="AA426" s="45" t="str">
        <f>G426</f>
        <v>87.51%-89.99%</v>
      </c>
      <c r="AB426" s="45" t="str">
        <f>H426</f>
        <v>90.00%-92.50%</v>
      </c>
      <c r="AF426" s="44" t="str">
        <f t="shared" ref="AF426:AF438" si="326">V426</f>
        <v>AR-LTV</v>
      </c>
      <c r="AG426" s="45" t="str">
        <f t="shared" si="324"/>
        <v>&lt;74.99%</v>
      </c>
      <c r="AH426" s="45" t="str">
        <f t="shared" ref="AH426:AH438" si="327">X426</f>
        <v>75.00%-80.00%</v>
      </c>
      <c r="AI426" s="45" t="str">
        <f t="shared" ref="AI426:AI438" si="328">Y426</f>
        <v>80.01%-85.00%</v>
      </c>
      <c r="AJ426" s="45" t="str">
        <f t="shared" ref="AJ426:AJ438" si="329">Z426</f>
        <v>85.01%-87.50%</v>
      </c>
      <c r="AK426" s="45" t="str">
        <f t="shared" ref="AK426:AK438" si="330">AA426</f>
        <v>87.51%-89.99%</v>
      </c>
      <c r="AL426" s="45" t="str">
        <f t="shared" ref="AL426:AL438" si="331">AB426</f>
        <v>90.00%-92.50%</v>
      </c>
      <c r="AM426" s="41"/>
      <c r="AN426" s="43"/>
      <c r="AP426" s="44" t="str">
        <f t="shared" ref="AP426:AP438" si="332">B426</f>
        <v>AR-LTV</v>
      </c>
      <c r="AQ426" s="45" t="str">
        <f>C426</f>
        <v>&lt;74.99%</v>
      </c>
      <c r="AR426" s="45" t="str">
        <f>D426</f>
        <v>75.00%-80.00%</v>
      </c>
      <c r="AS426" s="45" t="str">
        <f>E426</f>
        <v>80.01%-85.00%</v>
      </c>
      <c r="AT426" s="45" t="str">
        <f>F426</f>
        <v>85.01%-87.50%</v>
      </c>
      <c r="AU426" s="45" t="str">
        <f>G426</f>
        <v>87.51%-89.99%</v>
      </c>
      <c r="AV426" s="45" t="str">
        <f>H426</f>
        <v>90.00%-92.50%</v>
      </c>
      <c r="AZ426" s="44" t="str">
        <f t="shared" ref="AZ426:AZ438" si="333">B426</f>
        <v>AR-LTV</v>
      </c>
      <c r="BA426" s="45" t="str">
        <f>C426</f>
        <v>&lt;74.99%</v>
      </c>
      <c r="BB426" s="45" t="str">
        <f>D426</f>
        <v>75.00%-80.00%</v>
      </c>
      <c r="BC426" s="45" t="str">
        <f>E426</f>
        <v>80.01%-85.00%</v>
      </c>
      <c r="BD426" s="45" t="str">
        <f>F426</f>
        <v>85.01%-87.50%</v>
      </c>
      <c r="BE426" s="45" t="str">
        <f>G426</f>
        <v>87.51%-89.99%</v>
      </c>
      <c r="BF426" s="45" t="str">
        <f>H426</f>
        <v>90.00%-92.50%</v>
      </c>
    </row>
    <row r="427" spans="2:58" ht="15" customHeight="1" x14ac:dyDescent="0.45">
      <c r="B427" s="46" t="s">
        <v>149</v>
      </c>
      <c r="C427" s="49" t="s">
        <v>150</v>
      </c>
      <c r="D427" s="49" t="s">
        <v>150</v>
      </c>
      <c r="E427" s="49" t="s">
        <v>150</v>
      </c>
      <c r="F427" s="49" t="s">
        <v>150</v>
      </c>
      <c r="G427" s="49" t="s">
        <v>150</v>
      </c>
      <c r="H427" s="49" t="s">
        <v>150</v>
      </c>
      <c r="L427" s="46" t="s">
        <v>149</v>
      </c>
      <c r="M427" s="49" t="str">
        <f t="shared" ref="M427:M438" si="334">C427</f>
        <v>NA</v>
      </c>
      <c r="N427" s="49" t="str">
        <f t="shared" ref="N427:N438" si="335">D427</f>
        <v>NA</v>
      </c>
      <c r="O427" s="49" t="str">
        <f t="shared" ref="O427:O438" si="336">E427</f>
        <v>NA</v>
      </c>
      <c r="P427" s="49" t="str">
        <f t="shared" ref="P427:P438" si="337">F427</f>
        <v>NA</v>
      </c>
      <c r="Q427" s="49" t="str">
        <f t="shared" ref="Q427:Q438" si="338">G427</f>
        <v>NA</v>
      </c>
      <c r="R427" s="49" t="str">
        <f t="shared" ref="R427:R438" si="339">H427</f>
        <v>NA</v>
      </c>
      <c r="S427" s="50"/>
      <c r="T427" s="51"/>
      <c r="V427" s="46" t="str">
        <f t="shared" si="325"/>
        <v>70.01%-75.00%</v>
      </c>
      <c r="W427" s="49" t="s">
        <v>150</v>
      </c>
      <c r="X427" s="49" t="s">
        <v>150</v>
      </c>
      <c r="Y427" s="49" t="s">
        <v>150</v>
      </c>
      <c r="Z427" s="49" t="s">
        <v>150</v>
      </c>
      <c r="AA427" s="49" t="s">
        <v>150</v>
      </c>
      <c r="AB427" s="49" t="s">
        <v>150</v>
      </c>
      <c r="AF427" s="46" t="str">
        <f t="shared" si="326"/>
        <v>70.01%-75.00%</v>
      </c>
      <c r="AG427" s="49" t="str">
        <f t="shared" si="324"/>
        <v>NA</v>
      </c>
      <c r="AH427" s="49" t="str">
        <f t="shared" si="327"/>
        <v>NA</v>
      </c>
      <c r="AI427" s="49" t="str">
        <f t="shared" si="328"/>
        <v>NA</v>
      </c>
      <c r="AJ427" s="49" t="str">
        <f t="shared" si="329"/>
        <v>NA</v>
      </c>
      <c r="AK427" s="49" t="str">
        <f t="shared" si="330"/>
        <v>NA</v>
      </c>
      <c r="AL427" s="49" t="str">
        <f t="shared" si="331"/>
        <v>NA</v>
      </c>
      <c r="AM427" s="50"/>
      <c r="AN427" s="51"/>
      <c r="AP427" s="46" t="str">
        <f t="shared" si="332"/>
        <v>70.01%-75.00%</v>
      </c>
      <c r="AQ427" s="49" t="s">
        <v>150</v>
      </c>
      <c r="AR427" s="49" t="s">
        <v>150</v>
      </c>
      <c r="AS427" s="49" t="s">
        <v>150</v>
      </c>
      <c r="AT427" s="49" t="s">
        <v>150</v>
      </c>
      <c r="AU427" s="49" t="s">
        <v>150</v>
      </c>
      <c r="AV427" s="49" t="s">
        <v>150</v>
      </c>
      <c r="AZ427" s="46" t="str">
        <f t="shared" si="333"/>
        <v>70.01%-75.00%</v>
      </c>
      <c r="BA427" s="49" t="str">
        <f t="shared" ref="BA427:BA438" si="340">AQ427</f>
        <v>NA</v>
      </c>
      <c r="BB427" s="49" t="str">
        <f t="shared" ref="BB427:BB438" si="341">AR427</f>
        <v>NA</v>
      </c>
      <c r="BC427" s="49" t="str">
        <f t="shared" ref="BC427:BC438" si="342">AS427</f>
        <v>NA</v>
      </c>
      <c r="BD427" s="49" t="str">
        <f t="shared" ref="BD427:BD438" si="343">AT427</f>
        <v>NA</v>
      </c>
      <c r="BE427" s="49" t="str">
        <f t="shared" ref="BE427:BE438" si="344">AU427</f>
        <v>NA</v>
      </c>
      <c r="BF427" s="49" t="str">
        <f t="shared" ref="BF427:BF438" si="345">AV427</f>
        <v>NA</v>
      </c>
    </row>
    <row r="428" spans="2:58" ht="15" customHeight="1" x14ac:dyDescent="0.45">
      <c r="B428" s="52" t="s">
        <v>151</v>
      </c>
      <c r="C428" s="54" t="s">
        <v>150</v>
      </c>
      <c r="D428" s="54" t="s">
        <v>150</v>
      </c>
      <c r="E428" s="54" t="s">
        <v>150</v>
      </c>
      <c r="F428" s="54" t="s">
        <v>150</v>
      </c>
      <c r="G428" s="54" t="s">
        <v>150</v>
      </c>
      <c r="H428" s="54" t="s">
        <v>150</v>
      </c>
      <c r="L428" s="52" t="s">
        <v>151</v>
      </c>
      <c r="M428" s="54" t="str">
        <f t="shared" si="334"/>
        <v>NA</v>
      </c>
      <c r="N428" s="54" t="str">
        <f t="shared" si="335"/>
        <v>NA</v>
      </c>
      <c r="O428" s="54" t="str">
        <f t="shared" si="336"/>
        <v>NA</v>
      </c>
      <c r="P428" s="54" t="str">
        <f t="shared" si="337"/>
        <v>NA</v>
      </c>
      <c r="Q428" s="54" t="str">
        <f t="shared" si="338"/>
        <v>NA</v>
      </c>
      <c r="R428" s="54" t="str">
        <f t="shared" si="339"/>
        <v>NA</v>
      </c>
      <c r="S428" s="55"/>
      <c r="T428" s="56"/>
      <c r="V428" s="52" t="str">
        <f t="shared" si="325"/>
        <v>FICO 700+</v>
      </c>
      <c r="W428" s="54" t="s">
        <v>150</v>
      </c>
      <c r="X428" s="54" t="s">
        <v>150</v>
      </c>
      <c r="Y428" s="54" t="s">
        <v>150</v>
      </c>
      <c r="Z428" s="54" t="s">
        <v>150</v>
      </c>
      <c r="AA428" s="54" t="s">
        <v>150</v>
      </c>
      <c r="AB428" s="54" t="s">
        <v>150</v>
      </c>
      <c r="AF428" s="52" t="str">
        <f t="shared" si="326"/>
        <v>FICO 700+</v>
      </c>
      <c r="AG428" s="54" t="str">
        <f t="shared" si="324"/>
        <v>NA</v>
      </c>
      <c r="AH428" s="54" t="str">
        <f t="shared" si="327"/>
        <v>NA</v>
      </c>
      <c r="AI428" s="54" t="str">
        <f t="shared" si="328"/>
        <v>NA</v>
      </c>
      <c r="AJ428" s="54" t="str">
        <f t="shared" si="329"/>
        <v>NA</v>
      </c>
      <c r="AK428" s="54" t="str">
        <f t="shared" si="330"/>
        <v>NA</v>
      </c>
      <c r="AL428" s="54" t="str">
        <f t="shared" si="331"/>
        <v>NA</v>
      </c>
      <c r="AM428" s="55"/>
      <c r="AN428" s="56"/>
      <c r="AP428" s="52" t="str">
        <f t="shared" si="332"/>
        <v>FICO 700+</v>
      </c>
      <c r="AQ428" s="54" t="s">
        <v>150</v>
      </c>
      <c r="AR428" s="54" t="s">
        <v>150</v>
      </c>
      <c r="AS428" s="54" t="s">
        <v>150</v>
      </c>
      <c r="AT428" s="54" t="s">
        <v>150</v>
      </c>
      <c r="AU428" s="54" t="s">
        <v>150</v>
      </c>
      <c r="AV428" s="54" t="s">
        <v>150</v>
      </c>
      <c r="AZ428" s="52" t="str">
        <f t="shared" si="333"/>
        <v>FICO 700+</v>
      </c>
      <c r="BA428" s="54" t="str">
        <f t="shared" si="340"/>
        <v>NA</v>
      </c>
      <c r="BB428" s="54" t="str">
        <f t="shared" si="341"/>
        <v>NA</v>
      </c>
      <c r="BC428" s="54" t="str">
        <f t="shared" si="342"/>
        <v>NA</v>
      </c>
      <c r="BD428" s="54" t="str">
        <f t="shared" si="343"/>
        <v>NA</v>
      </c>
      <c r="BE428" s="54" t="str">
        <f t="shared" si="344"/>
        <v>NA</v>
      </c>
      <c r="BF428" s="54" t="str">
        <f t="shared" si="345"/>
        <v>NA</v>
      </c>
    </row>
    <row r="429" spans="2:58" ht="15" customHeight="1" x14ac:dyDescent="0.45">
      <c r="B429" s="52" t="s">
        <v>158</v>
      </c>
      <c r="C429" s="54" t="s">
        <v>150</v>
      </c>
      <c r="D429" s="54" t="s">
        <v>150</v>
      </c>
      <c r="E429" s="54" t="s">
        <v>150</v>
      </c>
      <c r="F429" s="54" t="s">
        <v>150</v>
      </c>
      <c r="G429" s="54" t="s">
        <v>150</v>
      </c>
      <c r="H429" s="54" t="s">
        <v>150</v>
      </c>
      <c r="L429" s="52" t="s">
        <v>158</v>
      </c>
      <c r="M429" s="54" t="str">
        <f t="shared" si="334"/>
        <v>NA</v>
      </c>
      <c r="N429" s="54" t="str">
        <f t="shared" si="335"/>
        <v>NA</v>
      </c>
      <c r="O429" s="54" t="str">
        <f t="shared" si="336"/>
        <v>NA</v>
      </c>
      <c r="P429" s="54" t="str">
        <f t="shared" si="337"/>
        <v>NA</v>
      </c>
      <c r="Q429" s="54" t="str">
        <f t="shared" si="338"/>
        <v>NA</v>
      </c>
      <c r="R429" s="54" t="str">
        <f t="shared" si="339"/>
        <v>NA</v>
      </c>
      <c r="S429" s="55"/>
      <c r="T429" s="56"/>
      <c r="V429" s="52" t="str">
        <f t="shared" si="325"/>
        <v>FICO 680-699</v>
      </c>
      <c r="W429" s="54" t="s">
        <v>150</v>
      </c>
      <c r="X429" s="54" t="s">
        <v>150</v>
      </c>
      <c r="Y429" s="54" t="s">
        <v>150</v>
      </c>
      <c r="Z429" s="54" t="s">
        <v>150</v>
      </c>
      <c r="AA429" s="54" t="s">
        <v>150</v>
      </c>
      <c r="AB429" s="54" t="s">
        <v>150</v>
      </c>
      <c r="AF429" s="52" t="str">
        <f t="shared" si="326"/>
        <v>FICO 680-699</v>
      </c>
      <c r="AG429" s="54" t="str">
        <f t="shared" si="324"/>
        <v>NA</v>
      </c>
      <c r="AH429" s="54" t="str">
        <f t="shared" si="327"/>
        <v>NA</v>
      </c>
      <c r="AI429" s="54" t="str">
        <f t="shared" si="328"/>
        <v>NA</v>
      </c>
      <c r="AJ429" s="54" t="str">
        <f t="shared" si="329"/>
        <v>NA</v>
      </c>
      <c r="AK429" s="54" t="str">
        <f t="shared" si="330"/>
        <v>NA</v>
      </c>
      <c r="AL429" s="54" t="str">
        <f t="shared" si="331"/>
        <v>NA</v>
      </c>
      <c r="AM429" s="55"/>
      <c r="AN429" s="56"/>
      <c r="AP429" s="52" t="str">
        <f t="shared" si="332"/>
        <v>FICO 680-699</v>
      </c>
      <c r="AQ429" s="54" t="s">
        <v>150</v>
      </c>
      <c r="AR429" s="54" t="s">
        <v>150</v>
      </c>
      <c r="AS429" s="54" t="s">
        <v>150</v>
      </c>
      <c r="AT429" s="54" t="s">
        <v>150</v>
      </c>
      <c r="AU429" s="54" t="s">
        <v>150</v>
      </c>
      <c r="AV429" s="54" t="s">
        <v>150</v>
      </c>
      <c r="AZ429" s="52" t="str">
        <f t="shared" si="333"/>
        <v>FICO 680-699</v>
      </c>
      <c r="BA429" s="54" t="str">
        <f t="shared" si="340"/>
        <v>NA</v>
      </c>
      <c r="BB429" s="54" t="str">
        <f t="shared" si="341"/>
        <v>NA</v>
      </c>
      <c r="BC429" s="54" t="str">
        <f t="shared" si="342"/>
        <v>NA</v>
      </c>
      <c r="BD429" s="54" t="str">
        <f t="shared" si="343"/>
        <v>NA</v>
      </c>
      <c r="BE429" s="54" t="str">
        <f t="shared" si="344"/>
        <v>NA</v>
      </c>
      <c r="BF429" s="54" t="str">
        <f t="shared" si="345"/>
        <v>NA</v>
      </c>
    </row>
    <row r="430" spans="2:58" ht="15" customHeight="1" x14ac:dyDescent="0.45">
      <c r="B430" s="57" t="s">
        <v>159</v>
      </c>
      <c r="C430" s="59" t="s">
        <v>150</v>
      </c>
      <c r="D430" s="59" t="s">
        <v>150</v>
      </c>
      <c r="E430" s="59" t="s">
        <v>150</v>
      </c>
      <c r="F430" s="59" t="s">
        <v>150</v>
      </c>
      <c r="G430" s="59" t="s">
        <v>150</v>
      </c>
      <c r="H430" s="59" t="s">
        <v>150</v>
      </c>
      <c r="L430" s="57" t="s">
        <v>159</v>
      </c>
      <c r="M430" s="59" t="str">
        <f t="shared" si="334"/>
        <v>NA</v>
      </c>
      <c r="N430" s="59" t="str">
        <f t="shared" si="335"/>
        <v>NA</v>
      </c>
      <c r="O430" s="59" t="str">
        <f t="shared" si="336"/>
        <v>NA</v>
      </c>
      <c r="P430" s="59" t="str">
        <f t="shared" si="337"/>
        <v>NA</v>
      </c>
      <c r="Q430" s="59" t="str">
        <f t="shared" si="338"/>
        <v>NA</v>
      </c>
      <c r="R430" s="59" t="str">
        <f t="shared" si="339"/>
        <v>NA</v>
      </c>
      <c r="S430" s="55"/>
      <c r="T430" s="56"/>
      <c r="V430" s="57" t="str">
        <f t="shared" si="325"/>
        <v>FICO 640-679</v>
      </c>
      <c r="W430" s="59" t="s">
        <v>150</v>
      </c>
      <c r="X430" s="59" t="s">
        <v>150</v>
      </c>
      <c r="Y430" s="59" t="s">
        <v>150</v>
      </c>
      <c r="Z430" s="59" t="s">
        <v>150</v>
      </c>
      <c r="AA430" s="59" t="s">
        <v>150</v>
      </c>
      <c r="AB430" s="59" t="s">
        <v>150</v>
      </c>
      <c r="AF430" s="57" t="str">
        <f t="shared" si="326"/>
        <v>FICO 640-679</v>
      </c>
      <c r="AG430" s="59" t="str">
        <f t="shared" si="324"/>
        <v>NA</v>
      </c>
      <c r="AH430" s="59" t="str">
        <f t="shared" si="327"/>
        <v>NA</v>
      </c>
      <c r="AI430" s="59" t="str">
        <f t="shared" si="328"/>
        <v>NA</v>
      </c>
      <c r="AJ430" s="59" t="str">
        <f t="shared" si="329"/>
        <v>NA</v>
      </c>
      <c r="AK430" s="59" t="str">
        <f t="shared" si="330"/>
        <v>NA</v>
      </c>
      <c r="AL430" s="59" t="str">
        <f t="shared" si="331"/>
        <v>NA</v>
      </c>
      <c r="AM430" s="55"/>
      <c r="AN430" s="56"/>
      <c r="AP430" s="57" t="str">
        <f t="shared" si="332"/>
        <v>FICO 640-679</v>
      </c>
      <c r="AQ430" s="59" t="s">
        <v>150</v>
      </c>
      <c r="AR430" s="59" t="s">
        <v>150</v>
      </c>
      <c r="AS430" s="59" t="s">
        <v>150</v>
      </c>
      <c r="AT430" s="59" t="s">
        <v>150</v>
      </c>
      <c r="AU430" s="59" t="s">
        <v>150</v>
      </c>
      <c r="AV430" s="59" t="s">
        <v>150</v>
      </c>
      <c r="AZ430" s="57" t="str">
        <f t="shared" si="333"/>
        <v>FICO 640-679</v>
      </c>
      <c r="BA430" s="59" t="str">
        <f t="shared" si="340"/>
        <v>NA</v>
      </c>
      <c r="BB430" s="59" t="str">
        <f t="shared" si="341"/>
        <v>NA</v>
      </c>
      <c r="BC430" s="59" t="str">
        <f t="shared" si="342"/>
        <v>NA</v>
      </c>
      <c r="BD430" s="59" t="str">
        <f t="shared" si="343"/>
        <v>NA</v>
      </c>
      <c r="BE430" s="59" t="str">
        <f t="shared" si="344"/>
        <v>NA</v>
      </c>
      <c r="BF430" s="59" t="str">
        <f t="shared" si="345"/>
        <v>NA</v>
      </c>
    </row>
    <row r="431" spans="2:58" ht="15" customHeight="1" x14ac:dyDescent="0.45">
      <c r="B431" s="60" t="s">
        <v>154</v>
      </c>
      <c r="C431" s="64" t="s">
        <v>150</v>
      </c>
      <c r="D431" s="64" t="s">
        <v>150</v>
      </c>
      <c r="E431" s="64" t="s">
        <v>150</v>
      </c>
      <c r="F431" s="64" t="s">
        <v>150</v>
      </c>
      <c r="G431" s="64" t="s">
        <v>150</v>
      </c>
      <c r="H431" s="64" t="s">
        <v>150</v>
      </c>
      <c r="L431" s="60" t="s">
        <v>154</v>
      </c>
      <c r="M431" s="64" t="str">
        <f t="shared" si="334"/>
        <v>NA</v>
      </c>
      <c r="N431" s="64" t="str">
        <f t="shared" si="335"/>
        <v>NA</v>
      </c>
      <c r="O431" s="64" t="str">
        <f t="shared" si="336"/>
        <v>NA</v>
      </c>
      <c r="P431" s="64" t="str">
        <f t="shared" si="337"/>
        <v>NA</v>
      </c>
      <c r="Q431" s="64" t="str">
        <f t="shared" si="338"/>
        <v>NA</v>
      </c>
      <c r="R431" s="64" t="str">
        <f t="shared" si="339"/>
        <v>NA</v>
      </c>
      <c r="S431" s="50"/>
      <c r="T431" s="51"/>
      <c r="V431" s="60" t="str">
        <f t="shared" si="325"/>
        <v>65.00%-70.00%</v>
      </c>
      <c r="W431" s="64" t="s">
        <v>150</v>
      </c>
      <c r="X431" s="64" t="s">
        <v>150</v>
      </c>
      <c r="Y431" s="64" t="s">
        <v>150</v>
      </c>
      <c r="Z431" s="64" t="s">
        <v>150</v>
      </c>
      <c r="AA431" s="64" t="s">
        <v>150</v>
      </c>
      <c r="AB431" s="64" t="s">
        <v>150</v>
      </c>
      <c r="AF431" s="60" t="str">
        <f t="shared" si="326"/>
        <v>65.00%-70.00%</v>
      </c>
      <c r="AG431" s="64" t="str">
        <f t="shared" si="324"/>
        <v>NA</v>
      </c>
      <c r="AH431" s="64" t="str">
        <f t="shared" si="327"/>
        <v>NA</v>
      </c>
      <c r="AI431" s="64" t="str">
        <f t="shared" si="328"/>
        <v>NA</v>
      </c>
      <c r="AJ431" s="64" t="str">
        <f t="shared" si="329"/>
        <v>NA</v>
      </c>
      <c r="AK431" s="64" t="str">
        <f t="shared" si="330"/>
        <v>NA</v>
      </c>
      <c r="AL431" s="64" t="str">
        <f t="shared" si="331"/>
        <v>NA</v>
      </c>
      <c r="AM431" s="50"/>
      <c r="AN431" s="51"/>
      <c r="AP431" s="60" t="str">
        <f t="shared" si="332"/>
        <v>65.00%-70.00%</v>
      </c>
      <c r="AQ431" s="64" t="s">
        <v>150</v>
      </c>
      <c r="AR431" s="64" t="s">
        <v>150</v>
      </c>
      <c r="AS431" s="64" t="s">
        <v>150</v>
      </c>
      <c r="AT431" s="64" t="s">
        <v>150</v>
      </c>
      <c r="AU431" s="64" t="s">
        <v>150</v>
      </c>
      <c r="AV431" s="64" t="s">
        <v>150</v>
      </c>
      <c r="AZ431" s="60" t="str">
        <f t="shared" si="333"/>
        <v>65.00%-70.00%</v>
      </c>
      <c r="BA431" s="64" t="str">
        <f t="shared" si="340"/>
        <v>NA</v>
      </c>
      <c r="BB431" s="64" t="str">
        <f t="shared" si="341"/>
        <v>NA</v>
      </c>
      <c r="BC431" s="64" t="str">
        <f t="shared" si="342"/>
        <v>NA</v>
      </c>
      <c r="BD431" s="64" t="str">
        <f t="shared" si="343"/>
        <v>NA</v>
      </c>
      <c r="BE431" s="64" t="str">
        <f t="shared" si="344"/>
        <v>NA</v>
      </c>
      <c r="BF431" s="64" t="str">
        <f t="shared" si="345"/>
        <v>NA</v>
      </c>
    </row>
    <row r="432" spans="2:58" ht="15" customHeight="1" x14ac:dyDescent="0.45">
      <c r="B432" s="52" t="s">
        <v>151</v>
      </c>
      <c r="C432" s="54" t="s">
        <v>150</v>
      </c>
      <c r="D432" s="54" t="s">
        <v>150</v>
      </c>
      <c r="E432" s="54" t="s">
        <v>150</v>
      </c>
      <c r="F432" s="54" t="s">
        <v>150</v>
      </c>
      <c r="G432" s="54" t="s">
        <v>150</v>
      </c>
      <c r="H432" s="54" t="s">
        <v>150</v>
      </c>
      <c r="L432" s="52" t="s">
        <v>151</v>
      </c>
      <c r="M432" s="54" t="str">
        <f t="shared" si="334"/>
        <v>NA</v>
      </c>
      <c r="N432" s="54" t="str">
        <f t="shared" si="335"/>
        <v>NA</v>
      </c>
      <c r="O432" s="54" t="str">
        <f t="shared" si="336"/>
        <v>NA</v>
      </c>
      <c r="P432" s="54" t="str">
        <f t="shared" si="337"/>
        <v>NA</v>
      </c>
      <c r="Q432" s="54" t="str">
        <f t="shared" si="338"/>
        <v>NA</v>
      </c>
      <c r="R432" s="54" t="str">
        <f t="shared" si="339"/>
        <v>NA</v>
      </c>
      <c r="S432" s="55"/>
      <c r="T432" s="56"/>
      <c r="V432" s="52" t="str">
        <f t="shared" si="325"/>
        <v>FICO 700+</v>
      </c>
      <c r="W432" s="54" t="s">
        <v>150</v>
      </c>
      <c r="X432" s="54" t="s">
        <v>150</v>
      </c>
      <c r="Y432" s="54" t="s">
        <v>150</v>
      </c>
      <c r="Z432" s="54" t="s">
        <v>150</v>
      </c>
      <c r="AA432" s="54" t="s">
        <v>150</v>
      </c>
      <c r="AB432" s="54" t="s">
        <v>150</v>
      </c>
      <c r="AF432" s="52" t="str">
        <f t="shared" si="326"/>
        <v>FICO 700+</v>
      </c>
      <c r="AG432" s="54" t="str">
        <f t="shared" si="324"/>
        <v>NA</v>
      </c>
      <c r="AH432" s="54" t="str">
        <f t="shared" si="327"/>
        <v>NA</v>
      </c>
      <c r="AI432" s="54" t="str">
        <f t="shared" si="328"/>
        <v>NA</v>
      </c>
      <c r="AJ432" s="54" t="str">
        <f t="shared" si="329"/>
        <v>NA</v>
      </c>
      <c r="AK432" s="54" t="str">
        <f t="shared" si="330"/>
        <v>NA</v>
      </c>
      <c r="AL432" s="54" t="str">
        <f t="shared" si="331"/>
        <v>NA</v>
      </c>
      <c r="AM432" s="55"/>
      <c r="AN432" s="56"/>
      <c r="AP432" s="52" t="str">
        <f t="shared" si="332"/>
        <v>FICO 700+</v>
      </c>
      <c r="AQ432" s="54" t="s">
        <v>150</v>
      </c>
      <c r="AR432" s="54" t="s">
        <v>150</v>
      </c>
      <c r="AS432" s="54" t="s">
        <v>150</v>
      </c>
      <c r="AT432" s="54" t="s">
        <v>150</v>
      </c>
      <c r="AU432" s="54" t="s">
        <v>150</v>
      </c>
      <c r="AV432" s="54" t="s">
        <v>150</v>
      </c>
      <c r="AZ432" s="52" t="str">
        <f t="shared" si="333"/>
        <v>FICO 700+</v>
      </c>
      <c r="BA432" s="54" t="str">
        <f t="shared" si="340"/>
        <v>NA</v>
      </c>
      <c r="BB432" s="54" t="str">
        <f t="shared" si="341"/>
        <v>NA</v>
      </c>
      <c r="BC432" s="54" t="str">
        <f t="shared" si="342"/>
        <v>NA</v>
      </c>
      <c r="BD432" s="54" t="str">
        <f t="shared" si="343"/>
        <v>NA</v>
      </c>
      <c r="BE432" s="54" t="str">
        <f t="shared" si="344"/>
        <v>NA</v>
      </c>
      <c r="BF432" s="54" t="str">
        <f t="shared" si="345"/>
        <v>NA</v>
      </c>
    </row>
    <row r="433" spans="2:58" ht="15" customHeight="1" x14ac:dyDescent="0.45">
      <c r="B433" s="52" t="s">
        <v>158</v>
      </c>
      <c r="C433" s="54" t="s">
        <v>150</v>
      </c>
      <c r="D433" s="54" t="s">
        <v>150</v>
      </c>
      <c r="E433" s="54" t="s">
        <v>150</v>
      </c>
      <c r="F433" s="54" t="s">
        <v>150</v>
      </c>
      <c r="G433" s="54" t="s">
        <v>150</v>
      </c>
      <c r="H433" s="54" t="s">
        <v>150</v>
      </c>
      <c r="L433" s="52" t="s">
        <v>158</v>
      </c>
      <c r="M433" s="54" t="str">
        <f t="shared" si="334"/>
        <v>NA</v>
      </c>
      <c r="N433" s="54" t="str">
        <f t="shared" si="335"/>
        <v>NA</v>
      </c>
      <c r="O433" s="54" t="str">
        <f t="shared" si="336"/>
        <v>NA</v>
      </c>
      <c r="P433" s="54" t="str">
        <f t="shared" si="337"/>
        <v>NA</v>
      </c>
      <c r="Q433" s="54" t="str">
        <f t="shared" si="338"/>
        <v>NA</v>
      </c>
      <c r="R433" s="54" t="str">
        <f t="shared" si="339"/>
        <v>NA</v>
      </c>
      <c r="S433" s="55"/>
      <c r="T433" s="56"/>
      <c r="V433" s="52" t="str">
        <f t="shared" si="325"/>
        <v>FICO 680-699</v>
      </c>
      <c r="W433" s="54" t="s">
        <v>150</v>
      </c>
      <c r="X433" s="54" t="s">
        <v>150</v>
      </c>
      <c r="Y433" s="54" t="s">
        <v>150</v>
      </c>
      <c r="Z433" s="54" t="s">
        <v>150</v>
      </c>
      <c r="AA433" s="54" t="s">
        <v>150</v>
      </c>
      <c r="AB433" s="54" t="s">
        <v>150</v>
      </c>
      <c r="AF433" s="52" t="str">
        <f t="shared" si="326"/>
        <v>FICO 680-699</v>
      </c>
      <c r="AG433" s="54" t="str">
        <f t="shared" si="324"/>
        <v>NA</v>
      </c>
      <c r="AH433" s="54" t="str">
        <f t="shared" si="327"/>
        <v>NA</v>
      </c>
      <c r="AI433" s="54" t="str">
        <f t="shared" si="328"/>
        <v>NA</v>
      </c>
      <c r="AJ433" s="54" t="str">
        <f t="shared" si="329"/>
        <v>NA</v>
      </c>
      <c r="AK433" s="54" t="str">
        <f t="shared" si="330"/>
        <v>NA</v>
      </c>
      <c r="AL433" s="54" t="str">
        <f t="shared" si="331"/>
        <v>NA</v>
      </c>
      <c r="AM433" s="55"/>
      <c r="AN433" s="56"/>
      <c r="AP433" s="52" t="str">
        <f t="shared" si="332"/>
        <v>FICO 680-699</v>
      </c>
      <c r="AQ433" s="54" t="s">
        <v>150</v>
      </c>
      <c r="AR433" s="54" t="s">
        <v>150</v>
      </c>
      <c r="AS433" s="54" t="s">
        <v>150</v>
      </c>
      <c r="AT433" s="54" t="s">
        <v>150</v>
      </c>
      <c r="AU433" s="54" t="s">
        <v>150</v>
      </c>
      <c r="AV433" s="54" t="s">
        <v>150</v>
      </c>
      <c r="AZ433" s="52" t="str">
        <f t="shared" si="333"/>
        <v>FICO 680-699</v>
      </c>
      <c r="BA433" s="54" t="str">
        <f t="shared" si="340"/>
        <v>NA</v>
      </c>
      <c r="BB433" s="54" t="str">
        <f t="shared" si="341"/>
        <v>NA</v>
      </c>
      <c r="BC433" s="54" t="str">
        <f t="shared" si="342"/>
        <v>NA</v>
      </c>
      <c r="BD433" s="54" t="str">
        <f t="shared" si="343"/>
        <v>NA</v>
      </c>
      <c r="BE433" s="54" t="str">
        <f t="shared" si="344"/>
        <v>NA</v>
      </c>
      <c r="BF433" s="54" t="str">
        <f t="shared" si="345"/>
        <v>NA</v>
      </c>
    </row>
    <row r="434" spans="2:58" ht="15" customHeight="1" x14ac:dyDescent="0.45">
      <c r="B434" s="57" t="s">
        <v>159</v>
      </c>
      <c r="C434" s="59" t="s">
        <v>150</v>
      </c>
      <c r="D434" s="59" t="s">
        <v>150</v>
      </c>
      <c r="E434" s="59" t="s">
        <v>150</v>
      </c>
      <c r="F434" s="59" t="s">
        <v>150</v>
      </c>
      <c r="G434" s="59" t="s">
        <v>150</v>
      </c>
      <c r="H434" s="59" t="s">
        <v>150</v>
      </c>
      <c r="L434" s="57" t="s">
        <v>159</v>
      </c>
      <c r="M434" s="59" t="str">
        <f t="shared" si="334"/>
        <v>NA</v>
      </c>
      <c r="N434" s="59" t="str">
        <f t="shared" si="335"/>
        <v>NA</v>
      </c>
      <c r="O434" s="59" t="str">
        <f t="shared" si="336"/>
        <v>NA</v>
      </c>
      <c r="P434" s="59" t="str">
        <f t="shared" si="337"/>
        <v>NA</v>
      </c>
      <c r="Q434" s="59" t="str">
        <f t="shared" si="338"/>
        <v>NA</v>
      </c>
      <c r="R434" s="59" t="str">
        <f t="shared" si="339"/>
        <v>NA</v>
      </c>
      <c r="S434" s="55"/>
      <c r="T434" s="56"/>
      <c r="V434" s="57" t="str">
        <f t="shared" si="325"/>
        <v>FICO 640-679</v>
      </c>
      <c r="W434" s="59" t="s">
        <v>150</v>
      </c>
      <c r="X434" s="59" t="s">
        <v>150</v>
      </c>
      <c r="Y434" s="59" t="s">
        <v>150</v>
      </c>
      <c r="Z434" s="59" t="s">
        <v>150</v>
      </c>
      <c r="AA434" s="59" t="s">
        <v>150</v>
      </c>
      <c r="AB434" s="59" t="s">
        <v>150</v>
      </c>
      <c r="AF434" s="57" t="str">
        <f t="shared" si="326"/>
        <v>FICO 640-679</v>
      </c>
      <c r="AG434" s="59" t="str">
        <f t="shared" si="324"/>
        <v>NA</v>
      </c>
      <c r="AH434" s="59" t="str">
        <f t="shared" si="327"/>
        <v>NA</v>
      </c>
      <c r="AI434" s="59" t="str">
        <f t="shared" si="328"/>
        <v>NA</v>
      </c>
      <c r="AJ434" s="59" t="str">
        <f t="shared" si="329"/>
        <v>NA</v>
      </c>
      <c r="AK434" s="59" t="str">
        <f t="shared" si="330"/>
        <v>NA</v>
      </c>
      <c r="AL434" s="59" t="str">
        <f t="shared" si="331"/>
        <v>NA</v>
      </c>
      <c r="AM434" s="55"/>
      <c r="AN434" s="56"/>
      <c r="AP434" s="57" t="str">
        <f t="shared" si="332"/>
        <v>FICO 640-679</v>
      </c>
      <c r="AQ434" s="59" t="s">
        <v>150</v>
      </c>
      <c r="AR434" s="59" t="s">
        <v>150</v>
      </c>
      <c r="AS434" s="59" t="s">
        <v>150</v>
      </c>
      <c r="AT434" s="59" t="s">
        <v>150</v>
      </c>
      <c r="AU434" s="59" t="s">
        <v>150</v>
      </c>
      <c r="AV434" s="59" t="s">
        <v>150</v>
      </c>
      <c r="AZ434" s="57" t="str">
        <f t="shared" si="333"/>
        <v>FICO 640-679</v>
      </c>
      <c r="BA434" s="59" t="str">
        <f t="shared" si="340"/>
        <v>NA</v>
      </c>
      <c r="BB434" s="59" t="str">
        <f t="shared" si="341"/>
        <v>NA</v>
      </c>
      <c r="BC434" s="59" t="str">
        <f t="shared" si="342"/>
        <v>NA</v>
      </c>
      <c r="BD434" s="59" t="str">
        <f t="shared" si="343"/>
        <v>NA</v>
      </c>
      <c r="BE434" s="59" t="str">
        <f t="shared" si="344"/>
        <v>NA</v>
      </c>
      <c r="BF434" s="59" t="str">
        <f t="shared" si="345"/>
        <v>NA</v>
      </c>
    </row>
    <row r="435" spans="2:58" ht="15" customHeight="1" x14ac:dyDescent="0.45">
      <c r="B435" s="60" t="s">
        <v>155</v>
      </c>
      <c r="C435" s="64" t="s">
        <v>150</v>
      </c>
      <c r="D435" s="64" t="s">
        <v>150</v>
      </c>
      <c r="E435" s="64" t="s">
        <v>150</v>
      </c>
      <c r="F435" s="64" t="s">
        <v>150</v>
      </c>
      <c r="G435" s="64" t="s">
        <v>150</v>
      </c>
      <c r="H435" s="64" t="s">
        <v>150</v>
      </c>
      <c r="L435" s="60" t="s">
        <v>155</v>
      </c>
      <c r="M435" s="64" t="str">
        <f t="shared" si="334"/>
        <v>NA</v>
      </c>
      <c r="N435" s="64" t="str">
        <f t="shared" si="335"/>
        <v>NA</v>
      </c>
      <c r="O435" s="64" t="str">
        <f t="shared" si="336"/>
        <v>NA</v>
      </c>
      <c r="P435" s="64" t="str">
        <f t="shared" si="337"/>
        <v>NA</v>
      </c>
      <c r="Q435" s="64" t="str">
        <f t="shared" si="338"/>
        <v>NA</v>
      </c>
      <c r="R435" s="64" t="str">
        <f t="shared" si="339"/>
        <v>NA</v>
      </c>
      <c r="S435" s="50"/>
      <c r="T435" s="51"/>
      <c r="V435" s="60" t="str">
        <f t="shared" si="325"/>
        <v>&lt;64.99%</v>
      </c>
      <c r="W435" s="64" t="s">
        <v>150</v>
      </c>
      <c r="X435" s="64" t="s">
        <v>150</v>
      </c>
      <c r="Y435" s="64" t="s">
        <v>150</v>
      </c>
      <c r="Z435" s="64" t="s">
        <v>150</v>
      </c>
      <c r="AA435" s="64" t="s">
        <v>150</v>
      </c>
      <c r="AB435" s="64" t="s">
        <v>150</v>
      </c>
      <c r="AF435" s="60" t="str">
        <f t="shared" si="326"/>
        <v>&lt;64.99%</v>
      </c>
      <c r="AG435" s="64" t="str">
        <f t="shared" si="324"/>
        <v>NA</v>
      </c>
      <c r="AH435" s="64" t="str">
        <f t="shared" si="327"/>
        <v>NA</v>
      </c>
      <c r="AI435" s="64" t="str">
        <f t="shared" si="328"/>
        <v>NA</v>
      </c>
      <c r="AJ435" s="64" t="str">
        <f t="shared" si="329"/>
        <v>NA</v>
      </c>
      <c r="AK435" s="64" t="str">
        <f t="shared" si="330"/>
        <v>NA</v>
      </c>
      <c r="AL435" s="64" t="str">
        <f t="shared" si="331"/>
        <v>NA</v>
      </c>
      <c r="AM435" s="50"/>
      <c r="AN435" s="51"/>
      <c r="AP435" s="60" t="str">
        <f t="shared" si="332"/>
        <v>&lt;64.99%</v>
      </c>
      <c r="AQ435" s="64" t="s">
        <v>150</v>
      </c>
      <c r="AR435" s="64" t="s">
        <v>150</v>
      </c>
      <c r="AS435" s="64" t="s">
        <v>150</v>
      </c>
      <c r="AT435" s="64" t="s">
        <v>150</v>
      </c>
      <c r="AU435" s="64" t="s">
        <v>150</v>
      </c>
      <c r="AV435" s="64" t="s">
        <v>150</v>
      </c>
      <c r="AZ435" s="60" t="str">
        <f t="shared" si="333"/>
        <v>&lt;64.99%</v>
      </c>
      <c r="BA435" s="64" t="str">
        <f t="shared" si="340"/>
        <v>NA</v>
      </c>
      <c r="BB435" s="64" t="str">
        <f t="shared" si="341"/>
        <v>NA</v>
      </c>
      <c r="BC435" s="64" t="str">
        <f t="shared" si="342"/>
        <v>NA</v>
      </c>
      <c r="BD435" s="64" t="str">
        <f t="shared" si="343"/>
        <v>NA</v>
      </c>
      <c r="BE435" s="64" t="str">
        <f t="shared" si="344"/>
        <v>NA</v>
      </c>
      <c r="BF435" s="64" t="str">
        <f t="shared" si="345"/>
        <v>NA</v>
      </c>
    </row>
    <row r="436" spans="2:58" ht="15" customHeight="1" x14ac:dyDescent="0.45">
      <c r="B436" s="52" t="s">
        <v>151</v>
      </c>
      <c r="C436" s="54" t="s">
        <v>150</v>
      </c>
      <c r="D436" s="54" t="s">
        <v>150</v>
      </c>
      <c r="E436" s="54" t="s">
        <v>150</v>
      </c>
      <c r="F436" s="54" t="s">
        <v>150</v>
      </c>
      <c r="G436" s="54" t="s">
        <v>150</v>
      </c>
      <c r="H436" s="54" t="s">
        <v>150</v>
      </c>
      <c r="L436" s="52" t="s">
        <v>151</v>
      </c>
      <c r="M436" s="54" t="str">
        <f t="shared" si="334"/>
        <v>NA</v>
      </c>
      <c r="N436" s="54" t="str">
        <f t="shared" si="335"/>
        <v>NA</v>
      </c>
      <c r="O436" s="54" t="str">
        <f t="shared" si="336"/>
        <v>NA</v>
      </c>
      <c r="P436" s="54" t="str">
        <f t="shared" si="337"/>
        <v>NA</v>
      </c>
      <c r="Q436" s="54" t="str">
        <f t="shared" si="338"/>
        <v>NA</v>
      </c>
      <c r="R436" s="54" t="str">
        <f t="shared" si="339"/>
        <v>NA</v>
      </c>
      <c r="S436" s="55"/>
      <c r="T436" s="56"/>
      <c r="V436" s="52" t="str">
        <f t="shared" si="325"/>
        <v>FICO 700+</v>
      </c>
      <c r="W436" s="54" t="s">
        <v>150</v>
      </c>
      <c r="X436" s="54" t="s">
        <v>150</v>
      </c>
      <c r="Y436" s="54" t="s">
        <v>150</v>
      </c>
      <c r="Z436" s="54" t="s">
        <v>150</v>
      </c>
      <c r="AA436" s="54" t="s">
        <v>150</v>
      </c>
      <c r="AB436" s="54" t="s">
        <v>150</v>
      </c>
      <c r="AF436" s="52" t="str">
        <f t="shared" si="326"/>
        <v>FICO 700+</v>
      </c>
      <c r="AG436" s="54" t="str">
        <f t="shared" si="324"/>
        <v>NA</v>
      </c>
      <c r="AH436" s="54" t="str">
        <f t="shared" si="327"/>
        <v>NA</v>
      </c>
      <c r="AI436" s="54" t="str">
        <f t="shared" si="328"/>
        <v>NA</v>
      </c>
      <c r="AJ436" s="54" t="str">
        <f t="shared" si="329"/>
        <v>NA</v>
      </c>
      <c r="AK436" s="54" t="str">
        <f t="shared" si="330"/>
        <v>NA</v>
      </c>
      <c r="AL436" s="54" t="str">
        <f t="shared" si="331"/>
        <v>NA</v>
      </c>
      <c r="AM436" s="55"/>
      <c r="AN436" s="56"/>
      <c r="AP436" s="52" t="str">
        <f t="shared" si="332"/>
        <v>FICO 700+</v>
      </c>
      <c r="AQ436" s="54" t="s">
        <v>150</v>
      </c>
      <c r="AR436" s="54" t="s">
        <v>150</v>
      </c>
      <c r="AS436" s="54" t="s">
        <v>150</v>
      </c>
      <c r="AT436" s="54" t="s">
        <v>150</v>
      </c>
      <c r="AU436" s="54" t="s">
        <v>150</v>
      </c>
      <c r="AV436" s="54" t="s">
        <v>150</v>
      </c>
      <c r="AZ436" s="52" t="str">
        <f t="shared" si="333"/>
        <v>FICO 700+</v>
      </c>
      <c r="BA436" s="54" t="str">
        <f t="shared" si="340"/>
        <v>NA</v>
      </c>
      <c r="BB436" s="54" t="str">
        <f t="shared" si="341"/>
        <v>NA</v>
      </c>
      <c r="BC436" s="54" t="str">
        <f t="shared" si="342"/>
        <v>NA</v>
      </c>
      <c r="BD436" s="54" t="str">
        <f t="shared" si="343"/>
        <v>NA</v>
      </c>
      <c r="BE436" s="54" t="str">
        <f t="shared" si="344"/>
        <v>NA</v>
      </c>
      <c r="BF436" s="54" t="str">
        <f t="shared" si="345"/>
        <v>NA</v>
      </c>
    </row>
    <row r="437" spans="2:58" ht="15" customHeight="1" x14ac:dyDescent="0.45">
      <c r="B437" s="52" t="s">
        <v>158</v>
      </c>
      <c r="C437" s="54" t="s">
        <v>150</v>
      </c>
      <c r="D437" s="54" t="s">
        <v>150</v>
      </c>
      <c r="E437" s="54" t="s">
        <v>150</v>
      </c>
      <c r="F437" s="54" t="s">
        <v>150</v>
      </c>
      <c r="G437" s="54" t="s">
        <v>150</v>
      </c>
      <c r="H437" s="54" t="s">
        <v>150</v>
      </c>
      <c r="L437" s="52" t="s">
        <v>158</v>
      </c>
      <c r="M437" s="54" t="str">
        <f t="shared" si="334"/>
        <v>NA</v>
      </c>
      <c r="N437" s="54" t="str">
        <f t="shared" si="335"/>
        <v>NA</v>
      </c>
      <c r="O437" s="54" t="str">
        <f t="shared" si="336"/>
        <v>NA</v>
      </c>
      <c r="P437" s="54" t="str">
        <f t="shared" si="337"/>
        <v>NA</v>
      </c>
      <c r="Q437" s="54" t="str">
        <f t="shared" si="338"/>
        <v>NA</v>
      </c>
      <c r="R437" s="54" t="str">
        <f t="shared" si="339"/>
        <v>NA</v>
      </c>
      <c r="S437" s="55"/>
      <c r="T437" s="56"/>
      <c r="V437" s="52" t="str">
        <f t="shared" si="325"/>
        <v>FICO 680-699</v>
      </c>
      <c r="W437" s="54" t="s">
        <v>150</v>
      </c>
      <c r="X437" s="54" t="s">
        <v>150</v>
      </c>
      <c r="Y437" s="54" t="s">
        <v>150</v>
      </c>
      <c r="Z437" s="54" t="s">
        <v>150</v>
      </c>
      <c r="AA437" s="54" t="s">
        <v>150</v>
      </c>
      <c r="AB437" s="54" t="s">
        <v>150</v>
      </c>
      <c r="AF437" s="52" t="str">
        <f t="shared" si="326"/>
        <v>FICO 680-699</v>
      </c>
      <c r="AG437" s="54" t="str">
        <f t="shared" si="324"/>
        <v>NA</v>
      </c>
      <c r="AH437" s="54" t="str">
        <f t="shared" si="327"/>
        <v>NA</v>
      </c>
      <c r="AI437" s="54" t="str">
        <f t="shared" si="328"/>
        <v>NA</v>
      </c>
      <c r="AJ437" s="54" t="str">
        <f t="shared" si="329"/>
        <v>NA</v>
      </c>
      <c r="AK437" s="54" t="str">
        <f t="shared" si="330"/>
        <v>NA</v>
      </c>
      <c r="AL437" s="54" t="str">
        <f t="shared" si="331"/>
        <v>NA</v>
      </c>
      <c r="AM437" s="55"/>
      <c r="AN437" s="56"/>
      <c r="AP437" s="52" t="str">
        <f t="shared" si="332"/>
        <v>FICO 680-699</v>
      </c>
      <c r="AQ437" s="54" t="s">
        <v>150</v>
      </c>
      <c r="AR437" s="54" t="s">
        <v>150</v>
      </c>
      <c r="AS437" s="54" t="s">
        <v>150</v>
      </c>
      <c r="AT437" s="54" t="s">
        <v>150</v>
      </c>
      <c r="AU437" s="54" t="s">
        <v>150</v>
      </c>
      <c r="AV437" s="54" t="s">
        <v>150</v>
      </c>
      <c r="AZ437" s="52" t="str">
        <f t="shared" si="333"/>
        <v>FICO 680-699</v>
      </c>
      <c r="BA437" s="54" t="str">
        <f t="shared" si="340"/>
        <v>NA</v>
      </c>
      <c r="BB437" s="54" t="str">
        <f t="shared" si="341"/>
        <v>NA</v>
      </c>
      <c r="BC437" s="54" t="str">
        <f t="shared" si="342"/>
        <v>NA</v>
      </c>
      <c r="BD437" s="54" t="str">
        <f t="shared" si="343"/>
        <v>NA</v>
      </c>
      <c r="BE437" s="54" t="str">
        <f t="shared" si="344"/>
        <v>NA</v>
      </c>
      <c r="BF437" s="54" t="str">
        <f t="shared" si="345"/>
        <v>NA</v>
      </c>
    </row>
    <row r="438" spans="2:58" ht="15" customHeight="1" x14ac:dyDescent="0.45">
      <c r="B438" s="52" t="s">
        <v>159</v>
      </c>
      <c r="C438" s="54" t="s">
        <v>150</v>
      </c>
      <c r="D438" s="54" t="s">
        <v>150</v>
      </c>
      <c r="E438" s="54" t="s">
        <v>150</v>
      </c>
      <c r="F438" s="54" t="s">
        <v>150</v>
      </c>
      <c r="G438" s="54" t="s">
        <v>150</v>
      </c>
      <c r="H438" s="54" t="s">
        <v>150</v>
      </c>
      <c r="L438" s="52" t="s">
        <v>159</v>
      </c>
      <c r="M438" s="54" t="str">
        <f t="shared" si="334"/>
        <v>NA</v>
      </c>
      <c r="N438" s="54" t="str">
        <f t="shared" si="335"/>
        <v>NA</v>
      </c>
      <c r="O438" s="54" t="str">
        <f t="shared" si="336"/>
        <v>NA</v>
      </c>
      <c r="P438" s="54" t="str">
        <f t="shared" si="337"/>
        <v>NA</v>
      </c>
      <c r="Q438" s="54" t="str">
        <f t="shared" si="338"/>
        <v>NA</v>
      </c>
      <c r="R438" s="54" t="str">
        <f t="shared" si="339"/>
        <v>NA</v>
      </c>
      <c r="S438" s="55"/>
      <c r="T438" s="56"/>
      <c r="V438" s="52" t="str">
        <f t="shared" si="325"/>
        <v>FICO 640-679</v>
      </c>
      <c r="W438" s="54" t="s">
        <v>150</v>
      </c>
      <c r="X438" s="54" t="s">
        <v>150</v>
      </c>
      <c r="Y438" s="54" t="s">
        <v>150</v>
      </c>
      <c r="Z438" s="54" t="s">
        <v>150</v>
      </c>
      <c r="AA438" s="54" t="s">
        <v>150</v>
      </c>
      <c r="AB438" s="54" t="s">
        <v>150</v>
      </c>
      <c r="AF438" s="52" t="str">
        <f t="shared" si="326"/>
        <v>FICO 640-679</v>
      </c>
      <c r="AG438" s="54" t="str">
        <f t="shared" si="324"/>
        <v>NA</v>
      </c>
      <c r="AH438" s="54" t="str">
        <f t="shared" si="327"/>
        <v>NA</v>
      </c>
      <c r="AI438" s="54" t="str">
        <f t="shared" si="328"/>
        <v>NA</v>
      </c>
      <c r="AJ438" s="54" t="str">
        <f t="shared" si="329"/>
        <v>NA</v>
      </c>
      <c r="AK438" s="54" t="str">
        <f t="shared" si="330"/>
        <v>NA</v>
      </c>
      <c r="AL438" s="54" t="str">
        <f t="shared" si="331"/>
        <v>NA</v>
      </c>
      <c r="AM438" s="55"/>
      <c r="AN438" s="56"/>
      <c r="AP438" s="52" t="str">
        <f t="shared" si="332"/>
        <v>FICO 640-679</v>
      </c>
      <c r="AQ438" s="54" t="s">
        <v>150</v>
      </c>
      <c r="AR438" s="54" t="s">
        <v>150</v>
      </c>
      <c r="AS438" s="54" t="s">
        <v>150</v>
      </c>
      <c r="AT438" s="54" t="s">
        <v>150</v>
      </c>
      <c r="AU438" s="54" t="s">
        <v>150</v>
      </c>
      <c r="AV438" s="54" t="s">
        <v>150</v>
      </c>
      <c r="AZ438" s="52" t="str">
        <f t="shared" si="333"/>
        <v>FICO 640-679</v>
      </c>
      <c r="BA438" s="54" t="str">
        <f t="shared" si="340"/>
        <v>NA</v>
      </c>
      <c r="BB438" s="54" t="str">
        <f t="shared" si="341"/>
        <v>NA</v>
      </c>
      <c r="BC438" s="54" t="str">
        <f t="shared" si="342"/>
        <v>NA</v>
      </c>
      <c r="BD438" s="54" t="str">
        <f t="shared" si="343"/>
        <v>NA</v>
      </c>
      <c r="BE438" s="54" t="str">
        <f t="shared" si="344"/>
        <v>NA</v>
      </c>
      <c r="BF438" s="54" t="str">
        <f t="shared" si="345"/>
        <v>NA</v>
      </c>
    </row>
    <row r="439" spans="2:58" ht="15" customHeight="1" x14ac:dyDescent="0.45">
      <c r="B439" s="37"/>
      <c r="C439" s="63"/>
      <c r="D439" s="63"/>
      <c r="E439" s="63"/>
      <c r="F439" s="63"/>
      <c r="G439" s="63"/>
      <c r="H439" s="63"/>
      <c r="V439" s="37"/>
      <c r="W439" s="63"/>
      <c r="X439" s="63"/>
      <c r="Y439" s="63"/>
      <c r="Z439" s="63"/>
      <c r="AA439" s="63"/>
      <c r="AB439" s="63"/>
      <c r="AP439" s="37"/>
      <c r="AQ439" s="63"/>
      <c r="AR439" s="63"/>
      <c r="AS439" s="63"/>
      <c r="AT439" s="63"/>
      <c r="AU439" s="63"/>
      <c r="AV439" s="63"/>
    </row>
    <row r="440" spans="2:58" s="38" customFormat="1" ht="6.75" customHeight="1" x14ac:dyDescent="0.45">
      <c r="C440" s="65"/>
      <c r="D440" s="65"/>
      <c r="E440" s="65"/>
      <c r="F440" s="65"/>
      <c r="G440" s="65"/>
      <c r="H440" s="65"/>
      <c r="S440" s="41"/>
      <c r="T440" s="43"/>
      <c r="U440" s="41"/>
      <c r="W440" s="65"/>
      <c r="X440" s="65"/>
      <c r="Y440" s="65"/>
      <c r="Z440" s="65"/>
      <c r="AA440" s="65"/>
      <c r="AB440" s="65"/>
      <c r="AM440" s="41"/>
      <c r="AN440" s="43"/>
      <c r="AO440" s="41"/>
      <c r="AQ440" s="65"/>
      <c r="AR440" s="65"/>
      <c r="AS440" s="65"/>
      <c r="AT440" s="65"/>
      <c r="AU440" s="65"/>
      <c r="AV440" s="65"/>
    </row>
    <row r="442" spans="2:58" ht="15" customHeight="1" x14ac:dyDescent="0.45">
      <c r="B442" s="96" t="s">
        <v>162</v>
      </c>
      <c r="C442" s="96"/>
      <c r="D442" s="96"/>
      <c r="E442" s="96"/>
      <c r="F442" s="96"/>
      <c r="G442" s="96"/>
      <c r="H442" s="96"/>
      <c r="L442" s="96" t="s">
        <v>163</v>
      </c>
      <c r="M442" s="96"/>
      <c r="N442" s="96"/>
      <c r="O442" s="96"/>
      <c r="P442" s="96"/>
      <c r="Q442" s="96"/>
      <c r="R442" s="96"/>
      <c r="S442" s="35"/>
      <c r="T442" s="36"/>
      <c r="V442" s="96" t="s">
        <v>162</v>
      </c>
      <c r="W442" s="96"/>
      <c r="X442" s="96"/>
      <c r="Y442" s="96"/>
      <c r="Z442" s="96"/>
      <c r="AA442" s="96"/>
      <c r="AB442" s="96"/>
      <c r="AF442" s="96" t="s">
        <v>163</v>
      </c>
      <c r="AG442" s="96"/>
      <c r="AH442" s="96"/>
      <c r="AI442" s="96"/>
      <c r="AJ442" s="96"/>
      <c r="AK442" s="96"/>
      <c r="AL442" s="96"/>
      <c r="AM442" s="35"/>
      <c r="AN442" s="36"/>
      <c r="AP442" s="96" t="s">
        <v>162</v>
      </c>
      <c r="AQ442" s="96"/>
      <c r="AR442" s="96"/>
      <c r="AS442" s="96"/>
      <c r="AT442" s="96"/>
      <c r="AU442" s="96"/>
      <c r="AV442" s="96"/>
      <c r="AZ442" s="96" t="s">
        <v>163</v>
      </c>
      <c r="BA442" s="96"/>
      <c r="BB442" s="96"/>
      <c r="BC442" s="96"/>
      <c r="BD442" s="96"/>
      <c r="BE442" s="96"/>
      <c r="BF442" s="96"/>
    </row>
    <row r="443" spans="2:58" ht="15.75" customHeight="1" x14ac:dyDescent="0.45">
      <c r="B443" s="94" t="s">
        <v>142</v>
      </c>
      <c r="C443" s="94"/>
      <c r="D443" s="94"/>
      <c r="E443" s="94"/>
      <c r="F443" s="94"/>
      <c r="G443" s="94"/>
      <c r="H443" s="94"/>
      <c r="L443" s="94" t="s">
        <v>142</v>
      </c>
      <c r="M443" s="94"/>
      <c r="N443" s="94"/>
      <c r="O443" s="94"/>
      <c r="P443" s="94"/>
      <c r="Q443" s="94"/>
      <c r="R443" s="94"/>
      <c r="S443" s="39"/>
      <c r="T443" s="40"/>
      <c r="V443" s="94" t="s">
        <v>142</v>
      </c>
      <c r="W443" s="94"/>
      <c r="X443" s="94"/>
      <c r="Y443" s="94"/>
      <c r="Z443" s="94"/>
      <c r="AA443" s="94"/>
      <c r="AB443" s="94"/>
      <c r="AF443" s="94" t="s">
        <v>142</v>
      </c>
      <c r="AG443" s="94"/>
      <c r="AH443" s="94"/>
      <c r="AI443" s="94"/>
      <c r="AJ443" s="94"/>
      <c r="AK443" s="94"/>
      <c r="AL443" s="94"/>
      <c r="AM443" s="39"/>
      <c r="AN443" s="40"/>
      <c r="AP443" s="94" t="s">
        <v>142</v>
      </c>
      <c r="AQ443" s="94"/>
      <c r="AR443" s="94"/>
      <c r="AS443" s="94"/>
      <c r="AT443" s="94"/>
      <c r="AU443" s="94"/>
      <c r="AV443" s="94"/>
      <c r="AZ443" s="94" t="s">
        <v>142</v>
      </c>
      <c r="BA443" s="94"/>
      <c r="BB443" s="94"/>
      <c r="BC443" s="94"/>
      <c r="BD443" s="94"/>
      <c r="BE443" s="94"/>
      <c r="BF443" s="94"/>
    </row>
    <row r="444" spans="2:58" ht="15" customHeight="1" x14ac:dyDescent="0.45">
      <c r="B444" s="45"/>
      <c r="C444" s="95" t="s">
        <v>50</v>
      </c>
      <c r="D444" s="95"/>
      <c r="E444" s="95"/>
      <c r="F444" s="95"/>
      <c r="G444" s="95"/>
      <c r="H444" s="95"/>
      <c r="L444" s="45"/>
      <c r="M444" s="95" t="s">
        <v>50</v>
      </c>
      <c r="N444" s="95"/>
      <c r="O444" s="95"/>
      <c r="P444" s="95"/>
      <c r="Q444" s="95"/>
      <c r="R444" s="95"/>
      <c r="S444" s="41"/>
      <c r="T444" s="43"/>
      <c r="V444" s="45"/>
      <c r="W444" s="95" t="str">
        <f>C444</f>
        <v>LTC</v>
      </c>
      <c r="X444" s="95"/>
      <c r="Y444" s="95"/>
      <c r="Z444" s="95"/>
      <c r="AA444" s="95"/>
      <c r="AB444" s="95"/>
      <c r="AF444" s="45"/>
      <c r="AG444" s="95" t="str">
        <f>W444</f>
        <v>LTC</v>
      </c>
      <c r="AH444" s="95"/>
      <c r="AI444" s="95"/>
      <c r="AJ444" s="95"/>
      <c r="AK444" s="95"/>
      <c r="AL444" s="95"/>
      <c r="AM444" s="41"/>
      <c r="AN444" s="43"/>
      <c r="AP444" s="45"/>
      <c r="AQ444" s="95" t="str">
        <f>C444</f>
        <v>LTC</v>
      </c>
      <c r="AR444" s="95"/>
      <c r="AS444" s="95"/>
      <c r="AT444" s="95"/>
      <c r="AU444" s="95"/>
      <c r="AV444" s="95"/>
      <c r="AZ444" s="45"/>
      <c r="BA444" s="95" t="str">
        <f>C444</f>
        <v>LTC</v>
      </c>
      <c r="BB444" s="95"/>
      <c r="BC444" s="95"/>
      <c r="BD444" s="95"/>
      <c r="BE444" s="95"/>
      <c r="BF444" s="95"/>
    </row>
    <row r="445" spans="2:58" ht="15" customHeight="1" x14ac:dyDescent="0.45">
      <c r="B445" s="71" t="s">
        <v>52</v>
      </c>
      <c r="C445" s="45" t="s">
        <v>143</v>
      </c>
      <c r="D445" s="45" t="s">
        <v>144</v>
      </c>
      <c r="E445" s="45" t="s">
        <v>145</v>
      </c>
      <c r="F445" s="45" t="s">
        <v>146</v>
      </c>
      <c r="G445" s="45" t="s">
        <v>147</v>
      </c>
      <c r="H445" s="45" t="s">
        <v>148</v>
      </c>
      <c r="L445" s="71" t="s">
        <v>52</v>
      </c>
      <c r="M445" s="45" t="s">
        <v>143</v>
      </c>
      <c r="N445" s="45" t="s">
        <v>144</v>
      </c>
      <c r="O445" s="45" t="s">
        <v>145</v>
      </c>
      <c r="P445" s="45" t="s">
        <v>146</v>
      </c>
      <c r="Q445" s="45" t="s">
        <v>147</v>
      </c>
      <c r="R445" s="45" t="s">
        <v>148</v>
      </c>
      <c r="S445" s="41"/>
      <c r="T445" s="43"/>
      <c r="V445" s="71" t="str">
        <f t="shared" ref="V445:V456" si="346">B445</f>
        <v>AR-LTV</v>
      </c>
      <c r="W445" s="45" t="str">
        <f>C445</f>
        <v>&lt;74.99%</v>
      </c>
      <c r="X445" s="45" t="str">
        <f>D445</f>
        <v>75.00%-80.00%</v>
      </c>
      <c r="Y445" s="45" t="str">
        <f>E445</f>
        <v>80.01%-85.00%</v>
      </c>
      <c r="Z445" s="45" t="str">
        <f>F445</f>
        <v>85.01%-87.50%</v>
      </c>
      <c r="AA445" s="45" t="str">
        <f>G445</f>
        <v>87.51%-89.99%</v>
      </c>
      <c r="AB445" s="45" t="str">
        <f>H445</f>
        <v>90.00%-92.50%</v>
      </c>
      <c r="AF445" s="44" t="str">
        <f t="shared" ref="AF445:AF461" si="347">V445</f>
        <v>AR-LTV</v>
      </c>
      <c r="AG445" s="45" t="str">
        <f>W445</f>
        <v>&lt;74.99%</v>
      </c>
      <c r="AH445" s="45" t="str">
        <f>X445</f>
        <v>75.00%-80.00%</v>
      </c>
      <c r="AI445" s="45" t="str">
        <f>Y445</f>
        <v>80.01%-85.00%</v>
      </c>
      <c r="AJ445" s="45" t="str">
        <f>Z445</f>
        <v>85.01%-87.50%</v>
      </c>
      <c r="AK445" s="45" t="str">
        <f>AA445</f>
        <v>87.51%-89.99%</v>
      </c>
      <c r="AL445" s="45" t="str">
        <f>AB445</f>
        <v>90.00%-92.50%</v>
      </c>
      <c r="AM445" s="41"/>
      <c r="AN445" s="43"/>
      <c r="AP445" s="71" t="str">
        <f t="shared" ref="AP445:AP461" si="348">B445</f>
        <v>AR-LTV</v>
      </c>
      <c r="AQ445" s="45" t="str">
        <f>C445</f>
        <v>&lt;74.99%</v>
      </c>
      <c r="AR445" s="45" t="str">
        <f>D445</f>
        <v>75.00%-80.00%</v>
      </c>
      <c r="AS445" s="45" t="str">
        <f>E445</f>
        <v>80.01%-85.00%</v>
      </c>
      <c r="AT445" s="45" t="str">
        <f>F445</f>
        <v>85.01%-87.50%</v>
      </c>
      <c r="AU445" s="45" t="str">
        <f>G445</f>
        <v>87.51%-89.99%</v>
      </c>
      <c r="AV445" s="45" t="str">
        <f>H445</f>
        <v>90.00%-92.50%</v>
      </c>
      <c r="AZ445" s="71" t="str">
        <f t="shared" ref="AZ445:AZ461" si="349">B445</f>
        <v>AR-LTV</v>
      </c>
      <c r="BA445" s="45" t="str">
        <f>C445</f>
        <v>&lt;74.99%</v>
      </c>
      <c r="BB445" s="45" t="str">
        <f>D445</f>
        <v>75.00%-80.00%</v>
      </c>
      <c r="BC445" s="45" t="str">
        <f>E445</f>
        <v>80.01%-85.00%</v>
      </c>
      <c r="BD445" s="45" t="str">
        <f>F445</f>
        <v>85.01%-87.50%</v>
      </c>
      <c r="BE445" s="45" t="str">
        <f>G445</f>
        <v>87.51%-89.99%</v>
      </c>
      <c r="BF445" s="45" t="str">
        <f>H445</f>
        <v>90.00%-92.50%</v>
      </c>
    </row>
    <row r="446" spans="2:58" ht="15" hidden="1" customHeight="1" x14ac:dyDescent="0.45">
      <c r="B446" s="46" t="s">
        <v>164</v>
      </c>
      <c r="C446" s="47">
        <f>C458+0.75%</f>
        <v>9.5000000000000001E-2</v>
      </c>
      <c r="D446" s="47">
        <f>C446</f>
        <v>9.5000000000000001E-2</v>
      </c>
      <c r="E446" s="49" t="s">
        <v>150</v>
      </c>
      <c r="F446" s="49" t="s">
        <v>150</v>
      </c>
      <c r="G446" s="49" t="s">
        <v>150</v>
      </c>
      <c r="H446" s="49" t="s">
        <v>150</v>
      </c>
      <c r="L446" s="46" t="s">
        <v>164</v>
      </c>
      <c r="M446" s="49" t="s">
        <v>150</v>
      </c>
      <c r="N446" s="49" t="s">
        <v>150</v>
      </c>
      <c r="O446" s="49" t="s">
        <v>150</v>
      </c>
      <c r="P446" s="49" t="s">
        <v>150</v>
      </c>
      <c r="Q446" s="49" t="s">
        <v>150</v>
      </c>
      <c r="R446" s="49" t="s">
        <v>150</v>
      </c>
      <c r="S446" s="50"/>
      <c r="T446" s="51"/>
      <c r="V446" s="46" t="str">
        <f t="shared" si="346"/>
        <v>75.01%-80.00%</v>
      </c>
      <c r="W446" s="47">
        <f>W458+0.75%</f>
        <v>9.5000000000000001E-2</v>
      </c>
      <c r="X446" s="47">
        <f>W446</f>
        <v>9.5000000000000001E-2</v>
      </c>
      <c r="Y446" s="49" t="s">
        <v>150</v>
      </c>
      <c r="Z446" s="49" t="s">
        <v>150</v>
      </c>
      <c r="AA446" s="49" t="s">
        <v>150</v>
      </c>
      <c r="AB446" s="49" t="s">
        <v>150</v>
      </c>
      <c r="AF446" s="46" t="str">
        <f t="shared" si="347"/>
        <v>75.01%-80.00%</v>
      </c>
      <c r="AG446" s="49" t="s">
        <v>150</v>
      </c>
      <c r="AH446" s="49" t="s">
        <v>150</v>
      </c>
      <c r="AI446" s="49" t="s">
        <v>150</v>
      </c>
      <c r="AJ446" s="49" t="s">
        <v>150</v>
      </c>
      <c r="AK446" s="49" t="s">
        <v>150</v>
      </c>
      <c r="AL446" s="49" t="s">
        <v>150</v>
      </c>
      <c r="AM446" s="50"/>
      <c r="AN446" s="51"/>
      <c r="AP446" s="46" t="str">
        <f t="shared" si="348"/>
        <v>75.01%-80.00%</v>
      </c>
      <c r="AQ446" s="47">
        <f>AQ458+0.75%</f>
        <v>9.5000000000000001E-2</v>
      </c>
      <c r="AR446" s="47">
        <f>AQ446</f>
        <v>9.5000000000000001E-2</v>
      </c>
      <c r="AS446" s="49" t="s">
        <v>150</v>
      </c>
      <c r="AT446" s="49" t="s">
        <v>150</v>
      </c>
      <c r="AU446" s="49" t="s">
        <v>150</v>
      </c>
      <c r="AV446" s="49" t="s">
        <v>150</v>
      </c>
      <c r="AZ446" s="46" t="str">
        <f t="shared" si="349"/>
        <v>75.01%-80.00%</v>
      </c>
      <c r="BA446" s="49" t="s">
        <v>150</v>
      </c>
      <c r="BB446" s="49" t="s">
        <v>150</v>
      </c>
      <c r="BC446" s="49" t="s">
        <v>150</v>
      </c>
      <c r="BD446" s="49" t="s">
        <v>150</v>
      </c>
      <c r="BE446" s="49" t="s">
        <v>150</v>
      </c>
      <c r="BF446" s="49" t="s">
        <v>150</v>
      </c>
    </row>
    <row r="447" spans="2:58" ht="15" hidden="1" customHeight="1" x14ac:dyDescent="0.45">
      <c r="B447" s="52" t="s">
        <v>151</v>
      </c>
      <c r="C447" s="53">
        <f>C446+0</f>
        <v>9.5000000000000001E-2</v>
      </c>
      <c r="D447" s="53">
        <f>D446+0</f>
        <v>9.5000000000000001E-2</v>
      </c>
      <c r="E447" s="54" t="s">
        <v>150</v>
      </c>
      <c r="F447" s="54" t="s">
        <v>150</v>
      </c>
      <c r="G447" s="54" t="s">
        <v>150</v>
      </c>
      <c r="H447" s="54" t="s">
        <v>150</v>
      </c>
      <c r="L447" s="52" t="s">
        <v>151</v>
      </c>
      <c r="M447" s="54" t="s">
        <v>150</v>
      </c>
      <c r="N447" s="54" t="s">
        <v>150</v>
      </c>
      <c r="O447" s="54" t="s">
        <v>150</v>
      </c>
      <c r="P447" s="54" t="s">
        <v>150</v>
      </c>
      <c r="Q447" s="54" t="s">
        <v>150</v>
      </c>
      <c r="R447" s="54" t="s">
        <v>150</v>
      </c>
      <c r="S447" s="55"/>
      <c r="T447" s="56"/>
      <c r="V447" s="52" t="str">
        <f t="shared" si="346"/>
        <v>FICO 700+</v>
      </c>
      <c r="W447" s="53">
        <f>W446+0</f>
        <v>9.5000000000000001E-2</v>
      </c>
      <c r="X447" s="53">
        <f>X446+0</f>
        <v>9.5000000000000001E-2</v>
      </c>
      <c r="Y447" s="54" t="s">
        <v>150</v>
      </c>
      <c r="Z447" s="54" t="s">
        <v>150</v>
      </c>
      <c r="AA447" s="54" t="s">
        <v>150</v>
      </c>
      <c r="AB447" s="54" t="s">
        <v>150</v>
      </c>
      <c r="AF447" s="52" t="str">
        <f t="shared" si="347"/>
        <v>FICO 700+</v>
      </c>
      <c r="AG447" s="54" t="s">
        <v>150</v>
      </c>
      <c r="AH447" s="54" t="s">
        <v>150</v>
      </c>
      <c r="AI447" s="54" t="s">
        <v>150</v>
      </c>
      <c r="AJ447" s="54" t="s">
        <v>150</v>
      </c>
      <c r="AK447" s="54" t="s">
        <v>150</v>
      </c>
      <c r="AL447" s="54" t="s">
        <v>150</v>
      </c>
      <c r="AM447" s="55"/>
      <c r="AN447" s="56"/>
      <c r="AP447" s="52" t="str">
        <f t="shared" si="348"/>
        <v>FICO 700+</v>
      </c>
      <c r="AQ447" s="53">
        <f>AQ446+0</f>
        <v>9.5000000000000001E-2</v>
      </c>
      <c r="AR447" s="53">
        <f>AR446+0</f>
        <v>9.5000000000000001E-2</v>
      </c>
      <c r="AS447" s="54" t="s">
        <v>150</v>
      </c>
      <c r="AT447" s="54" t="s">
        <v>150</v>
      </c>
      <c r="AU447" s="54" t="s">
        <v>150</v>
      </c>
      <c r="AV447" s="54" t="s">
        <v>150</v>
      </c>
      <c r="AZ447" s="52" t="str">
        <f t="shared" si="349"/>
        <v>FICO 700+</v>
      </c>
      <c r="BA447" s="54" t="s">
        <v>150</v>
      </c>
      <c r="BB447" s="54" t="s">
        <v>150</v>
      </c>
      <c r="BC447" s="54" t="s">
        <v>150</v>
      </c>
      <c r="BD447" s="54" t="s">
        <v>150</v>
      </c>
      <c r="BE447" s="54" t="s">
        <v>150</v>
      </c>
      <c r="BF447" s="54" t="s">
        <v>150</v>
      </c>
    </row>
    <row r="448" spans="2:58" ht="15" hidden="1" customHeight="1" x14ac:dyDescent="0.45">
      <c r="B448" s="52" t="s">
        <v>152</v>
      </c>
      <c r="C448" s="53">
        <f>C446+0.25%</f>
        <v>9.7500000000000003E-2</v>
      </c>
      <c r="D448" s="53">
        <f>D446+0.25%</f>
        <v>9.7500000000000003E-2</v>
      </c>
      <c r="E448" s="54" t="s">
        <v>150</v>
      </c>
      <c r="F448" s="54" t="s">
        <v>150</v>
      </c>
      <c r="G448" s="54" t="s">
        <v>150</v>
      </c>
      <c r="H448" s="54" t="s">
        <v>150</v>
      </c>
      <c r="L448" s="52" t="s">
        <v>152</v>
      </c>
      <c r="M448" s="54" t="s">
        <v>150</v>
      </c>
      <c r="N448" s="54" t="s">
        <v>150</v>
      </c>
      <c r="O448" s="54" t="s">
        <v>150</v>
      </c>
      <c r="P448" s="54" t="s">
        <v>150</v>
      </c>
      <c r="Q448" s="54" t="s">
        <v>150</v>
      </c>
      <c r="R448" s="54" t="s">
        <v>150</v>
      </c>
      <c r="S448" s="55"/>
      <c r="T448" s="56"/>
      <c r="V448" s="52" t="str">
        <f t="shared" si="346"/>
        <v>FICO 660-699</v>
      </c>
      <c r="W448" s="53">
        <f>W446+0.25%</f>
        <v>9.7500000000000003E-2</v>
      </c>
      <c r="X448" s="53">
        <f>X446+0.25%</f>
        <v>9.7500000000000003E-2</v>
      </c>
      <c r="Y448" s="54" t="s">
        <v>150</v>
      </c>
      <c r="Z448" s="54" t="s">
        <v>150</v>
      </c>
      <c r="AA448" s="54" t="s">
        <v>150</v>
      </c>
      <c r="AB448" s="54" t="s">
        <v>150</v>
      </c>
      <c r="AF448" s="52" t="str">
        <f t="shared" si="347"/>
        <v>FICO 660-699</v>
      </c>
      <c r="AG448" s="54" t="s">
        <v>150</v>
      </c>
      <c r="AH448" s="54" t="s">
        <v>150</v>
      </c>
      <c r="AI448" s="54" t="s">
        <v>150</v>
      </c>
      <c r="AJ448" s="54" t="s">
        <v>150</v>
      </c>
      <c r="AK448" s="54" t="s">
        <v>150</v>
      </c>
      <c r="AL448" s="54" t="s">
        <v>150</v>
      </c>
      <c r="AM448" s="55"/>
      <c r="AN448" s="56"/>
      <c r="AP448" s="52" t="str">
        <f t="shared" si="348"/>
        <v>FICO 660-699</v>
      </c>
      <c r="AQ448" s="53">
        <f>AQ446+0.25%</f>
        <v>9.7500000000000003E-2</v>
      </c>
      <c r="AR448" s="53">
        <f>AR446+0.25%</f>
        <v>9.7500000000000003E-2</v>
      </c>
      <c r="AS448" s="54" t="s">
        <v>150</v>
      </c>
      <c r="AT448" s="54" t="s">
        <v>150</v>
      </c>
      <c r="AU448" s="54" t="s">
        <v>150</v>
      </c>
      <c r="AV448" s="54" t="s">
        <v>150</v>
      </c>
      <c r="AZ448" s="52" t="str">
        <f t="shared" si="349"/>
        <v>FICO 660-699</v>
      </c>
      <c r="BA448" s="54" t="s">
        <v>150</v>
      </c>
      <c r="BB448" s="54" t="s">
        <v>150</v>
      </c>
      <c r="BC448" s="54" t="s">
        <v>150</v>
      </c>
      <c r="BD448" s="54" t="s">
        <v>150</v>
      </c>
      <c r="BE448" s="54" t="s">
        <v>150</v>
      </c>
      <c r="BF448" s="54" t="s">
        <v>150</v>
      </c>
    </row>
    <row r="449" spans="2:58" ht="15" hidden="1" customHeight="1" x14ac:dyDescent="0.45">
      <c r="B449" s="57" t="s">
        <v>153</v>
      </c>
      <c r="C449" s="58">
        <f>C446+0.5%</f>
        <v>0.1</v>
      </c>
      <c r="D449" s="58">
        <f>D446+0.5%</f>
        <v>0.1</v>
      </c>
      <c r="E449" s="59" t="s">
        <v>150</v>
      </c>
      <c r="F449" s="59" t="s">
        <v>150</v>
      </c>
      <c r="G449" s="59" t="s">
        <v>150</v>
      </c>
      <c r="H449" s="59" t="s">
        <v>150</v>
      </c>
      <c r="L449" s="57" t="s">
        <v>153</v>
      </c>
      <c r="M449" s="59" t="s">
        <v>150</v>
      </c>
      <c r="N449" s="59" t="s">
        <v>150</v>
      </c>
      <c r="O449" s="59" t="s">
        <v>150</v>
      </c>
      <c r="P449" s="59" t="s">
        <v>150</v>
      </c>
      <c r="Q449" s="59" t="s">
        <v>150</v>
      </c>
      <c r="R449" s="59" t="s">
        <v>150</v>
      </c>
      <c r="S449" s="55"/>
      <c r="T449" s="56"/>
      <c r="V449" s="57" t="str">
        <f t="shared" si="346"/>
        <v>FICO 640-659</v>
      </c>
      <c r="W449" s="58">
        <f>W446+0.5%</f>
        <v>0.1</v>
      </c>
      <c r="X449" s="58">
        <f>X446+0.5%</f>
        <v>0.1</v>
      </c>
      <c r="Y449" s="59" t="s">
        <v>150</v>
      </c>
      <c r="Z449" s="59" t="s">
        <v>150</v>
      </c>
      <c r="AA449" s="59" t="s">
        <v>150</v>
      </c>
      <c r="AB449" s="59" t="s">
        <v>150</v>
      </c>
      <c r="AF449" s="57" t="str">
        <f t="shared" si="347"/>
        <v>FICO 640-659</v>
      </c>
      <c r="AG449" s="59" t="s">
        <v>150</v>
      </c>
      <c r="AH449" s="59" t="s">
        <v>150</v>
      </c>
      <c r="AI449" s="59" t="s">
        <v>150</v>
      </c>
      <c r="AJ449" s="59" t="s">
        <v>150</v>
      </c>
      <c r="AK449" s="59" t="s">
        <v>150</v>
      </c>
      <c r="AL449" s="59" t="s">
        <v>150</v>
      </c>
      <c r="AM449" s="55"/>
      <c r="AN449" s="56"/>
      <c r="AP449" s="57" t="str">
        <f t="shared" si="348"/>
        <v>FICO 640-659</v>
      </c>
      <c r="AQ449" s="58">
        <f>AQ446+0.5%</f>
        <v>0.1</v>
      </c>
      <c r="AR449" s="58">
        <f>AR446+0.5%</f>
        <v>0.1</v>
      </c>
      <c r="AS449" s="59" t="s">
        <v>150</v>
      </c>
      <c r="AT449" s="59" t="s">
        <v>150</v>
      </c>
      <c r="AU449" s="59" t="s">
        <v>150</v>
      </c>
      <c r="AV449" s="59" t="s">
        <v>150</v>
      </c>
      <c r="AZ449" s="57" t="str">
        <f t="shared" si="349"/>
        <v>FICO 640-659</v>
      </c>
      <c r="BA449" s="59" t="s">
        <v>150</v>
      </c>
      <c r="BB449" s="59" t="s">
        <v>150</v>
      </c>
      <c r="BC449" s="59" t="s">
        <v>150</v>
      </c>
      <c r="BD449" s="59" t="s">
        <v>150</v>
      </c>
      <c r="BE449" s="59" t="s">
        <v>150</v>
      </c>
      <c r="BF449" s="59" t="s">
        <v>150</v>
      </c>
    </row>
    <row r="450" spans="2:58" ht="15" customHeight="1" x14ac:dyDescent="0.45">
      <c r="B450" s="46" t="s">
        <v>149</v>
      </c>
      <c r="C450" s="47">
        <f>C458+0.5%</f>
        <v>9.2499999999999999E-2</v>
      </c>
      <c r="D450" s="47">
        <f>C450</f>
        <v>9.2499999999999999E-2</v>
      </c>
      <c r="E450" s="49" t="s">
        <v>150</v>
      </c>
      <c r="F450" s="49" t="s">
        <v>150</v>
      </c>
      <c r="G450" s="49" t="s">
        <v>150</v>
      </c>
      <c r="H450" s="49" t="s">
        <v>150</v>
      </c>
      <c r="L450" s="46" t="s">
        <v>149</v>
      </c>
      <c r="M450" s="47">
        <f>M458+0.5%</f>
        <v>9.7500000000000003E-2</v>
      </c>
      <c r="N450" s="49" t="s">
        <v>150</v>
      </c>
      <c r="O450" s="49" t="s">
        <v>150</v>
      </c>
      <c r="P450" s="49" t="s">
        <v>150</v>
      </c>
      <c r="Q450" s="49" t="s">
        <v>150</v>
      </c>
      <c r="R450" s="49" t="s">
        <v>150</v>
      </c>
      <c r="S450" s="50"/>
      <c r="T450" s="51"/>
      <c r="V450" s="46" t="str">
        <f t="shared" si="346"/>
        <v>70.01%-75.00%</v>
      </c>
      <c r="W450" s="47">
        <f>W458+0.5%</f>
        <v>9.2499999999999999E-2</v>
      </c>
      <c r="X450" s="47">
        <f>W450</f>
        <v>9.2499999999999999E-2</v>
      </c>
      <c r="Y450" s="49" t="s">
        <v>150</v>
      </c>
      <c r="Z450" s="49" t="s">
        <v>150</v>
      </c>
      <c r="AA450" s="49" t="s">
        <v>150</v>
      </c>
      <c r="AB450" s="49" t="s">
        <v>150</v>
      </c>
      <c r="AF450" s="60" t="str">
        <f t="shared" si="347"/>
        <v>70.01%-75.00%</v>
      </c>
      <c r="AG450" s="47">
        <f>AG458+0.5%</f>
        <v>9.7500000000000003E-2</v>
      </c>
      <c r="AH450" s="49" t="s">
        <v>150</v>
      </c>
      <c r="AI450" s="49" t="s">
        <v>150</v>
      </c>
      <c r="AJ450" s="49" t="s">
        <v>150</v>
      </c>
      <c r="AK450" s="49" t="s">
        <v>150</v>
      </c>
      <c r="AL450" s="49" t="s">
        <v>150</v>
      </c>
      <c r="AM450" s="50"/>
      <c r="AN450" s="51"/>
      <c r="AP450" s="46" t="str">
        <f t="shared" si="348"/>
        <v>70.01%-75.00%</v>
      </c>
      <c r="AQ450" s="47">
        <f>AQ458+0.5%</f>
        <v>9.2499999999999999E-2</v>
      </c>
      <c r="AR450" s="47">
        <f>AQ450</f>
        <v>9.2499999999999999E-2</v>
      </c>
      <c r="AS450" s="49" t="s">
        <v>150</v>
      </c>
      <c r="AT450" s="49" t="s">
        <v>150</v>
      </c>
      <c r="AU450" s="49" t="s">
        <v>150</v>
      </c>
      <c r="AV450" s="49" t="s">
        <v>150</v>
      </c>
      <c r="AZ450" s="46" t="str">
        <f t="shared" si="349"/>
        <v>70.01%-75.00%</v>
      </c>
      <c r="BA450" s="47">
        <f>BA458+0.5%</f>
        <v>9.7500000000000003E-2</v>
      </c>
      <c r="BB450" s="49" t="s">
        <v>150</v>
      </c>
      <c r="BC450" s="49" t="s">
        <v>150</v>
      </c>
      <c r="BD450" s="49" t="s">
        <v>150</v>
      </c>
      <c r="BE450" s="49" t="s">
        <v>150</v>
      </c>
      <c r="BF450" s="49" t="s">
        <v>150</v>
      </c>
    </row>
    <row r="451" spans="2:58" ht="15" customHeight="1" x14ac:dyDescent="0.45">
      <c r="B451" s="52" t="s">
        <v>151</v>
      </c>
      <c r="C451" s="53">
        <f>C450+0</f>
        <v>9.2499999999999999E-2</v>
      </c>
      <c r="D451" s="53">
        <f>D450+0</f>
        <v>9.2499999999999999E-2</v>
      </c>
      <c r="E451" s="54" t="s">
        <v>150</v>
      </c>
      <c r="F451" s="54" t="s">
        <v>150</v>
      </c>
      <c r="G451" s="54" t="s">
        <v>150</v>
      </c>
      <c r="H451" s="54" t="s">
        <v>150</v>
      </c>
      <c r="L451" s="52" t="s">
        <v>151</v>
      </c>
      <c r="M451" s="53">
        <f>M450+0</f>
        <v>9.7500000000000003E-2</v>
      </c>
      <c r="N451" s="54" t="s">
        <v>150</v>
      </c>
      <c r="O451" s="54" t="s">
        <v>150</v>
      </c>
      <c r="P451" s="54" t="s">
        <v>150</v>
      </c>
      <c r="Q451" s="54" t="s">
        <v>150</v>
      </c>
      <c r="R451" s="54" t="s">
        <v>150</v>
      </c>
      <c r="S451" s="55"/>
      <c r="T451" s="56"/>
      <c r="V451" s="52" t="str">
        <f t="shared" si="346"/>
        <v>FICO 700+</v>
      </c>
      <c r="W451" s="53">
        <f>W450+0</f>
        <v>9.2499999999999999E-2</v>
      </c>
      <c r="X451" s="53">
        <f>X450+0</f>
        <v>9.2499999999999999E-2</v>
      </c>
      <c r="Y451" s="54" t="s">
        <v>150</v>
      </c>
      <c r="Z451" s="54" t="s">
        <v>150</v>
      </c>
      <c r="AA451" s="54" t="s">
        <v>150</v>
      </c>
      <c r="AB451" s="54" t="s">
        <v>150</v>
      </c>
      <c r="AF451" s="52" t="str">
        <f t="shared" si="347"/>
        <v>FICO 700+</v>
      </c>
      <c r="AG451" s="53">
        <f>AG450+0</f>
        <v>9.7500000000000003E-2</v>
      </c>
      <c r="AH451" s="54" t="s">
        <v>150</v>
      </c>
      <c r="AI451" s="54" t="s">
        <v>150</v>
      </c>
      <c r="AJ451" s="54" t="s">
        <v>150</v>
      </c>
      <c r="AK451" s="54" t="s">
        <v>150</v>
      </c>
      <c r="AL451" s="54" t="s">
        <v>150</v>
      </c>
      <c r="AM451" s="55"/>
      <c r="AN451" s="56"/>
      <c r="AP451" s="52" t="str">
        <f t="shared" si="348"/>
        <v>FICO 700+</v>
      </c>
      <c r="AQ451" s="53">
        <f>AQ450+0</f>
        <v>9.2499999999999999E-2</v>
      </c>
      <c r="AR451" s="53">
        <f>AR450+0</f>
        <v>9.2499999999999999E-2</v>
      </c>
      <c r="AS451" s="54" t="s">
        <v>150</v>
      </c>
      <c r="AT451" s="54" t="s">
        <v>150</v>
      </c>
      <c r="AU451" s="54" t="s">
        <v>150</v>
      </c>
      <c r="AV451" s="54" t="s">
        <v>150</v>
      </c>
      <c r="AZ451" s="52" t="str">
        <f t="shared" si="349"/>
        <v>FICO 700+</v>
      </c>
      <c r="BA451" s="53">
        <f>BA450+0</f>
        <v>9.7500000000000003E-2</v>
      </c>
      <c r="BB451" s="54" t="s">
        <v>150</v>
      </c>
      <c r="BC451" s="54" t="s">
        <v>150</v>
      </c>
      <c r="BD451" s="54" t="s">
        <v>150</v>
      </c>
      <c r="BE451" s="54" t="s">
        <v>150</v>
      </c>
      <c r="BF451" s="54" t="s">
        <v>150</v>
      </c>
    </row>
    <row r="452" spans="2:58" ht="15" customHeight="1" x14ac:dyDescent="0.45">
      <c r="B452" s="52" t="s">
        <v>152</v>
      </c>
      <c r="C452" s="54" t="s">
        <v>150</v>
      </c>
      <c r="D452" s="54" t="s">
        <v>150</v>
      </c>
      <c r="E452" s="54" t="s">
        <v>150</v>
      </c>
      <c r="F452" s="54" t="s">
        <v>150</v>
      </c>
      <c r="G452" s="54" t="s">
        <v>150</v>
      </c>
      <c r="H452" s="54" t="s">
        <v>150</v>
      </c>
      <c r="L452" s="52" t="s">
        <v>152</v>
      </c>
      <c r="M452" s="54" t="s">
        <v>150</v>
      </c>
      <c r="N452" s="54" t="s">
        <v>150</v>
      </c>
      <c r="O452" s="54" t="s">
        <v>150</v>
      </c>
      <c r="P452" s="54" t="s">
        <v>150</v>
      </c>
      <c r="Q452" s="54" t="s">
        <v>150</v>
      </c>
      <c r="R452" s="54" t="s">
        <v>150</v>
      </c>
      <c r="S452" s="55"/>
      <c r="T452" s="56"/>
      <c r="V452" s="52" t="str">
        <f t="shared" si="346"/>
        <v>FICO 660-699</v>
      </c>
      <c r="W452" s="54" t="s">
        <v>150</v>
      </c>
      <c r="X452" s="54" t="s">
        <v>150</v>
      </c>
      <c r="Y452" s="54" t="s">
        <v>150</v>
      </c>
      <c r="Z452" s="54" t="s">
        <v>150</v>
      </c>
      <c r="AA452" s="54" t="s">
        <v>150</v>
      </c>
      <c r="AB452" s="54" t="s">
        <v>150</v>
      </c>
      <c r="AF452" s="52" t="str">
        <f t="shared" si="347"/>
        <v>FICO 660-699</v>
      </c>
      <c r="AG452" s="54" t="s">
        <v>150</v>
      </c>
      <c r="AH452" s="54" t="s">
        <v>150</v>
      </c>
      <c r="AI452" s="54" t="s">
        <v>150</v>
      </c>
      <c r="AJ452" s="54" t="s">
        <v>150</v>
      </c>
      <c r="AK452" s="54" t="s">
        <v>150</v>
      </c>
      <c r="AL452" s="54" t="s">
        <v>150</v>
      </c>
      <c r="AM452" s="55"/>
      <c r="AN452" s="56"/>
      <c r="AP452" s="52" t="str">
        <f t="shared" si="348"/>
        <v>FICO 660-699</v>
      </c>
      <c r="AQ452" s="54" t="s">
        <v>150</v>
      </c>
      <c r="AR452" s="54" t="s">
        <v>150</v>
      </c>
      <c r="AS452" s="54" t="s">
        <v>150</v>
      </c>
      <c r="AT452" s="54" t="s">
        <v>150</v>
      </c>
      <c r="AU452" s="54" t="s">
        <v>150</v>
      </c>
      <c r="AV452" s="54" t="s">
        <v>150</v>
      </c>
      <c r="AZ452" s="52" t="str">
        <f t="shared" si="349"/>
        <v>FICO 660-699</v>
      </c>
      <c r="BA452" s="54" t="s">
        <v>150</v>
      </c>
      <c r="BB452" s="54" t="s">
        <v>150</v>
      </c>
      <c r="BC452" s="54" t="s">
        <v>150</v>
      </c>
      <c r="BD452" s="54" t="s">
        <v>150</v>
      </c>
      <c r="BE452" s="54" t="s">
        <v>150</v>
      </c>
      <c r="BF452" s="54" t="s">
        <v>150</v>
      </c>
    </row>
    <row r="453" spans="2:58" ht="15" customHeight="1" x14ac:dyDescent="0.45">
      <c r="B453" s="57" t="s">
        <v>153</v>
      </c>
      <c r="C453" s="59" t="s">
        <v>150</v>
      </c>
      <c r="D453" s="59" t="s">
        <v>150</v>
      </c>
      <c r="E453" s="59" t="s">
        <v>150</v>
      </c>
      <c r="F453" s="59" t="s">
        <v>150</v>
      </c>
      <c r="G453" s="59" t="s">
        <v>150</v>
      </c>
      <c r="H453" s="59" t="s">
        <v>150</v>
      </c>
      <c r="L453" s="57" t="s">
        <v>153</v>
      </c>
      <c r="M453" s="59" t="s">
        <v>150</v>
      </c>
      <c r="N453" s="59" t="s">
        <v>150</v>
      </c>
      <c r="O453" s="59" t="s">
        <v>150</v>
      </c>
      <c r="P453" s="59" t="s">
        <v>150</v>
      </c>
      <c r="Q453" s="59" t="s">
        <v>150</v>
      </c>
      <c r="R453" s="59" t="s">
        <v>150</v>
      </c>
      <c r="S453" s="55"/>
      <c r="T453" s="56"/>
      <c r="V453" s="57" t="str">
        <f t="shared" si="346"/>
        <v>FICO 640-659</v>
      </c>
      <c r="W453" s="59" t="s">
        <v>150</v>
      </c>
      <c r="X453" s="59" t="s">
        <v>150</v>
      </c>
      <c r="Y453" s="59" t="s">
        <v>150</v>
      </c>
      <c r="Z453" s="59" t="s">
        <v>150</v>
      </c>
      <c r="AA453" s="59" t="s">
        <v>150</v>
      </c>
      <c r="AB453" s="59" t="s">
        <v>150</v>
      </c>
      <c r="AF453" s="57" t="str">
        <f t="shared" si="347"/>
        <v>FICO 640-659</v>
      </c>
      <c r="AG453" s="59" t="s">
        <v>150</v>
      </c>
      <c r="AH453" s="59" t="s">
        <v>150</v>
      </c>
      <c r="AI453" s="59" t="s">
        <v>150</v>
      </c>
      <c r="AJ453" s="59" t="s">
        <v>150</v>
      </c>
      <c r="AK453" s="59" t="s">
        <v>150</v>
      </c>
      <c r="AL453" s="59" t="s">
        <v>150</v>
      </c>
      <c r="AM453" s="55"/>
      <c r="AN453" s="56"/>
      <c r="AP453" s="57" t="str">
        <f t="shared" si="348"/>
        <v>FICO 640-659</v>
      </c>
      <c r="AQ453" s="59" t="s">
        <v>150</v>
      </c>
      <c r="AR453" s="59" t="s">
        <v>150</v>
      </c>
      <c r="AS453" s="59" t="s">
        <v>150</v>
      </c>
      <c r="AT453" s="59" t="s">
        <v>150</v>
      </c>
      <c r="AU453" s="59" t="s">
        <v>150</v>
      </c>
      <c r="AV453" s="59" t="s">
        <v>150</v>
      </c>
      <c r="AZ453" s="57" t="str">
        <f t="shared" si="349"/>
        <v>FICO 640-659</v>
      </c>
      <c r="BA453" s="59" t="s">
        <v>150</v>
      </c>
      <c r="BB453" s="59" t="s">
        <v>150</v>
      </c>
      <c r="BC453" s="59" t="s">
        <v>150</v>
      </c>
      <c r="BD453" s="59" t="s">
        <v>150</v>
      </c>
      <c r="BE453" s="59" t="s">
        <v>150</v>
      </c>
      <c r="BF453" s="59" t="s">
        <v>150</v>
      </c>
    </row>
    <row r="454" spans="2:58" ht="15" customHeight="1" x14ac:dyDescent="0.45">
      <c r="B454" s="46" t="s">
        <v>154</v>
      </c>
      <c r="C454" s="47">
        <f>C458+0.25%</f>
        <v>0.09</v>
      </c>
      <c r="D454" s="47">
        <f>C454</f>
        <v>0.09</v>
      </c>
      <c r="E454" s="49" t="s">
        <v>150</v>
      </c>
      <c r="F454" s="49" t="s">
        <v>150</v>
      </c>
      <c r="G454" s="49" t="s">
        <v>150</v>
      </c>
      <c r="H454" s="49" t="s">
        <v>150</v>
      </c>
      <c r="L454" s="46" t="s">
        <v>154</v>
      </c>
      <c r="M454" s="47">
        <f>M458+0.25%</f>
        <v>9.5000000000000001E-2</v>
      </c>
      <c r="N454" s="49" t="s">
        <v>150</v>
      </c>
      <c r="O454" s="49" t="s">
        <v>150</v>
      </c>
      <c r="P454" s="49" t="s">
        <v>150</v>
      </c>
      <c r="Q454" s="49" t="s">
        <v>150</v>
      </c>
      <c r="R454" s="49" t="s">
        <v>150</v>
      </c>
      <c r="S454" s="50"/>
      <c r="T454" s="51"/>
      <c r="V454" s="46" t="str">
        <f t="shared" si="346"/>
        <v>65.00%-70.00%</v>
      </c>
      <c r="W454" s="47">
        <f>W458+0.25%</f>
        <v>0.09</v>
      </c>
      <c r="X454" s="47">
        <f>W454</f>
        <v>0.09</v>
      </c>
      <c r="Y454" s="49" t="s">
        <v>150</v>
      </c>
      <c r="Z454" s="49" t="s">
        <v>150</v>
      </c>
      <c r="AA454" s="49" t="s">
        <v>150</v>
      </c>
      <c r="AB454" s="49" t="s">
        <v>150</v>
      </c>
      <c r="AF454" s="60" t="str">
        <f t="shared" si="347"/>
        <v>65.00%-70.00%</v>
      </c>
      <c r="AG454" s="47">
        <f>AG458+0.25%</f>
        <v>9.5000000000000001E-2</v>
      </c>
      <c r="AH454" s="49" t="s">
        <v>150</v>
      </c>
      <c r="AI454" s="49" t="s">
        <v>150</v>
      </c>
      <c r="AJ454" s="49" t="s">
        <v>150</v>
      </c>
      <c r="AK454" s="49" t="s">
        <v>150</v>
      </c>
      <c r="AL454" s="49" t="s">
        <v>150</v>
      </c>
      <c r="AM454" s="50"/>
      <c r="AN454" s="51"/>
      <c r="AP454" s="46" t="str">
        <f t="shared" si="348"/>
        <v>65.00%-70.00%</v>
      </c>
      <c r="AQ454" s="47">
        <f>AQ458+0.25%</f>
        <v>0.09</v>
      </c>
      <c r="AR454" s="47">
        <f>AQ454</f>
        <v>0.09</v>
      </c>
      <c r="AS454" s="49" t="s">
        <v>150</v>
      </c>
      <c r="AT454" s="49" t="s">
        <v>150</v>
      </c>
      <c r="AU454" s="49" t="s">
        <v>150</v>
      </c>
      <c r="AV454" s="49" t="s">
        <v>150</v>
      </c>
      <c r="AZ454" s="46" t="str">
        <f t="shared" si="349"/>
        <v>65.00%-70.00%</v>
      </c>
      <c r="BA454" s="47">
        <f>BA458+0.25%</f>
        <v>9.5000000000000001E-2</v>
      </c>
      <c r="BB454" s="49" t="s">
        <v>150</v>
      </c>
      <c r="BC454" s="49" t="s">
        <v>150</v>
      </c>
      <c r="BD454" s="49" t="s">
        <v>150</v>
      </c>
      <c r="BE454" s="49" t="s">
        <v>150</v>
      </c>
      <c r="BF454" s="49" t="s">
        <v>150</v>
      </c>
    </row>
    <row r="455" spans="2:58" ht="15" customHeight="1" x14ac:dyDescent="0.45">
      <c r="B455" s="52" t="s">
        <v>151</v>
      </c>
      <c r="C455" s="53">
        <f>C454+0</f>
        <v>0.09</v>
      </c>
      <c r="D455" s="53">
        <f>D454+0</f>
        <v>0.09</v>
      </c>
      <c r="E455" s="54" t="s">
        <v>150</v>
      </c>
      <c r="F455" s="54" t="s">
        <v>150</v>
      </c>
      <c r="G455" s="54" t="s">
        <v>150</v>
      </c>
      <c r="H455" s="54" t="s">
        <v>150</v>
      </c>
      <c r="L455" s="52" t="s">
        <v>151</v>
      </c>
      <c r="M455" s="53">
        <f>M454+0</f>
        <v>9.5000000000000001E-2</v>
      </c>
      <c r="N455" s="54" t="s">
        <v>150</v>
      </c>
      <c r="O455" s="54" t="s">
        <v>150</v>
      </c>
      <c r="P455" s="54" t="s">
        <v>150</v>
      </c>
      <c r="Q455" s="54" t="s">
        <v>150</v>
      </c>
      <c r="R455" s="54" t="s">
        <v>150</v>
      </c>
      <c r="S455" s="55"/>
      <c r="T455" s="56"/>
      <c r="V455" s="52" t="str">
        <f t="shared" si="346"/>
        <v>FICO 700+</v>
      </c>
      <c r="W455" s="53">
        <f>W454+0</f>
        <v>0.09</v>
      </c>
      <c r="X455" s="53">
        <f>X454+0</f>
        <v>0.09</v>
      </c>
      <c r="Y455" s="54" t="s">
        <v>150</v>
      </c>
      <c r="Z455" s="54" t="s">
        <v>150</v>
      </c>
      <c r="AA455" s="54" t="s">
        <v>150</v>
      </c>
      <c r="AB455" s="54" t="s">
        <v>150</v>
      </c>
      <c r="AF455" s="52" t="str">
        <f t="shared" si="347"/>
        <v>FICO 700+</v>
      </c>
      <c r="AG455" s="53">
        <f>AG454+0</f>
        <v>9.5000000000000001E-2</v>
      </c>
      <c r="AH455" s="54" t="s">
        <v>150</v>
      </c>
      <c r="AI455" s="54" t="s">
        <v>150</v>
      </c>
      <c r="AJ455" s="54" t="s">
        <v>150</v>
      </c>
      <c r="AK455" s="54" t="s">
        <v>150</v>
      </c>
      <c r="AL455" s="54" t="s">
        <v>150</v>
      </c>
      <c r="AM455" s="55"/>
      <c r="AN455" s="56"/>
      <c r="AP455" s="52" t="str">
        <f t="shared" si="348"/>
        <v>FICO 700+</v>
      </c>
      <c r="AQ455" s="53">
        <f>AQ454+0</f>
        <v>0.09</v>
      </c>
      <c r="AR455" s="53">
        <f>AR454+0</f>
        <v>0.09</v>
      </c>
      <c r="AS455" s="54" t="s">
        <v>150</v>
      </c>
      <c r="AT455" s="54" t="s">
        <v>150</v>
      </c>
      <c r="AU455" s="54" t="s">
        <v>150</v>
      </c>
      <c r="AV455" s="54" t="s">
        <v>150</v>
      </c>
      <c r="AZ455" s="52" t="str">
        <f t="shared" si="349"/>
        <v>FICO 700+</v>
      </c>
      <c r="BA455" s="53">
        <f>BA454+0</f>
        <v>9.5000000000000001E-2</v>
      </c>
      <c r="BB455" s="54" t="s">
        <v>150</v>
      </c>
      <c r="BC455" s="54" t="s">
        <v>150</v>
      </c>
      <c r="BD455" s="54" t="s">
        <v>150</v>
      </c>
      <c r="BE455" s="54" t="s">
        <v>150</v>
      </c>
      <c r="BF455" s="54" t="s">
        <v>150</v>
      </c>
    </row>
    <row r="456" spans="2:58" ht="15" customHeight="1" x14ac:dyDescent="0.45">
      <c r="B456" s="52" t="s">
        <v>152</v>
      </c>
      <c r="C456" s="54" t="s">
        <v>150</v>
      </c>
      <c r="D456" s="54" t="s">
        <v>150</v>
      </c>
      <c r="E456" s="54" t="s">
        <v>150</v>
      </c>
      <c r="F456" s="54" t="s">
        <v>150</v>
      </c>
      <c r="G456" s="54" t="s">
        <v>150</v>
      </c>
      <c r="H456" s="54" t="s">
        <v>150</v>
      </c>
      <c r="L456" s="52" t="s">
        <v>152</v>
      </c>
      <c r="M456" s="54" t="s">
        <v>150</v>
      </c>
      <c r="N456" s="54" t="s">
        <v>150</v>
      </c>
      <c r="O456" s="54" t="s">
        <v>150</v>
      </c>
      <c r="P456" s="54" t="s">
        <v>150</v>
      </c>
      <c r="Q456" s="54" t="s">
        <v>150</v>
      </c>
      <c r="R456" s="54" t="s">
        <v>150</v>
      </c>
      <c r="S456" s="55"/>
      <c r="T456" s="56"/>
      <c r="V456" s="52" t="str">
        <f t="shared" si="346"/>
        <v>FICO 660-699</v>
      </c>
      <c r="W456" s="54" t="s">
        <v>150</v>
      </c>
      <c r="X456" s="54" t="s">
        <v>150</v>
      </c>
      <c r="Y456" s="54" t="s">
        <v>150</v>
      </c>
      <c r="Z456" s="54" t="s">
        <v>150</v>
      </c>
      <c r="AA456" s="54" t="s">
        <v>150</v>
      </c>
      <c r="AB456" s="54" t="s">
        <v>150</v>
      </c>
      <c r="AF456" s="52" t="str">
        <f t="shared" si="347"/>
        <v>FICO 660-699</v>
      </c>
      <c r="AG456" s="54" t="s">
        <v>150</v>
      </c>
      <c r="AH456" s="54" t="s">
        <v>150</v>
      </c>
      <c r="AI456" s="54" t="s">
        <v>150</v>
      </c>
      <c r="AJ456" s="54" t="s">
        <v>150</v>
      </c>
      <c r="AK456" s="54" t="s">
        <v>150</v>
      </c>
      <c r="AL456" s="54" t="s">
        <v>150</v>
      </c>
      <c r="AM456" s="55"/>
      <c r="AN456" s="56"/>
      <c r="AP456" s="52" t="str">
        <f t="shared" si="348"/>
        <v>FICO 660-699</v>
      </c>
      <c r="AQ456" s="54" t="s">
        <v>150</v>
      </c>
      <c r="AR456" s="54" t="s">
        <v>150</v>
      </c>
      <c r="AS456" s="54" t="s">
        <v>150</v>
      </c>
      <c r="AT456" s="54" t="s">
        <v>150</v>
      </c>
      <c r="AU456" s="54" t="s">
        <v>150</v>
      </c>
      <c r="AV456" s="54" t="s">
        <v>150</v>
      </c>
      <c r="AZ456" s="52" t="str">
        <f t="shared" si="349"/>
        <v>FICO 660-699</v>
      </c>
      <c r="BA456" s="54" t="s">
        <v>150</v>
      </c>
      <c r="BB456" s="54" t="s">
        <v>150</v>
      </c>
      <c r="BC456" s="54" t="s">
        <v>150</v>
      </c>
      <c r="BD456" s="54" t="s">
        <v>150</v>
      </c>
      <c r="BE456" s="54" t="s">
        <v>150</v>
      </c>
      <c r="BF456" s="54" t="s">
        <v>150</v>
      </c>
    </row>
    <row r="457" spans="2:58" ht="15" customHeight="1" x14ac:dyDescent="0.45">
      <c r="B457" s="57" t="s">
        <v>153</v>
      </c>
      <c r="C457" s="59" t="s">
        <v>150</v>
      </c>
      <c r="D457" s="59" t="s">
        <v>150</v>
      </c>
      <c r="E457" s="59" t="s">
        <v>150</v>
      </c>
      <c r="F457" s="59" t="s">
        <v>150</v>
      </c>
      <c r="G457" s="59" t="s">
        <v>150</v>
      </c>
      <c r="H457" s="59" t="s">
        <v>150</v>
      </c>
      <c r="L457" s="57" t="s">
        <v>153</v>
      </c>
      <c r="M457" s="59" t="s">
        <v>150</v>
      </c>
      <c r="N457" s="59" t="s">
        <v>150</v>
      </c>
      <c r="O457" s="59" t="s">
        <v>150</v>
      </c>
      <c r="P457" s="59" t="s">
        <v>150</v>
      </c>
      <c r="Q457" s="59" t="s">
        <v>150</v>
      </c>
      <c r="R457" s="59" t="s">
        <v>150</v>
      </c>
      <c r="S457" s="55"/>
      <c r="T457" s="56"/>
      <c r="V457" s="57" t="s">
        <v>153</v>
      </c>
      <c r="W457" s="59" t="s">
        <v>150</v>
      </c>
      <c r="X457" s="59" t="s">
        <v>150</v>
      </c>
      <c r="Y457" s="59" t="s">
        <v>150</v>
      </c>
      <c r="Z457" s="59" t="s">
        <v>150</v>
      </c>
      <c r="AA457" s="59" t="s">
        <v>150</v>
      </c>
      <c r="AB457" s="59" t="s">
        <v>150</v>
      </c>
      <c r="AF457" s="57" t="str">
        <f t="shared" si="347"/>
        <v>FICO 640-659</v>
      </c>
      <c r="AG457" s="59" t="s">
        <v>150</v>
      </c>
      <c r="AH457" s="59" t="s">
        <v>150</v>
      </c>
      <c r="AI457" s="59" t="s">
        <v>150</v>
      </c>
      <c r="AJ457" s="59" t="s">
        <v>150</v>
      </c>
      <c r="AK457" s="59" t="s">
        <v>150</v>
      </c>
      <c r="AL457" s="59" t="s">
        <v>150</v>
      </c>
      <c r="AM457" s="55"/>
      <c r="AN457" s="56"/>
      <c r="AP457" s="57" t="str">
        <f t="shared" si="348"/>
        <v>FICO 640-659</v>
      </c>
      <c r="AQ457" s="59" t="s">
        <v>150</v>
      </c>
      <c r="AR457" s="59" t="s">
        <v>150</v>
      </c>
      <c r="AS457" s="59" t="s">
        <v>150</v>
      </c>
      <c r="AT457" s="59" t="s">
        <v>150</v>
      </c>
      <c r="AU457" s="59" t="s">
        <v>150</v>
      </c>
      <c r="AV457" s="59" t="s">
        <v>150</v>
      </c>
      <c r="AZ457" s="57" t="str">
        <f t="shared" si="349"/>
        <v>FICO 640-659</v>
      </c>
      <c r="BA457" s="59" t="s">
        <v>150</v>
      </c>
      <c r="BB457" s="59" t="s">
        <v>150</v>
      </c>
      <c r="BC457" s="59" t="s">
        <v>150</v>
      </c>
      <c r="BD457" s="59" t="s">
        <v>150</v>
      </c>
      <c r="BE457" s="59" t="s">
        <v>150</v>
      </c>
      <c r="BF457" s="59" t="s">
        <v>150</v>
      </c>
    </row>
    <row r="458" spans="2:58" ht="15" customHeight="1" x14ac:dyDescent="0.45">
      <c r="B458" s="60" t="s">
        <v>155</v>
      </c>
      <c r="C458" s="72">
        <v>8.7499999999999994E-2</v>
      </c>
      <c r="D458" s="47">
        <f>C458+0.25%</f>
        <v>0.09</v>
      </c>
      <c r="E458" s="49" t="s">
        <v>150</v>
      </c>
      <c r="F458" s="49" t="s">
        <v>150</v>
      </c>
      <c r="G458" s="49" t="s">
        <v>150</v>
      </c>
      <c r="H458" s="49" t="s">
        <v>150</v>
      </c>
      <c r="L458" s="60" t="s">
        <v>155</v>
      </c>
      <c r="M458" s="72">
        <v>9.2499999999999999E-2</v>
      </c>
      <c r="N458" s="49" t="s">
        <v>150</v>
      </c>
      <c r="O458" s="49" t="s">
        <v>150</v>
      </c>
      <c r="P458" s="49" t="s">
        <v>150</v>
      </c>
      <c r="Q458" s="49" t="s">
        <v>150</v>
      </c>
      <c r="R458" s="49" t="s">
        <v>150</v>
      </c>
      <c r="S458" s="50"/>
      <c r="T458" s="51"/>
      <c r="V458" s="60" t="s">
        <v>155</v>
      </c>
      <c r="W458" s="73">
        <v>8.7499999999999994E-2</v>
      </c>
      <c r="X458" s="47">
        <f>W458+0.25%</f>
        <v>0.09</v>
      </c>
      <c r="Y458" s="49" t="s">
        <v>150</v>
      </c>
      <c r="Z458" s="49" t="s">
        <v>150</v>
      </c>
      <c r="AA458" s="49" t="s">
        <v>150</v>
      </c>
      <c r="AB458" s="49" t="s">
        <v>150</v>
      </c>
      <c r="AF458" s="60" t="str">
        <f t="shared" si="347"/>
        <v>&lt;64.99%</v>
      </c>
      <c r="AG458" s="73">
        <v>9.2499999999999999E-2</v>
      </c>
      <c r="AH458" s="49" t="s">
        <v>150</v>
      </c>
      <c r="AI458" s="49" t="s">
        <v>150</v>
      </c>
      <c r="AJ458" s="49" t="s">
        <v>150</v>
      </c>
      <c r="AK458" s="49" t="s">
        <v>150</v>
      </c>
      <c r="AL458" s="49" t="s">
        <v>150</v>
      </c>
      <c r="AM458" s="50"/>
      <c r="AN458" s="51"/>
      <c r="AP458" s="60" t="str">
        <f t="shared" si="348"/>
        <v>&lt;64.99%</v>
      </c>
      <c r="AQ458" s="73">
        <v>8.7499999999999994E-2</v>
      </c>
      <c r="AR458" s="47">
        <f>AQ458+0.25%</f>
        <v>0.09</v>
      </c>
      <c r="AS458" s="49" t="s">
        <v>150</v>
      </c>
      <c r="AT458" s="49" t="s">
        <v>150</v>
      </c>
      <c r="AU458" s="49" t="s">
        <v>150</v>
      </c>
      <c r="AV458" s="49" t="s">
        <v>150</v>
      </c>
      <c r="AZ458" s="60" t="str">
        <f t="shared" si="349"/>
        <v>&lt;64.99%</v>
      </c>
      <c r="BA458" s="73">
        <v>9.2499999999999999E-2</v>
      </c>
      <c r="BB458" s="49" t="s">
        <v>150</v>
      </c>
      <c r="BC458" s="49" t="s">
        <v>150</v>
      </c>
      <c r="BD458" s="49" t="s">
        <v>150</v>
      </c>
      <c r="BE458" s="49" t="s">
        <v>150</v>
      </c>
      <c r="BF458" s="49" t="s">
        <v>150</v>
      </c>
    </row>
    <row r="459" spans="2:58" ht="15" customHeight="1" x14ac:dyDescent="0.45">
      <c r="B459" s="52" t="s">
        <v>151</v>
      </c>
      <c r="C459" s="53">
        <f>C458+0</f>
        <v>8.7499999999999994E-2</v>
      </c>
      <c r="D459" s="53">
        <f>D458+0</f>
        <v>0.09</v>
      </c>
      <c r="E459" s="54" t="s">
        <v>150</v>
      </c>
      <c r="F459" s="54" t="s">
        <v>150</v>
      </c>
      <c r="G459" s="54" t="s">
        <v>150</v>
      </c>
      <c r="H459" s="54" t="s">
        <v>150</v>
      </c>
      <c r="L459" s="52" t="s">
        <v>151</v>
      </c>
      <c r="M459" s="53">
        <f>M458+0</f>
        <v>9.2499999999999999E-2</v>
      </c>
      <c r="N459" s="54" t="s">
        <v>150</v>
      </c>
      <c r="O459" s="54" t="s">
        <v>150</v>
      </c>
      <c r="P459" s="54" t="s">
        <v>150</v>
      </c>
      <c r="Q459" s="54" t="s">
        <v>150</v>
      </c>
      <c r="R459" s="54" t="s">
        <v>150</v>
      </c>
      <c r="S459" s="55"/>
      <c r="T459" s="56"/>
      <c r="V459" s="52" t="s">
        <v>151</v>
      </c>
      <c r="W459" s="53">
        <f>W458+0</f>
        <v>8.7499999999999994E-2</v>
      </c>
      <c r="X459" s="53">
        <f>X458+0</f>
        <v>0.09</v>
      </c>
      <c r="Y459" s="54" t="s">
        <v>150</v>
      </c>
      <c r="Z459" s="54" t="s">
        <v>150</v>
      </c>
      <c r="AA459" s="54" t="s">
        <v>150</v>
      </c>
      <c r="AB459" s="54" t="s">
        <v>150</v>
      </c>
      <c r="AF459" s="52" t="str">
        <f t="shared" si="347"/>
        <v>FICO 700+</v>
      </c>
      <c r="AG459" s="53">
        <f>AG458+0</f>
        <v>9.2499999999999999E-2</v>
      </c>
      <c r="AH459" s="54" t="s">
        <v>150</v>
      </c>
      <c r="AI459" s="54" t="s">
        <v>150</v>
      </c>
      <c r="AJ459" s="54" t="s">
        <v>150</v>
      </c>
      <c r="AK459" s="54" t="s">
        <v>150</v>
      </c>
      <c r="AL459" s="54" t="s">
        <v>150</v>
      </c>
      <c r="AM459" s="55"/>
      <c r="AN459" s="56"/>
      <c r="AP459" s="52" t="str">
        <f t="shared" si="348"/>
        <v>FICO 700+</v>
      </c>
      <c r="AQ459" s="53">
        <f>AQ458+0</f>
        <v>8.7499999999999994E-2</v>
      </c>
      <c r="AR459" s="53">
        <f>AR458+0</f>
        <v>0.09</v>
      </c>
      <c r="AS459" s="54" t="s">
        <v>150</v>
      </c>
      <c r="AT459" s="54" t="s">
        <v>150</v>
      </c>
      <c r="AU459" s="54" t="s">
        <v>150</v>
      </c>
      <c r="AV459" s="54" t="s">
        <v>150</v>
      </c>
      <c r="AZ459" s="52" t="str">
        <f t="shared" si="349"/>
        <v>FICO 700+</v>
      </c>
      <c r="BA459" s="53">
        <f>BA458+0</f>
        <v>9.2499999999999999E-2</v>
      </c>
      <c r="BB459" s="54" t="s">
        <v>150</v>
      </c>
      <c r="BC459" s="54" t="s">
        <v>150</v>
      </c>
      <c r="BD459" s="54" t="s">
        <v>150</v>
      </c>
      <c r="BE459" s="54" t="s">
        <v>150</v>
      </c>
      <c r="BF459" s="54" t="s">
        <v>150</v>
      </c>
    </row>
    <row r="460" spans="2:58" ht="15" customHeight="1" x14ac:dyDescent="0.45">
      <c r="B460" s="52" t="s">
        <v>152</v>
      </c>
      <c r="C460" s="54" t="s">
        <v>150</v>
      </c>
      <c r="D460" s="54" t="s">
        <v>150</v>
      </c>
      <c r="E460" s="54" t="s">
        <v>150</v>
      </c>
      <c r="F460" s="54" t="s">
        <v>150</v>
      </c>
      <c r="G460" s="54" t="s">
        <v>150</v>
      </c>
      <c r="H460" s="54" t="s">
        <v>150</v>
      </c>
      <c r="L460" s="52" t="s">
        <v>152</v>
      </c>
      <c r="M460" s="54" t="s">
        <v>150</v>
      </c>
      <c r="N460" s="54" t="s">
        <v>150</v>
      </c>
      <c r="O460" s="54" t="s">
        <v>150</v>
      </c>
      <c r="P460" s="54" t="s">
        <v>150</v>
      </c>
      <c r="Q460" s="54" t="s">
        <v>150</v>
      </c>
      <c r="R460" s="54" t="s">
        <v>150</v>
      </c>
      <c r="S460" s="55"/>
      <c r="T460" s="56"/>
      <c r="V460" s="52" t="s">
        <v>152</v>
      </c>
      <c r="W460" s="54" t="s">
        <v>150</v>
      </c>
      <c r="X460" s="54" t="s">
        <v>150</v>
      </c>
      <c r="Y460" s="54" t="s">
        <v>150</v>
      </c>
      <c r="Z460" s="54" t="s">
        <v>150</v>
      </c>
      <c r="AA460" s="54" t="s">
        <v>150</v>
      </c>
      <c r="AB460" s="54" t="s">
        <v>150</v>
      </c>
      <c r="AF460" s="52" t="str">
        <f t="shared" si="347"/>
        <v>FICO 660-699</v>
      </c>
      <c r="AG460" s="54" t="s">
        <v>150</v>
      </c>
      <c r="AH460" s="54" t="s">
        <v>150</v>
      </c>
      <c r="AI460" s="54" t="s">
        <v>150</v>
      </c>
      <c r="AJ460" s="54" t="s">
        <v>150</v>
      </c>
      <c r="AK460" s="54" t="s">
        <v>150</v>
      </c>
      <c r="AL460" s="54" t="s">
        <v>150</v>
      </c>
      <c r="AM460" s="55"/>
      <c r="AN460" s="56"/>
      <c r="AP460" s="52" t="str">
        <f t="shared" si="348"/>
        <v>FICO 660-699</v>
      </c>
      <c r="AQ460" s="54" t="s">
        <v>150</v>
      </c>
      <c r="AR460" s="54" t="s">
        <v>150</v>
      </c>
      <c r="AS460" s="54" t="s">
        <v>150</v>
      </c>
      <c r="AT460" s="54" t="s">
        <v>150</v>
      </c>
      <c r="AU460" s="54" t="s">
        <v>150</v>
      </c>
      <c r="AV460" s="54" t="s">
        <v>150</v>
      </c>
      <c r="AZ460" s="52" t="str">
        <f t="shared" si="349"/>
        <v>FICO 660-699</v>
      </c>
      <c r="BA460" s="54" t="s">
        <v>150</v>
      </c>
      <c r="BB460" s="54" t="s">
        <v>150</v>
      </c>
      <c r="BC460" s="54" t="s">
        <v>150</v>
      </c>
      <c r="BD460" s="54" t="s">
        <v>150</v>
      </c>
      <c r="BE460" s="54" t="s">
        <v>150</v>
      </c>
      <c r="BF460" s="54" t="s">
        <v>150</v>
      </c>
    </row>
    <row r="461" spans="2:58" ht="15" customHeight="1" x14ac:dyDescent="0.45">
      <c r="B461" s="52" t="s">
        <v>153</v>
      </c>
      <c r="C461" s="54" t="s">
        <v>150</v>
      </c>
      <c r="D461" s="54" t="s">
        <v>150</v>
      </c>
      <c r="E461" s="54" t="s">
        <v>150</v>
      </c>
      <c r="F461" s="54" t="s">
        <v>150</v>
      </c>
      <c r="G461" s="54" t="s">
        <v>150</v>
      </c>
      <c r="H461" s="54" t="s">
        <v>150</v>
      </c>
      <c r="L461" s="52" t="s">
        <v>153</v>
      </c>
      <c r="M461" s="54" t="s">
        <v>150</v>
      </c>
      <c r="N461" s="54" t="s">
        <v>150</v>
      </c>
      <c r="O461" s="54" t="s">
        <v>150</v>
      </c>
      <c r="P461" s="54" t="s">
        <v>150</v>
      </c>
      <c r="Q461" s="54" t="s">
        <v>150</v>
      </c>
      <c r="R461" s="54" t="s">
        <v>150</v>
      </c>
      <c r="S461" s="55"/>
      <c r="T461" s="56"/>
      <c r="V461" s="52" t="s">
        <v>153</v>
      </c>
      <c r="W461" s="54" t="s">
        <v>150</v>
      </c>
      <c r="X461" s="54" t="s">
        <v>150</v>
      </c>
      <c r="Y461" s="54" t="s">
        <v>150</v>
      </c>
      <c r="Z461" s="54" t="s">
        <v>150</v>
      </c>
      <c r="AA461" s="54" t="s">
        <v>150</v>
      </c>
      <c r="AB461" s="54" t="s">
        <v>150</v>
      </c>
      <c r="AF461" s="52" t="str">
        <f t="shared" si="347"/>
        <v>FICO 640-659</v>
      </c>
      <c r="AG461" s="54" t="s">
        <v>150</v>
      </c>
      <c r="AH461" s="54" t="s">
        <v>150</v>
      </c>
      <c r="AI461" s="54" t="s">
        <v>150</v>
      </c>
      <c r="AJ461" s="54" t="s">
        <v>150</v>
      </c>
      <c r="AK461" s="54" t="s">
        <v>150</v>
      </c>
      <c r="AL461" s="54" t="s">
        <v>150</v>
      </c>
      <c r="AM461" s="55"/>
      <c r="AN461" s="56"/>
      <c r="AP461" s="52" t="str">
        <f t="shared" si="348"/>
        <v>FICO 640-659</v>
      </c>
      <c r="AQ461" s="54" t="s">
        <v>150</v>
      </c>
      <c r="AR461" s="54" t="s">
        <v>150</v>
      </c>
      <c r="AS461" s="54" t="s">
        <v>150</v>
      </c>
      <c r="AT461" s="54" t="s">
        <v>150</v>
      </c>
      <c r="AU461" s="54" t="s">
        <v>150</v>
      </c>
      <c r="AV461" s="54" t="s">
        <v>150</v>
      </c>
      <c r="AZ461" s="52" t="str">
        <f t="shared" si="349"/>
        <v>FICO 640-659</v>
      </c>
      <c r="BA461" s="54" t="s">
        <v>150</v>
      </c>
      <c r="BB461" s="54" t="s">
        <v>150</v>
      </c>
      <c r="BC461" s="54" t="s">
        <v>150</v>
      </c>
      <c r="BD461" s="54" t="s">
        <v>150</v>
      </c>
      <c r="BE461" s="54" t="s">
        <v>150</v>
      </c>
      <c r="BF461" s="54" t="s">
        <v>150</v>
      </c>
    </row>
    <row r="463" spans="2:58" ht="15.75" customHeight="1" x14ac:dyDescent="0.45">
      <c r="B463" s="94" t="s">
        <v>156</v>
      </c>
      <c r="C463" s="94"/>
      <c r="D463" s="94"/>
      <c r="E463" s="94"/>
      <c r="F463" s="94"/>
      <c r="G463" s="94"/>
      <c r="H463" s="94"/>
      <c r="L463" s="94" t="s">
        <v>156</v>
      </c>
      <c r="M463" s="94"/>
      <c r="N463" s="94"/>
      <c r="O463" s="94"/>
      <c r="P463" s="94"/>
      <c r="Q463" s="94"/>
      <c r="R463" s="94"/>
      <c r="S463" s="39"/>
      <c r="T463" s="40"/>
      <c r="V463" s="94" t="s">
        <v>156</v>
      </c>
      <c r="W463" s="94"/>
      <c r="X463" s="94"/>
      <c r="Y463" s="94"/>
      <c r="Z463" s="94"/>
      <c r="AA463" s="94"/>
      <c r="AB463" s="94"/>
      <c r="AF463" s="94" t="s">
        <v>156</v>
      </c>
      <c r="AG463" s="94"/>
      <c r="AH463" s="94"/>
      <c r="AI463" s="94"/>
      <c r="AJ463" s="94"/>
      <c r="AK463" s="94"/>
      <c r="AL463" s="94"/>
      <c r="AM463" s="39"/>
      <c r="AN463" s="40"/>
      <c r="AP463" s="94" t="s">
        <v>156</v>
      </c>
      <c r="AQ463" s="94"/>
      <c r="AR463" s="94"/>
      <c r="AS463" s="94"/>
      <c r="AT463" s="94"/>
      <c r="AU463" s="94"/>
      <c r="AV463" s="94"/>
      <c r="AZ463" s="94" t="s">
        <v>156</v>
      </c>
      <c r="BA463" s="94"/>
      <c r="BB463" s="94"/>
      <c r="BC463" s="94"/>
      <c r="BD463" s="94"/>
      <c r="BE463" s="94"/>
      <c r="BF463" s="94"/>
    </row>
    <row r="464" spans="2:58" ht="15" customHeight="1" x14ac:dyDescent="0.45">
      <c r="B464" s="45"/>
      <c r="C464" s="95" t="s">
        <v>50</v>
      </c>
      <c r="D464" s="95"/>
      <c r="E464" s="95"/>
      <c r="F464" s="95"/>
      <c r="G464" s="95"/>
      <c r="H464" s="95"/>
      <c r="L464" s="45"/>
      <c r="M464" s="95" t="s">
        <v>50</v>
      </c>
      <c r="N464" s="95"/>
      <c r="O464" s="95"/>
      <c r="P464" s="95"/>
      <c r="Q464" s="95"/>
      <c r="R464" s="95"/>
      <c r="S464" s="41"/>
      <c r="T464" s="43"/>
      <c r="V464" s="45"/>
      <c r="W464" s="95" t="str">
        <f>C464</f>
        <v>LTC</v>
      </c>
      <c r="X464" s="95"/>
      <c r="Y464" s="95"/>
      <c r="Z464" s="95"/>
      <c r="AA464" s="95"/>
      <c r="AB464" s="95"/>
      <c r="AF464" s="45"/>
      <c r="AG464" s="95" t="str">
        <f>W464</f>
        <v>LTC</v>
      </c>
      <c r="AH464" s="95"/>
      <c r="AI464" s="95"/>
      <c r="AJ464" s="95"/>
      <c r="AK464" s="95"/>
      <c r="AL464" s="95"/>
      <c r="AM464" s="41"/>
      <c r="AN464" s="43"/>
      <c r="AP464" s="45"/>
      <c r="AQ464" s="95" t="str">
        <f>C464</f>
        <v>LTC</v>
      </c>
      <c r="AR464" s="95"/>
      <c r="AS464" s="95"/>
      <c r="AT464" s="95"/>
      <c r="AU464" s="95"/>
      <c r="AV464" s="95"/>
      <c r="AZ464" s="45"/>
      <c r="BA464" s="95" t="str">
        <f>C464</f>
        <v>LTC</v>
      </c>
      <c r="BB464" s="95"/>
      <c r="BC464" s="95"/>
      <c r="BD464" s="95"/>
      <c r="BE464" s="95"/>
      <c r="BF464" s="95"/>
    </row>
    <row r="465" spans="2:58" ht="15" customHeight="1" x14ac:dyDescent="0.45">
      <c r="B465" s="44" t="s">
        <v>52</v>
      </c>
      <c r="C465" s="70" t="s">
        <v>143</v>
      </c>
      <c r="D465" s="70" t="s">
        <v>144</v>
      </c>
      <c r="E465" s="70" t="s">
        <v>145</v>
      </c>
      <c r="F465" s="70" t="s">
        <v>146</v>
      </c>
      <c r="G465" s="70" t="s">
        <v>147</v>
      </c>
      <c r="H465" s="70" t="s">
        <v>148</v>
      </c>
      <c r="L465" s="71" t="s">
        <v>52</v>
      </c>
      <c r="M465" s="45" t="s">
        <v>143</v>
      </c>
      <c r="N465" s="45" t="s">
        <v>144</v>
      </c>
      <c r="O465" s="45" t="s">
        <v>145</v>
      </c>
      <c r="P465" s="45" t="s">
        <v>146</v>
      </c>
      <c r="Q465" s="45" t="s">
        <v>147</v>
      </c>
      <c r="R465" s="45" t="s">
        <v>148</v>
      </c>
      <c r="S465" s="41"/>
      <c r="T465" s="43"/>
      <c r="V465" s="44" t="str">
        <f t="shared" ref="V465:V477" si="350">B465</f>
        <v>AR-LTV</v>
      </c>
      <c r="W465" s="70" t="str">
        <f>C465</f>
        <v>&lt;74.99%</v>
      </c>
      <c r="X465" s="70" t="str">
        <f>D465</f>
        <v>75.00%-80.00%</v>
      </c>
      <c r="Y465" s="70" t="str">
        <f>E465</f>
        <v>80.01%-85.00%</v>
      </c>
      <c r="Z465" s="70" t="str">
        <f>F465</f>
        <v>85.01%-87.50%</v>
      </c>
      <c r="AA465" s="70" t="str">
        <f>G465</f>
        <v>87.51%-89.99%</v>
      </c>
      <c r="AB465" s="70" t="str">
        <f>H465</f>
        <v>90.00%-92.50%</v>
      </c>
      <c r="AF465" s="44" t="str">
        <f t="shared" ref="AF465:AF481" si="351">V465</f>
        <v>AR-LTV</v>
      </c>
      <c r="AG465" s="45" t="str">
        <f>W465</f>
        <v>&lt;74.99%</v>
      </c>
      <c r="AH465" s="45" t="str">
        <f>X465</f>
        <v>75.00%-80.00%</v>
      </c>
      <c r="AI465" s="45" t="str">
        <f>Y465</f>
        <v>80.01%-85.00%</v>
      </c>
      <c r="AJ465" s="45" t="str">
        <f>Z465</f>
        <v>85.01%-87.50%</v>
      </c>
      <c r="AK465" s="45" t="str">
        <f>AA465</f>
        <v>87.51%-89.99%</v>
      </c>
      <c r="AL465" s="45" t="str">
        <f>AB465</f>
        <v>90.00%-92.50%</v>
      </c>
      <c r="AM465" s="41"/>
      <c r="AN465" s="43"/>
      <c r="AP465" s="44" t="str">
        <f t="shared" ref="AP465:AP481" si="352">B465</f>
        <v>AR-LTV</v>
      </c>
      <c r="AQ465" s="70" t="str">
        <f>C465</f>
        <v>&lt;74.99%</v>
      </c>
      <c r="AR465" s="70" t="str">
        <f>D465</f>
        <v>75.00%-80.00%</v>
      </c>
      <c r="AS465" s="70" t="str">
        <f>E465</f>
        <v>80.01%-85.00%</v>
      </c>
      <c r="AT465" s="70" t="str">
        <f>F465</f>
        <v>85.01%-87.50%</v>
      </c>
      <c r="AU465" s="70" t="str">
        <f>G465</f>
        <v>87.51%-89.99%</v>
      </c>
      <c r="AV465" s="70" t="str">
        <f>H465</f>
        <v>90.00%-92.50%</v>
      </c>
      <c r="AZ465" s="71" t="str">
        <f t="shared" ref="AZ465:AZ481" si="353">B465</f>
        <v>AR-LTV</v>
      </c>
      <c r="BA465" s="45" t="str">
        <f>C465</f>
        <v>&lt;74.99%</v>
      </c>
      <c r="BB465" s="45" t="str">
        <f>D465</f>
        <v>75.00%-80.00%</v>
      </c>
      <c r="BC465" s="45" t="str">
        <f>E465</f>
        <v>80.01%-85.00%</v>
      </c>
      <c r="BD465" s="45" t="str">
        <f>F465</f>
        <v>85.01%-87.50%</v>
      </c>
      <c r="BE465" s="45" t="str">
        <f>G465</f>
        <v>87.51%-89.99%</v>
      </c>
      <c r="BF465" s="45" t="str">
        <f>H465</f>
        <v>90.00%-92.50%</v>
      </c>
    </row>
    <row r="466" spans="2:58" ht="15" hidden="1" customHeight="1" x14ac:dyDescent="0.45">
      <c r="B466" s="46" t="s">
        <v>164</v>
      </c>
      <c r="C466" s="47">
        <f>C478+0.75%</f>
        <v>9.7500000000000003E-2</v>
      </c>
      <c r="D466" s="47">
        <f>C466+0.25%</f>
        <v>0.1</v>
      </c>
      <c r="E466" s="49" t="s">
        <v>150</v>
      </c>
      <c r="F466" s="49" t="s">
        <v>150</v>
      </c>
      <c r="G466" s="49" t="s">
        <v>150</v>
      </c>
      <c r="H466" s="49" t="s">
        <v>150</v>
      </c>
      <c r="L466" s="46" t="s">
        <v>164</v>
      </c>
      <c r="M466" s="49" t="s">
        <v>150</v>
      </c>
      <c r="N466" s="49" t="s">
        <v>150</v>
      </c>
      <c r="O466" s="49" t="s">
        <v>150</v>
      </c>
      <c r="P466" s="49" t="s">
        <v>150</v>
      </c>
      <c r="Q466" s="49" t="s">
        <v>150</v>
      </c>
      <c r="R466" s="49" t="s">
        <v>150</v>
      </c>
      <c r="S466" s="50"/>
      <c r="T466" s="51"/>
      <c r="V466" s="46" t="str">
        <f t="shared" si="350"/>
        <v>75.01%-80.00%</v>
      </c>
      <c r="W466" s="47">
        <f>W478+0.75%</f>
        <v>9.7500000000000003E-2</v>
      </c>
      <c r="X466" s="47">
        <f>W466+0.25%</f>
        <v>0.1</v>
      </c>
      <c r="Y466" s="49" t="s">
        <v>150</v>
      </c>
      <c r="Z466" s="49" t="s">
        <v>150</v>
      </c>
      <c r="AA466" s="49" t="s">
        <v>150</v>
      </c>
      <c r="AB466" s="49" t="s">
        <v>150</v>
      </c>
      <c r="AF466" s="46" t="str">
        <f t="shared" si="351"/>
        <v>75.01%-80.00%</v>
      </c>
      <c r="AG466" s="49" t="s">
        <v>150</v>
      </c>
      <c r="AH466" s="49" t="s">
        <v>150</v>
      </c>
      <c r="AI466" s="49" t="s">
        <v>150</v>
      </c>
      <c r="AJ466" s="49" t="s">
        <v>150</v>
      </c>
      <c r="AK466" s="49" t="s">
        <v>150</v>
      </c>
      <c r="AL466" s="49" t="s">
        <v>150</v>
      </c>
      <c r="AM466" s="50"/>
      <c r="AN466" s="51"/>
      <c r="AP466" s="46" t="str">
        <f t="shared" si="352"/>
        <v>75.01%-80.00%</v>
      </c>
      <c r="AQ466" s="47">
        <f>AQ478+0.75%</f>
        <v>9.7500000000000003E-2</v>
      </c>
      <c r="AR466" s="47">
        <f>AQ466+0.25%</f>
        <v>0.1</v>
      </c>
      <c r="AS466" s="49" t="s">
        <v>150</v>
      </c>
      <c r="AT466" s="49" t="s">
        <v>150</v>
      </c>
      <c r="AU466" s="49" t="s">
        <v>150</v>
      </c>
      <c r="AV466" s="49" t="s">
        <v>150</v>
      </c>
      <c r="AZ466" s="46" t="str">
        <f t="shared" si="353"/>
        <v>75.01%-80.00%</v>
      </c>
      <c r="BA466" s="49" t="s">
        <v>150</v>
      </c>
      <c r="BB466" s="49" t="s">
        <v>150</v>
      </c>
      <c r="BC466" s="49" t="s">
        <v>150</v>
      </c>
      <c r="BD466" s="49" t="s">
        <v>150</v>
      </c>
      <c r="BE466" s="49" t="s">
        <v>150</v>
      </c>
      <c r="BF466" s="49" t="s">
        <v>150</v>
      </c>
    </row>
    <row r="467" spans="2:58" ht="15" hidden="1" customHeight="1" x14ac:dyDescent="0.45">
      <c r="B467" s="52" t="s">
        <v>151</v>
      </c>
      <c r="C467" s="53">
        <f>C466+0</f>
        <v>9.7500000000000003E-2</v>
      </c>
      <c r="D467" s="53">
        <f>D466+0</f>
        <v>0.1</v>
      </c>
      <c r="E467" s="54" t="s">
        <v>150</v>
      </c>
      <c r="F467" s="54" t="s">
        <v>150</v>
      </c>
      <c r="G467" s="54" t="s">
        <v>150</v>
      </c>
      <c r="H467" s="54" t="s">
        <v>150</v>
      </c>
      <c r="L467" s="52" t="s">
        <v>151</v>
      </c>
      <c r="M467" s="54" t="s">
        <v>150</v>
      </c>
      <c r="N467" s="54" t="s">
        <v>150</v>
      </c>
      <c r="O467" s="54" t="s">
        <v>150</v>
      </c>
      <c r="P467" s="54" t="s">
        <v>150</v>
      </c>
      <c r="Q467" s="54" t="s">
        <v>150</v>
      </c>
      <c r="R467" s="54" t="s">
        <v>150</v>
      </c>
      <c r="S467" s="55"/>
      <c r="T467" s="56"/>
      <c r="V467" s="52" t="str">
        <f t="shared" si="350"/>
        <v>FICO 700+</v>
      </c>
      <c r="W467" s="53">
        <f>W466+0</f>
        <v>9.7500000000000003E-2</v>
      </c>
      <c r="X467" s="53">
        <f>X466+0</f>
        <v>0.1</v>
      </c>
      <c r="Y467" s="54" t="s">
        <v>150</v>
      </c>
      <c r="Z467" s="54" t="s">
        <v>150</v>
      </c>
      <c r="AA467" s="54" t="s">
        <v>150</v>
      </c>
      <c r="AB467" s="54" t="s">
        <v>150</v>
      </c>
      <c r="AF467" s="52" t="str">
        <f t="shared" si="351"/>
        <v>FICO 700+</v>
      </c>
      <c r="AG467" s="54" t="s">
        <v>150</v>
      </c>
      <c r="AH467" s="54" t="s">
        <v>150</v>
      </c>
      <c r="AI467" s="54" t="s">
        <v>150</v>
      </c>
      <c r="AJ467" s="54" t="s">
        <v>150</v>
      </c>
      <c r="AK467" s="54" t="s">
        <v>150</v>
      </c>
      <c r="AL467" s="54" t="s">
        <v>150</v>
      </c>
      <c r="AM467" s="55"/>
      <c r="AN467" s="56"/>
      <c r="AP467" s="52" t="str">
        <f t="shared" si="352"/>
        <v>FICO 700+</v>
      </c>
      <c r="AQ467" s="53">
        <f>AQ466+0</f>
        <v>9.7500000000000003E-2</v>
      </c>
      <c r="AR467" s="53">
        <f>AR466+0</f>
        <v>0.1</v>
      </c>
      <c r="AS467" s="54" t="s">
        <v>150</v>
      </c>
      <c r="AT467" s="54" t="s">
        <v>150</v>
      </c>
      <c r="AU467" s="54" t="s">
        <v>150</v>
      </c>
      <c r="AV467" s="54" t="s">
        <v>150</v>
      </c>
      <c r="AZ467" s="52" t="str">
        <f t="shared" si="353"/>
        <v>FICO 700+</v>
      </c>
      <c r="BA467" s="54" t="s">
        <v>150</v>
      </c>
      <c r="BB467" s="54" t="s">
        <v>150</v>
      </c>
      <c r="BC467" s="54" t="s">
        <v>150</v>
      </c>
      <c r="BD467" s="54" t="s">
        <v>150</v>
      </c>
      <c r="BE467" s="54" t="s">
        <v>150</v>
      </c>
      <c r="BF467" s="54" t="s">
        <v>150</v>
      </c>
    </row>
    <row r="468" spans="2:58" ht="15" hidden="1" customHeight="1" x14ac:dyDescent="0.45">
      <c r="B468" s="52" t="s">
        <v>152</v>
      </c>
      <c r="C468" s="53">
        <f>C466+0.25%</f>
        <v>0.1</v>
      </c>
      <c r="D468" s="53">
        <f>D466+0.25%</f>
        <v>0.10250000000000001</v>
      </c>
      <c r="E468" s="54" t="s">
        <v>150</v>
      </c>
      <c r="F468" s="54" t="s">
        <v>150</v>
      </c>
      <c r="G468" s="54" t="s">
        <v>150</v>
      </c>
      <c r="H468" s="54" t="s">
        <v>150</v>
      </c>
      <c r="L468" s="52" t="s">
        <v>152</v>
      </c>
      <c r="M468" s="54" t="s">
        <v>150</v>
      </c>
      <c r="N468" s="54" t="s">
        <v>150</v>
      </c>
      <c r="O468" s="54" t="s">
        <v>150</v>
      </c>
      <c r="P468" s="54" t="s">
        <v>150</v>
      </c>
      <c r="Q468" s="54" t="s">
        <v>150</v>
      </c>
      <c r="R468" s="54" t="s">
        <v>150</v>
      </c>
      <c r="S468" s="55"/>
      <c r="T468" s="56"/>
      <c r="V468" s="52" t="str">
        <f t="shared" si="350"/>
        <v>FICO 660-699</v>
      </c>
      <c r="W468" s="53">
        <f>W466+0.25%</f>
        <v>0.1</v>
      </c>
      <c r="X468" s="53">
        <f>X466+0.25%</f>
        <v>0.10250000000000001</v>
      </c>
      <c r="Y468" s="54" t="s">
        <v>150</v>
      </c>
      <c r="Z468" s="54" t="s">
        <v>150</v>
      </c>
      <c r="AA468" s="54" t="s">
        <v>150</v>
      </c>
      <c r="AB468" s="54" t="s">
        <v>150</v>
      </c>
      <c r="AF468" s="52" t="str">
        <f t="shared" si="351"/>
        <v>FICO 660-699</v>
      </c>
      <c r="AG468" s="54" t="s">
        <v>150</v>
      </c>
      <c r="AH468" s="54" t="s">
        <v>150</v>
      </c>
      <c r="AI468" s="54" t="s">
        <v>150</v>
      </c>
      <c r="AJ468" s="54" t="s">
        <v>150</v>
      </c>
      <c r="AK468" s="54" t="s">
        <v>150</v>
      </c>
      <c r="AL468" s="54" t="s">
        <v>150</v>
      </c>
      <c r="AM468" s="55"/>
      <c r="AN468" s="56"/>
      <c r="AP468" s="52" t="str">
        <f t="shared" si="352"/>
        <v>FICO 660-699</v>
      </c>
      <c r="AQ468" s="53">
        <f>AQ466+0.25%</f>
        <v>0.1</v>
      </c>
      <c r="AR468" s="53">
        <f>AR466+0.25%</f>
        <v>0.10250000000000001</v>
      </c>
      <c r="AS468" s="54" t="s">
        <v>150</v>
      </c>
      <c r="AT468" s="54" t="s">
        <v>150</v>
      </c>
      <c r="AU468" s="54" t="s">
        <v>150</v>
      </c>
      <c r="AV468" s="54" t="s">
        <v>150</v>
      </c>
      <c r="AZ468" s="52" t="str">
        <f t="shared" si="353"/>
        <v>FICO 660-699</v>
      </c>
      <c r="BA468" s="54" t="s">
        <v>150</v>
      </c>
      <c r="BB468" s="54" t="s">
        <v>150</v>
      </c>
      <c r="BC468" s="54" t="s">
        <v>150</v>
      </c>
      <c r="BD468" s="54" t="s">
        <v>150</v>
      </c>
      <c r="BE468" s="54" t="s">
        <v>150</v>
      </c>
      <c r="BF468" s="54" t="s">
        <v>150</v>
      </c>
    </row>
    <row r="469" spans="2:58" ht="15" hidden="1" customHeight="1" x14ac:dyDescent="0.45">
      <c r="B469" s="57" t="s">
        <v>153</v>
      </c>
      <c r="C469" s="59" t="s">
        <v>150</v>
      </c>
      <c r="D469" s="59" t="s">
        <v>150</v>
      </c>
      <c r="E469" s="59" t="s">
        <v>150</v>
      </c>
      <c r="F469" s="59" t="s">
        <v>150</v>
      </c>
      <c r="G469" s="59" t="s">
        <v>150</v>
      </c>
      <c r="H469" s="59" t="s">
        <v>150</v>
      </c>
      <c r="L469" s="57" t="s">
        <v>153</v>
      </c>
      <c r="M469" s="59" t="s">
        <v>150</v>
      </c>
      <c r="N469" s="59" t="s">
        <v>150</v>
      </c>
      <c r="O469" s="59" t="s">
        <v>150</v>
      </c>
      <c r="P469" s="59" t="s">
        <v>150</v>
      </c>
      <c r="Q469" s="59" t="s">
        <v>150</v>
      </c>
      <c r="R469" s="59" t="s">
        <v>150</v>
      </c>
      <c r="S469" s="55"/>
      <c r="T469" s="56"/>
      <c r="V469" s="57" t="str">
        <f t="shared" si="350"/>
        <v>FICO 640-659</v>
      </c>
      <c r="W469" s="59" t="s">
        <v>150</v>
      </c>
      <c r="X469" s="59" t="s">
        <v>150</v>
      </c>
      <c r="Y469" s="59" t="s">
        <v>150</v>
      </c>
      <c r="Z469" s="59" t="s">
        <v>150</v>
      </c>
      <c r="AA469" s="59" t="s">
        <v>150</v>
      </c>
      <c r="AB469" s="59" t="s">
        <v>150</v>
      </c>
      <c r="AF469" s="57" t="str">
        <f t="shared" si="351"/>
        <v>FICO 640-659</v>
      </c>
      <c r="AG469" s="59" t="s">
        <v>150</v>
      </c>
      <c r="AH469" s="59" t="s">
        <v>150</v>
      </c>
      <c r="AI469" s="59" t="s">
        <v>150</v>
      </c>
      <c r="AJ469" s="59" t="s">
        <v>150</v>
      </c>
      <c r="AK469" s="59" t="s">
        <v>150</v>
      </c>
      <c r="AL469" s="59" t="s">
        <v>150</v>
      </c>
      <c r="AM469" s="55"/>
      <c r="AN469" s="56"/>
      <c r="AP469" s="57" t="str">
        <f t="shared" si="352"/>
        <v>FICO 640-659</v>
      </c>
      <c r="AQ469" s="59" t="s">
        <v>150</v>
      </c>
      <c r="AR469" s="59" t="s">
        <v>150</v>
      </c>
      <c r="AS469" s="59" t="s">
        <v>150</v>
      </c>
      <c r="AT469" s="59" t="s">
        <v>150</v>
      </c>
      <c r="AU469" s="59" t="s">
        <v>150</v>
      </c>
      <c r="AV469" s="59" t="s">
        <v>150</v>
      </c>
      <c r="AZ469" s="57" t="str">
        <f t="shared" si="353"/>
        <v>FICO 640-659</v>
      </c>
      <c r="BA469" s="59" t="s">
        <v>150</v>
      </c>
      <c r="BB469" s="59" t="s">
        <v>150</v>
      </c>
      <c r="BC469" s="59" t="s">
        <v>150</v>
      </c>
      <c r="BD469" s="59" t="s">
        <v>150</v>
      </c>
      <c r="BE469" s="59" t="s">
        <v>150</v>
      </c>
      <c r="BF469" s="59" t="s">
        <v>150</v>
      </c>
    </row>
    <row r="470" spans="2:58" ht="15" customHeight="1" x14ac:dyDescent="0.45">
      <c r="B470" s="46" t="s">
        <v>149</v>
      </c>
      <c r="C470" s="47">
        <f>C478+0.5%</f>
        <v>9.5000000000000001E-2</v>
      </c>
      <c r="D470" s="47">
        <f>C470+0.25%</f>
        <v>9.7500000000000003E-2</v>
      </c>
      <c r="E470" s="49" t="s">
        <v>150</v>
      </c>
      <c r="F470" s="49" t="s">
        <v>150</v>
      </c>
      <c r="G470" s="49" t="s">
        <v>150</v>
      </c>
      <c r="H470" s="49" t="s">
        <v>150</v>
      </c>
      <c r="L470" s="46" t="s">
        <v>149</v>
      </c>
      <c r="M470" s="49" t="s">
        <v>150</v>
      </c>
      <c r="N470" s="49" t="s">
        <v>150</v>
      </c>
      <c r="O470" s="49" t="s">
        <v>150</v>
      </c>
      <c r="P470" s="49" t="s">
        <v>150</v>
      </c>
      <c r="Q470" s="49" t="s">
        <v>150</v>
      </c>
      <c r="R470" s="49" t="s">
        <v>150</v>
      </c>
      <c r="S470" s="50"/>
      <c r="T470" s="51"/>
      <c r="V470" s="46" t="str">
        <f t="shared" si="350"/>
        <v>70.01%-75.00%</v>
      </c>
      <c r="W470" s="47">
        <f>W478+0.5%</f>
        <v>9.5000000000000001E-2</v>
      </c>
      <c r="X470" s="47">
        <f>W470+0.25%</f>
        <v>9.7500000000000003E-2</v>
      </c>
      <c r="Y470" s="49" t="s">
        <v>150</v>
      </c>
      <c r="Z470" s="49" t="s">
        <v>150</v>
      </c>
      <c r="AA470" s="49" t="s">
        <v>150</v>
      </c>
      <c r="AB470" s="49" t="s">
        <v>150</v>
      </c>
      <c r="AF470" s="60" t="str">
        <f t="shared" si="351"/>
        <v>70.01%-75.00%</v>
      </c>
      <c r="AG470" s="49" t="s">
        <v>150</v>
      </c>
      <c r="AH470" s="49" t="s">
        <v>150</v>
      </c>
      <c r="AI470" s="49" t="s">
        <v>150</v>
      </c>
      <c r="AJ470" s="49" t="s">
        <v>150</v>
      </c>
      <c r="AK470" s="49" t="s">
        <v>150</v>
      </c>
      <c r="AL470" s="49" t="s">
        <v>150</v>
      </c>
      <c r="AM470" s="50"/>
      <c r="AN470" s="51"/>
      <c r="AP470" s="46" t="str">
        <f t="shared" si="352"/>
        <v>70.01%-75.00%</v>
      </c>
      <c r="AQ470" s="47">
        <f>AQ478+0.5%</f>
        <v>9.5000000000000001E-2</v>
      </c>
      <c r="AR470" s="47">
        <f>AQ470+0.25%</f>
        <v>9.7500000000000003E-2</v>
      </c>
      <c r="AS470" s="49" t="s">
        <v>150</v>
      </c>
      <c r="AT470" s="49" t="s">
        <v>150</v>
      </c>
      <c r="AU470" s="49" t="s">
        <v>150</v>
      </c>
      <c r="AV470" s="49" t="s">
        <v>150</v>
      </c>
      <c r="AZ470" s="46" t="str">
        <f t="shared" si="353"/>
        <v>70.01%-75.00%</v>
      </c>
      <c r="BA470" s="49" t="s">
        <v>150</v>
      </c>
      <c r="BB470" s="49" t="s">
        <v>150</v>
      </c>
      <c r="BC470" s="49" t="s">
        <v>150</v>
      </c>
      <c r="BD470" s="49" t="s">
        <v>150</v>
      </c>
      <c r="BE470" s="49" t="s">
        <v>150</v>
      </c>
      <c r="BF470" s="49" t="s">
        <v>150</v>
      </c>
    </row>
    <row r="471" spans="2:58" ht="15" customHeight="1" x14ac:dyDescent="0.45">
      <c r="B471" s="52" t="s">
        <v>151</v>
      </c>
      <c r="C471" s="53">
        <f>C470+0</f>
        <v>9.5000000000000001E-2</v>
      </c>
      <c r="D471" s="53">
        <f>D470+0</f>
        <v>9.7500000000000003E-2</v>
      </c>
      <c r="E471" s="54" t="s">
        <v>150</v>
      </c>
      <c r="F471" s="54" t="s">
        <v>150</v>
      </c>
      <c r="G471" s="54" t="s">
        <v>150</v>
      </c>
      <c r="H471" s="54" t="s">
        <v>150</v>
      </c>
      <c r="L471" s="52" t="s">
        <v>151</v>
      </c>
      <c r="M471" s="54" t="s">
        <v>150</v>
      </c>
      <c r="N471" s="54" t="s">
        <v>150</v>
      </c>
      <c r="O471" s="54" t="s">
        <v>150</v>
      </c>
      <c r="P471" s="54" t="s">
        <v>150</v>
      </c>
      <c r="Q471" s="54" t="s">
        <v>150</v>
      </c>
      <c r="R471" s="54" t="s">
        <v>150</v>
      </c>
      <c r="S471" s="55"/>
      <c r="T471" s="56"/>
      <c r="V471" s="52" t="str">
        <f t="shared" si="350"/>
        <v>FICO 700+</v>
      </c>
      <c r="W471" s="53">
        <f>W470+0</f>
        <v>9.5000000000000001E-2</v>
      </c>
      <c r="X471" s="53">
        <f>X470+0</f>
        <v>9.7500000000000003E-2</v>
      </c>
      <c r="Y471" s="54" t="s">
        <v>150</v>
      </c>
      <c r="Z471" s="54" t="s">
        <v>150</v>
      </c>
      <c r="AA471" s="54" t="s">
        <v>150</v>
      </c>
      <c r="AB471" s="54" t="s">
        <v>150</v>
      </c>
      <c r="AF471" s="52" t="str">
        <f t="shared" si="351"/>
        <v>FICO 700+</v>
      </c>
      <c r="AG471" s="54" t="s">
        <v>150</v>
      </c>
      <c r="AH471" s="54" t="s">
        <v>150</v>
      </c>
      <c r="AI471" s="54" t="s">
        <v>150</v>
      </c>
      <c r="AJ471" s="54" t="s">
        <v>150</v>
      </c>
      <c r="AK471" s="54" t="s">
        <v>150</v>
      </c>
      <c r="AL471" s="54" t="s">
        <v>150</v>
      </c>
      <c r="AM471" s="55"/>
      <c r="AN471" s="56"/>
      <c r="AP471" s="52" t="str">
        <f t="shared" si="352"/>
        <v>FICO 700+</v>
      </c>
      <c r="AQ471" s="53">
        <f>AQ470+0</f>
        <v>9.5000000000000001E-2</v>
      </c>
      <c r="AR471" s="53">
        <f>AR470+0</f>
        <v>9.7500000000000003E-2</v>
      </c>
      <c r="AS471" s="54" t="s">
        <v>150</v>
      </c>
      <c r="AT471" s="54" t="s">
        <v>150</v>
      </c>
      <c r="AU471" s="54" t="s">
        <v>150</v>
      </c>
      <c r="AV471" s="54" t="s">
        <v>150</v>
      </c>
      <c r="AZ471" s="52" t="str">
        <f t="shared" si="353"/>
        <v>FICO 700+</v>
      </c>
      <c r="BA471" s="54" t="s">
        <v>150</v>
      </c>
      <c r="BB471" s="54" t="s">
        <v>150</v>
      </c>
      <c r="BC471" s="54" t="s">
        <v>150</v>
      </c>
      <c r="BD471" s="54" t="s">
        <v>150</v>
      </c>
      <c r="BE471" s="54" t="s">
        <v>150</v>
      </c>
      <c r="BF471" s="54" t="s">
        <v>150</v>
      </c>
    </row>
    <row r="472" spans="2:58" ht="15" customHeight="1" x14ac:dyDescent="0.45">
      <c r="B472" s="52" t="s">
        <v>152</v>
      </c>
      <c r="C472" s="54" t="s">
        <v>150</v>
      </c>
      <c r="D472" s="54" t="s">
        <v>150</v>
      </c>
      <c r="E472" s="54" t="s">
        <v>150</v>
      </c>
      <c r="F472" s="54" t="s">
        <v>150</v>
      </c>
      <c r="G472" s="54" t="s">
        <v>150</v>
      </c>
      <c r="H472" s="54" t="s">
        <v>150</v>
      </c>
      <c r="L472" s="52" t="s">
        <v>152</v>
      </c>
      <c r="M472" s="54" t="s">
        <v>150</v>
      </c>
      <c r="N472" s="54" t="s">
        <v>150</v>
      </c>
      <c r="O472" s="54" t="s">
        <v>150</v>
      </c>
      <c r="P472" s="54" t="s">
        <v>150</v>
      </c>
      <c r="Q472" s="54" t="s">
        <v>150</v>
      </c>
      <c r="R472" s="54" t="s">
        <v>150</v>
      </c>
      <c r="S472" s="55"/>
      <c r="T472" s="56"/>
      <c r="V472" s="52" t="str">
        <f t="shared" si="350"/>
        <v>FICO 660-699</v>
      </c>
      <c r="W472" s="54" t="s">
        <v>150</v>
      </c>
      <c r="X472" s="54" t="s">
        <v>150</v>
      </c>
      <c r="Y472" s="54" t="s">
        <v>150</v>
      </c>
      <c r="Z472" s="54" t="s">
        <v>150</v>
      </c>
      <c r="AA472" s="54" t="s">
        <v>150</v>
      </c>
      <c r="AB472" s="54" t="s">
        <v>150</v>
      </c>
      <c r="AF472" s="52" t="str">
        <f t="shared" si="351"/>
        <v>FICO 660-699</v>
      </c>
      <c r="AG472" s="54" t="s">
        <v>150</v>
      </c>
      <c r="AH472" s="54" t="s">
        <v>150</v>
      </c>
      <c r="AI472" s="54" t="s">
        <v>150</v>
      </c>
      <c r="AJ472" s="54" t="s">
        <v>150</v>
      </c>
      <c r="AK472" s="54" t="s">
        <v>150</v>
      </c>
      <c r="AL472" s="54" t="s">
        <v>150</v>
      </c>
      <c r="AM472" s="55"/>
      <c r="AN472" s="56"/>
      <c r="AP472" s="52" t="str">
        <f t="shared" si="352"/>
        <v>FICO 660-699</v>
      </c>
      <c r="AQ472" s="54" t="s">
        <v>150</v>
      </c>
      <c r="AR472" s="54" t="s">
        <v>150</v>
      </c>
      <c r="AS472" s="54" t="s">
        <v>150</v>
      </c>
      <c r="AT472" s="54" t="s">
        <v>150</v>
      </c>
      <c r="AU472" s="54" t="s">
        <v>150</v>
      </c>
      <c r="AV472" s="54" t="s">
        <v>150</v>
      </c>
      <c r="AZ472" s="52" t="str">
        <f t="shared" si="353"/>
        <v>FICO 660-699</v>
      </c>
      <c r="BA472" s="54" t="s">
        <v>150</v>
      </c>
      <c r="BB472" s="54" t="s">
        <v>150</v>
      </c>
      <c r="BC472" s="54" t="s">
        <v>150</v>
      </c>
      <c r="BD472" s="54" t="s">
        <v>150</v>
      </c>
      <c r="BE472" s="54" t="s">
        <v>150</v>
      </c>
      <c r="BF472" s="54" t="s">
        <v>150</v>
      </c>
    </row>
    <row r="473" spans="2:58" ht="15" customHeight="1" x14ac:dyDescent="0.45">
      <c r="B473" s="57" t="s">
        <v>153</v>
      </c>
      <c r="C473" s="59" t="s">
        <v>150</v>
      </c>
      <c r="D473" s="59" t="s">
        <v>150</v>
      </c>
      <c r="E473" s="59" t="s">
        <v>150</v>
      </c>
      <c r="F473" s="59" t="s">
        <v>150</v>
      </c>
      <c r="G473" s="59" t="s">
        <v>150</v>
      </c>
      <c r="H473" s="59" t="s">
        <v>150</v>
      </c>
      <c r="L473" s="57" t="s">
        <v>153</v>
      </c>
      <c r="M473" s="59" t="s">
        <v>150</v>
      </c>
      <c r="N473" s="59" t="s">
        <v>150</v>
      </c>
      <c r="O473" s="59" t="s">
        <v>150</v>
      </c>
      <c r="P473" s="59" t="s">
        <v>150</v>
      </c>
      <c r="Q473" s="59" t="s">
        <v>150</v>
      </c>
      <c r="R473" s="59" t="s">
        <v>150</v>
      </c>
      <c r="S473" s="55"/>
      <c r="T473" s="56"/>
      <c r="V473" s="57" t="str">
        <f t="shared" si="350"/>
        <v>FICO 640-659</v>
      </c>
      <c r="W473" s="59" t="s">
        <v>150</v>
      </c>
      <c r="X473" s="59" t="s">
        <v>150</v>
      </c>
      <c r="Y473" s="59" t="s">
        <v>150</v>
      </c>
      <c r="Z473" s="59" t="s">
        <v>150</v>
      </c>
      <c r="AA473" s="59" t="s">
        <v>150</v>
      </c>
      <c r="AB473" s="59" t="s">
        <v>150</v>
      </c>
      <c r="AF473" s="57" t="str">
        <f t="shared" si="351"/>
        <v>FICO 640-659</v>
      </c>
      <c r="AG473" s="59" t="s">
        <v>150</v>
      </c>
      <c r="AH473" s="59" t="s">
        <v>150</v>
      </c>
      <c r="AI473" s="59" t="s">
        <v>150</v>
      </c>
      <c r="AJ473" s="59" t="s">
        <v>150</v>
      </c>
      <c r="AK473" s="59" t="s">
        <v>150</v>
      </c>
      <c r="AL473" s="59" t="s">
        <v>150</v>
      </c>
      <c r="AM473" s="55"/>
      <c r="AN473" s="56"/>
      <c r="AP473" s="57" t="str">
        <f t="shared" si="352"/>
        <v>FICO 640-659</v>
      </c>
      <c r="AQ473" s="59" t="s">
        <v>150</v>
      </c>
      <c r="AR473" s="59" t="s">
        <v>150</v>
      </c>
      <c r="AS473" s="59" t="s">
        <v>150</v>
      </c>
      <c r="AT473" s="59" t="s">
        <v>150</v>
      </c>
      <c r="AU473" s="59" t="s">
        <v>150</v>
      </c>
      <c r="AV473" s="59" t="s">
        <v>150</v>
      </c>
      <c r="AZ473" s="57" t="str">
        <f t="shared" si="353"/>
        <v>FICO 640-659</v>
      </c>
      <c r="BA473" s="59" t="s">
        <v>150</v>
      </c>
      <c r="BB473" s="59" t="s">
        <v>150</v>
      </c>
      <c r="BC473" s="59" t="s">
        <v>150</v>
      </c>
      <c r="BD473" s="59" t="s">
        <v>150</v>
      </c>
      <c r="BE473" s="59" t="s">
        <v>150</v>
      </c>
      <c r="BF473" s="59" t="s">
        <v>150</v>
      </c>
    </row>
    <row r="474" spans="2:58" ht="15" customHeight="1" x14ac:dyDescent="0.45">
      <c r="B474" s="46" t="s">
        <v>154</v>
      </c>
      <c r="C474" s="47">
        <f>C478+0.25%</f>
        <v>9.2499999999999999E-2</v>
      </c>
      <c r="D474" s="47">
        <f>C474+0.25%</f>
        <v>9.5000000000000001E-2</v>
      </c>
      <c r="E474" s="49" t="s">
        <v>150</v>
      </c>
      <c r="F474" s="49" t="s">
        <v>150</v>
      </c>
      <c r="G474" s="49" t="s">
        <v>150</v>
      </c>
      <c r="H474" s="49" t="s">
        <v>150</v>
      </c>
      <c r="L474" s="46" t="s">
        <v>154</v>
      </c>
      <c r="M474" s="73">
        <f>M478+0.25%</f>
        <v>0.105</v>
      </c>
      <c r="N474" s="49" t="s">
        <v>150</v>
      </c>
      <c r="O474" s="49" t="s">
        <v>150</v>
      </c>
      <c r="P474" s="49" t="s">
        <v>150</v>
      </c>
      <c r="Q474" s="49" t="s">
        <v>150</v>
      </c>
      <c r="R474" s="49" t="s">
        <v>150</v>
      </c>
      <c r="S474" s="50"/>
      <c r="T474" s="51"/>
      <c r="V474" s="46" t="str">
        <f t="shared" si="350"/>
        <v>65.00%-70.00%</v>
      </c>
      <c r="W474" s="47">
        <f>W478+0.25%</f>
        <v>9.2499999999999999E-2</v>
      </c>
      <c r="X474" s="47">
        <f>W474+0.25%</f>
        <v>9.5000000000000001E-2</v>
      </c>
      <c r="Y474" s="49" t="s">
        <v>150</v>
      </c>
      <c r="Z474" s="49" t="s">
        <v>150</v>
      </c>
      <c r="AA474" s="49" t="s">
        <v>150</v>
      </c>
      <c r="AB474" s="49" t="s">
        <v>150</v>
      </c>
      <c r="AF474" s="60" t="str">
        <f t="shared" si="351"/>
        <v>65.00%-70.00%</v>
      </c>
      <c r="AG474" s="73">
        <f>AG478+0.25%</f>
        <v>0.105</v>
      </c>
      <c r="AH474" s="49" t="s">
        <v>150</v>
      </c>
      <c r="AI474" s="49" t="s">
        <v>150</v>
      </c>
      <c r="AJ474" s="49" t="s">
        <v>150</v>
      </c>
      <c r="AK474" s="49" t="s">
        <v>150</v>
      </c>
      <c r="AL474" s="49" t="s">
        <v>150</v>
      </c>
      <c r="AM474" s="50"/>
      <c r="AN474" s="51"/>
      <c r="AP474" s="46" t="str">
        <f t="shared" si="352"/>
        <v>65.00%-70.00%</v>
      </c>
      <c r="AQ474" s="47">
        <f>AQ478+0.25%</f>
        <v>9.2499999999999999E-2</v>
      </c>
      <c r="AR474" s="47">
        <f>AQ474+0.25%</f>
        <v>9.5000000000000001E-2</v>
      </c>
      <c r="AS474" s="49" t="s">
        <v>150</v>
      </c>
      <c r="AT474" s="49" t="s">
        <v>150</v>
      </c>
      <c r="AU474" s="49" t="s">
        <v>150</v>
      </c>
      <c r="AV474" s="49" t="s">
        <v>150</v>
      </c>
      <c r="AZ474" s="46" t="str">
        <f t="shared" si="353"/>
        <v>65.00%-70.00%</v>
      </c>
      <c r="BA474" s="73">
        <f>BA478+0.25%</f>
        <v>0.105</v>
      </c>
      <c r="BB474" s="49" t="s">
        <v>150</v>
      </c>
      <c r="BC474" s="49" t="s">
        <v>150</v>
      </c>
      <c r="BD474" s="49" t="s">
        <v>150</v>
      </c>
      <c r="BE474" s="49" t="s">
        <v>150</v>
      </c>
      <c r="BF474" s="49" t="s">
        <v>150</v>
      </c>
    </row>
    <row r="475" spans="2:58" ht="15" customHeight="1" x14ac:dyDescent="0.45">
      <c r="B475" s="52" t="s">
        <v>151</v>
      </c>
      <c r="C475" s="53">
        <f>C474+0</f>
        <v>9.2499999999999999E-2</v>
      </c>
      <c r="D475" s="53">
        <f>D474+0</f>
        <v>9.5000000000000001E-2</v>
      </c>
      <c r="E475" s="54" t="s">
        <v>150</v>
      </c>
      <c r="F475" s="54" t="s">
        <v>150</v>
      </c>
      <c r="G475" s="54" t="s">
        <v>150</v>
      </c>
      <c r="H475" s="54" t="s">
        <v>150</v>
      </c>
      <c r="L475" s="52" t="s">
        <v>151</v>
      </c>
      <c r="M475" s="53">
        <f>M474+0</f>
        <v>0.105</v>
      </c>
      <c r="N475" s="54" t="s">
        <v>150</v>
      </c>
      <c r="O475" s="54" t="s">
        <v>150</v>
      </c>
      <c r="P475" s="54" t="s">
        <v>150</v>
      </c>
      <c r="Q475" s="54" t="s">
        <v>150</v>
      </c>
      <c r="R475" s="54" t="s">
        <v>150</v>
      </c>
      <c r="S475" s="55"/>
      <c r="T475" s="56"/>
      <c r="V475" s="52" t="str">
        <f t="shared" si="350"/>
        <v>FICO 700+</v>
      </c>
      <c r="W475" s="53">
        <f>W474+0</f>
        <v>9.2499999999999999E-2</v>
      </c>
      <c r="X475" s="53">
        <f>X474+0</f>
        <v>9.5000000000000001E-2</v>
      </c>
      <c r="Y475" s="54" t="s">
        <v>150</v>
      </c>
      <c r="Z475" s="54" t="s">
        <v>150</v>
      </c>
      <c r="AA475" s="54" t="s">
        <v>150</v>
      </c>
      <c r="AB475" s="54" t="s">
        <v>150</v>
      </c>
      <c r="AF475" s="52" t="str">
        <f t="shared" si="351"/>
        <v>FICO 700+</v>
      </c>
      <c r="AG475" s="53">
        <f>AG474+0</f>
        <v>0.105</v>
      </c>
      <c r="AH475" s="54" t="s">
        <v>150</v>
      </c>
      <c r="AI475" s="54" t="s">
        <v>150</v>
      </c>
      <c r="AJ475" s="54" t="s">
        <v>150</v>
      </c>
      <c r="AK475" s="54" t="s">
        <v>150</v>
      </c>
      <c r="AL475" s="54" t="s">
        <v>150</v>
      </c>
      <c r="AM475" s="55"/>
      <c r="AN475" s="56"/>
      <c r="AP475" s="52" t="str">
        <f t="shared" si="352"/>
        <v>FICO 700+</v>
      </c>
      <c r="AQ475" s="53">
        <f>AQ474+0</f>
        <v>9.2499999999999999E-2</v>
      </c>
      <c r="AR475" s="53">
        <f>AR474+0</f>
        <v>9.5000000000000001E-2</v>
      </c>
      <c r="AS475" s="54" t="s">
        <v>150</v>
      </c>
      <c r="AT475" s="54" t="s">
        <v>150</v>
      </c>
      <c r="AU475" s="54" t="s">
        <v>150</v>
      </c>
      <c r="AV475" s="54" t="s">
        <v>150</v>
      </c>
      <c r="AZ475" s="52" t="str">
        <f t="shared" si="353"/>
        <v>FICO 700+</v>
      </c>
      <c r="BA475" s="53">
        <f>BA474+0</f>
        <v>0.105</v>
      </c>
      <c r="BB475" s="54" t="s">
        <v>150</v>
      </c>
      <c r="BC475" s="54" t="s">
        <v>150</v>
      </c>
      <c r="BD475" s="54" t="s">
        <v>150</v>
      </c>
      <c r="BE475" s="54" t="s">
        <v>150</v>
      </c>
      <c r="BF475" s="54" t="s">
        <v>150</v>
      </c>
    </row>
    <row r="476" spans="2:58" ht="15" customHeight="1" x14ac:dyDescent="0.45">
      <c r="B476" s="52" t="s">
        <v>152</v>
      </c>
      <c r="C476" s="54" t="s">
        <v>150</v>
      </c>
      <c r="D476" s="54" t="s">
        <v>150</v>
      </c>
      <c r="E476" s="54" t="s">
        <v>150</v>
      </c>
      <c r="F476" s="54" t="s">
        <v>150</v>
      </c>
      <c r="G476" s="54" t="s">
        <v>150</v>
      </c>
      <c r="H476" s="54" t="s">
        <v>150</v>
      </c>
      <c r="L476" s="52" t="s">
        <v>152</v>
      </c>
      <c r="M476" s="54" t="s">
        <v>150</v>
      </c>
      <c r="N476" s="54" t="s">
        <v>150</v>
      </c>
      <c r="O476" s="54" t="s">
        <v>150</v>
      </c>
      <c r="P476" s="54" t="s">
        <v>150</v>
      </c>
      <c r="Q476" s="54" t="s">
        <v>150</v>
      </c>
      <c r="R476" s="54" t="s">
        <v>150</v>
      </c>
      <c r="S476" s="55"/>
      <c r="T476" s="56"/>
      <c r="V476" s="52" t="str">
        <f t="shared" si="350"/>
        <v>FICO 660-699</v>
      </c>
      <c r="W476" s="54" t="s">
        <v>150</v>
      </c>
      <c r="X476" s="54" t="s">
        <v>150</v>
      </c>
      <c r="Y476" s="54" t="s">
        <v>150</v>
      </c>
      <c r="Z476" s="54" t="s">
        <v>150</v>
      </c>
      <c r="AA476" s="54" t="s">
        <v>150</v>
      </c>
      <c r="AB476" s="54" t="s">
        <v>150</v>
      </c>
      <c r="AF476" s="52" t="str">
        <f t="shared" si="351"/>
        <v>FICO 660-699</v>
      </c>
      <c r="AG476" s="54" t="s">
        <v>150</v>
      </c>
      <c r="AH476" s="54" t="s">
        <v>150</v>
      </c>
      <c r="AI476" s="54" t="s">
        <v>150</v>
      </c>
      <c r="AJ476" s="54" t="s">
        <v>150</v>
      </c>
      <c r="AK476" s="54" t="s">
        <v>150</v>
      </c>
      <c r="AL476" s="54" t="s">
        <v>150</v>
      </c>
      <c r="AM476" s="55"/>
      <c r="AN476" s="56"/>
      <c r="AP476" s="52" t="str">
        <f t="shared" si="352"/>
        <v>FICO 660-699</v>
      </c>
      <c r="AQ476" s="54" t="s">
        <v>150</v>
      </c>
      <c r="AR476" s="54" t="s">
        <v>150</v>
      </c>
      <c r="AS476" s="54" t="s">
        <v>150</v>
      </c>
      <c r="AT476" s="54" t="s">
        <v>150</v>
      </c>
      <c r="AU476" s="54" t="s">
        <v>150</v>
      </c>
      <c r="AV476" s="54" t="s">
        <v>150</v>
      </c>
      <c r="AZ476" s="52" t="str">
        <f t="shared" si="353"/>
        <v>FICO 660-699</v>
      </c>
      <c r="BA476" s="54" t="s">
        <v>150</v>
      </c>
      <c r="BB476" s="54" t="s">
        <v>150</v>
      </c>
      <c r="BC476" s="54" t="s">
        <v>150</v>
      </c>
      <c r="BD476" s="54" t="s">
        <v>150</v>
      </c>
      <c r="BE476" s="54" t="s">
        <v>150</v>
      </c>
      <c r="BF476" s="54" t="s">
        <v>150</v>
      </c>
    </row>
    <row r="477" spans="2:58" ht="15" customHeight="1" x14ac:dyDescent="0.45">
      <c r="B477" s="57" t="s">
        <v>153</v>
      </c>
      <c r="C477" s="59" t="s">
        <v>150</v>
      </c>
      <c r="D477" s="59" t="s">
        <v>150</v>
      </c>
      <c r="E477" s="59" t="s">
        <v>150</v>
      </c>
      <c r="F477" s="59" t="s">
        <v>150</v>
      </c>
      <c r="G477" s="59" t="s">
        <v>150</v>
      </c>
      <c r="H477" s="59" t="s">
        <v>150</v>
      </c>
      <c r="L477" s="57" t="s">
        <v>153</v>
      </c>
      <c r="M477" s="59" t="s">
        <v>150</v>
      </c>
      <c r="N477" s="59" t="s">
        <v>150</v>
      </c>
      <c r="O477" s="59" t="s">
        <v>150</v>
      </c>
      <c r="P477" s="59" t="s">
        <v>150</v>
      </c>
      <c r="Q477" s="59" t="s">
        <v>150</v>
      </c>
      <c r="R477" s="59" t="s">
        <v>150</v>
      </c>
      <c r="S477" s="55"/>
      <c r="T477" s="56"/>
      <c r="V477" s="57" t="str">
        <f t="shared" si="350"/>
        <v>FICO 640-659</v>
      </c>
      <c r="W477" s="59" t="s">
        <v>150</v>
      </c>
      <c r="X477" s="59" t="s">
        <v>150</v>
      </c>
      <c r="Y477" s="59" t="s">
        <v>150</v>
      </c>
      <c r="Z477" s="59" t="s">
        <v>150</v>
      </c>
      <c r="AA477" s="59" t="s">
        <v>150</v>
      </c>
      <c r="AB477" s="59" t="s">
        <v>150</v>
      </c>
      <c r="AF477" s="57" t="str">
        <f t="shared" si="351"/>
        <v>FICO 640-659</v>
      </c>
      <c r="AG477" s="59" t="s">
        <v>150</v>
      </c>
      <c r="AH477" s="59" t="s">
        <v>150</v>
      </c>
      <c r="AI477" s="59" t="s">
        <v>150</v>
      </c>
      <c r="AJ477" s="59" t="s">
        <v>150</v>
      </c>
      <c r="AK477" s="59" t="s">
        <v>150</v>
      </c>
      <c r="AL477" s="59" t="s">
        <v>150</v>
      </c>
      <c r="AM477" s="55"/>
      <c r="AN477" s="56"/>
      <c r="AP477" s="57" t="str">
        <f t="shared" si="352"/>
        <v>FICO 640-659</v>
      </c>
      <c r="AQ477" s="59" t="s">
        <v>150</v>
      </c>
      <c r="AR477" s="59" t="s">
        <v>150</v>
      </c>
      <c r="AS477" s="59" t="s">
        <v>150</v>
      </c>
      <c r="AT477" s="59" t="s">
        <v>150</v>
      </c>
      <c r="AU477" s="59" t="s">
        <v>150</v>
      </c>
      <c r="AV477" s="59" t="s">
        <v>150</v>
      </c>
      <c r="AZ477" s="57" t="str">
        <f t="shared" si="353"/>
        <v>FICO 640-659</v>
      </c>
      <c r="BA477" s="59" t="s">
        <v>150</v>
      </c>
      <c r="BB477" s="59" t="s">
        <v>150</v>
      </c>
      <c r="BC477" s="59" t="s">
        <v>150</v>
      </c>
      <c r="BD477" s="59" t="s">
        <v>150</v>
      </c>
      <c r="BE477" s="59" t="s">
        <v>150</v>
      </c>
      <c r="BF477" s="59" t="s">
        <v>150</v>
      </c>
    </row>
    <row r="478" spans="2:58" ht="15" customHeight="1" x14ac:dyDescent="0.45">
      <c r="B478" s="60" t="s">
        <v>155</v>
      </c>
      <c r="C478" s="72">
        <v>0.09</v>
      </c>
      <c r="D478" s="47">
        <f>C478+0.25%</f>
        <v>9.2499999999999999E-2</v>
      </c>
      <c r="E478" s="49" t="s">
        <v>150</v>
      </c>
      <c r="F478" s="49" t="s">
        <v>150</v>
      </c>
      <c r="G478" s="49" t="s">
        <v>150</v>
      </c>
      <c r="H478" s="49" t="s">
        <v>150</v>
      </c>
      <c r="L478" s="60" t="s">
        <v>155</v>
      </c>
      <c r="M478" s="72">
        <v>0.10249999999999999</v>
      </c>
      <c r="N478" s="49" t="s">
        <v>150</v>
      </c>
      <c r="O478" s="49" t="s">
        <v>150</v>
      </c>
      <c r="P478" s="49" t="s">
        <v>150</v>
      </c>
      <c r="Q478" s="49" t="s">
        <v>150</v>
      </c>
      <c r="R478" s="49" t="s">
        <v>150</v>
      </c>
      <c r="S478" s="50"/>
      <c r="T478" s="51"/>
      <c r="V478" s="60" t="s">
        <v>155</v>
      </c>
      <c r="W478" s="73">
        <v>0.09</v>
      </c>
      <c r="X478" s="47">
        <f>W478+0.25%</f>
        <v>9.2499999999999999E-2</v>
      </c>
      <c r="Y478" s="49" t="s">
        <v>150</v>
      </c>
      <c r="Z478" s="49" t="s">
        <v>150</v>
      </c>
      <c r="AA478" s="49" t="s">
        <v>150</v>
      </c>
      <c r="AB478" s="49" t="s">
        <v>150</v>
      </c>
      <c r="AF478" s="60" t="str">
        <f t="shared" si="351"/>
        <v>&lt;64.99%</v>
      </c>
      <c r="AG478" s="73">
        <v>0.10249999999999999</v>
      </c>
      <c r="AH478" s="49" t="s">
        <v>150</v>
      </c>
      <c r="AI478" s="49" t="s">
        <v>150</v>
      </c>
      <c r="AJ478" s="49" t="s">
        <v>150</v>
      </c>
      <c r="AK478" s="49" t="s">
        <v>150</v>
      </c>
      <c r="AL478" s="49" t="s">
        <v>150</v>
      </c>
      <c r="AM478" s="50"/>
      <c r="AN478" s="51"/>
      <c r="AP478" s="60" t="str">
        <f t="shared" si="352"/>
        <v>&lt;64.99%</v>
      </c>
      <c r="AQ478" s="73">
        <v>0.09</v>
      </c>
      <c r="AR478" s="47">
        <f>AQ478+0.25%</f>
        <v>9.2499999999999999E-2</v>
      </c>
      <c r="AS478" s="49" t="s">
        <v>150</v>
      </c>
      <c r="AT478" s="49" t="s">
        <v>150</v>
      </c>
      <c r="AU478" s="49" t="s">
        <v>150</v>
      </c>
      <c r="AV478" s="49" t="s">
        <v>150</v>
      </c>
      <c r="AZ478" s="60" t="str">
        <f t="shared" si="353"/>
        <v>&lt;64.99%</v>
      </c>
      <c r="BA478" s="73">
        <v>0.10249999999999999</v>
      </c>
      <c r="BB478" s="49" t="s">
        <v>150</v>
      </c>
      <c r="BC478" s="49" t="s">
        <v>150</v>
      </c>
      <c r="BD478" s="49" t="s">
        <v>150</v>
      </c>
      <c r="BE478" s="49" t="s">
        <v>150</v>
      </c>
      <c r="BF478" s="49" t="s">
        <v>150</v>
      </c>
    </row>
    <row r="479" spans="2:58" ht="15" customHeight="1" x14ac:dyDescent="0.45">
      <c r="B479" s="52" t="s">
        <v>151</v>
      </c>
      <c r="C479" s="53">
        <f>C478+0</f>
        <v>0.09</v>
      </c>
      <c r="D479" s="53">
        <f>D478+0</f>
        <v>9.2499999999999999E-2</v>
      </c>
      <c r="E479" s="54" t="s">
        <v>150</v>
      </c>
      <c r="F479" s="54" t="s">
        <v>150</v>
      </c>
      <c r="G479" s="54" t="s">
        <v>150</v>
      </c>
      <c r="H479" s="54" t="s">
        <v>150</v>
      </c>
      <c r="L479" s="52" t="s">
        <v>151</v>
      </c>
      <c r="M479" s="53">
        <f>M478+0</f>
        <v>0.10249999999999999</v>
      </c>
      <c r="N479" s="54" t="s">
        <v>150</v>
      </c>
      <c r="O479" s="54" t="s">
        <v>150</v>
      </c>
      <c r="P479" s="54" t="s">
        <v>150</v>
      </c>
      <c r="Q479" s="54" t="s">
        <v>150</v>
      </c>
      <c r="R479" s="54" t="s">
        <v>150</v>
      </c>
      <c r="S479" s="55"/>
      <c r="T479" s="56"/>
      <c r="V479" s="52" t="s">
        <v>151</v>
      </c>
      <c r="W479" s="53">
        <f>W478+0</f>
        <v>0.09</v>
      </c>
      <c r="X479" s="53">
        <f>X478+0</f>
        <v>9.2499999999999999E-2</v>
      </c>
      <c r="Y479" s="54" t="s">
        <v>150</v>
      </c>
      <c r="Z479" s="54" t="s">
        <v>150</v>
      </c>
      <c r="AA479" s="54" t="s">
        <v>150</v>
      </c>
      <c r="AB479" s="54" t="s">
        <v>150</v>
      </c>
      <c r="AF479" s="52" t="str">
        <f t="shared" si="351"/>
        <v>FICO 700+</v>
      </c>
      <c r="AG479" s="53">
        <f>AG478+0</f>
        <v>0.10249999999999999</v>
      </c>
      <c r="AH479" s="54" t="s">
        <v>150</v>
      </c>
      <c r="AI479" s="54" t="s">
        <v>150</v>
      </c>
      <c r="AJ479" s="54" t="s">
        <v>150</v>
      </c>
      <c r="AK479" s="54" t="s">
        <v>150</v>
      </c>
      <c r="AL479" s="54" t="s">
        <v>150</v>
      </c>
      <c r="AM479" s="55"/>
      <c r="AN479" s="56"/>
      <c r="AP479" s="52" t="str">
        <f t="shared" si="352"/>
        <v>FICO 700+</v>
      </c>
      <c r="AQ479" s="53">
        <f>AQ478+0</f>
        <v>0.09</v>
      </c>
      <c r="AR479" s="53">
        <f>AR478+0</f>
        <v>9.2499999999999999E-2</v>
      </c>
      <c r="AS479" s="54" t="s">
        <v>150</v>
      </c>
      <c r="AT479" s="54" t="s">
        <v>150</v>
      </c>
      <c r="AU479" s="54" t="s">
        <v>150</v>
      </c>
      <c r="AV479" s="54" t="s">
        <v>150</v>
      </c>
      <c r="AZ479" s="52" t="str">
        <f t="shared" si="353"/>
        <v>FICO 700+</v>
      </c>
      <c r="BA479" s="53">
        <f>BA478+0</f>
        <v>0.10249999999999999</v>
      </c>
      <c r="BB479" s="54" t="s">
        <v>150</v>
      </c>
      <c r="BC479" s="54" t="s">
        <v>150</v>
      </c>
      <c r="BD479" s="54" t="s">
        <v>150</v>
      </c>
      <c r="BE479" s="54" t="s">
        <v>150</v>
      </c>
      <c r="BF479" s="54" t="s">
        <v>150</v>
      </c>
    </row>
    <row r="480" spans="2:58" ht="15" customHeight="1" x14ac:dyDescent="0.45">
      <c r="B480" s="52" t="s">
        <v>152</v>
      </c>
      <c r="C480" s="54" t="s">
        <v>150</v>
      </c>
      <c r="D480" s="54" t="s">
        <v>150</v>
      </c>
      <c r="E480" s="54" t="s">
        <v>150</v>
      </c>
      <c r="F480" s="54" t="s">
        <v>150</v>
      </c>
      <c r="G480" s="54" t="s">
        <v>150</v>
      </c>
      <c r="H480" s="54" t="s">
        <v>150</v>
      </c>
      <c r="L480" s="52" t="s">
        <v>152</v>
      </c>
      <c r="M480" s="54" t="s">
        <v>150</v>
      </c>
      <c r="N480" s="54" t="s">
        <v>150</v>
      </c>
      <c r="O480" s="54" t="s">
        <v>150</v>
      </c>
      <c r="P480" s="54" t="s">
        <v>150</v>
      </c>
      <c r="Q480" s="54" t="s">
        <v>150</v>
      </c>
      <c r="R480" s="54" t="s">
        <v>150</v>
      </c>
      <c r="S480" s="55"/>
      <c r="T480" s="56"/>
      <c r="V480" s="52" t="s">
        <v>152</v>
      </c>
      <c r="W480" s="54" t="s">
        <v>150</v>
      </c>
      <c r="X480" s="54" t="s">
        <v>150</v>
      </c>
      <c r="Y480" s="54" t="s">
        <v>150</v>
      </c>
      <c r="Z480" s="54" t="s">
        <v>150</v>
      </c>
      <c r="AA480" s="54" t="s">
        <v>150</v>
      </c>
      <c r="AB480" s="54" t="s">
        <v>150</v>
      </c>
      <c r="AF480" s="52" t="str">
        <f t="shared" si="351"/>
        <v>FICO 660-699</v>
      </c>
      <c r="AG480" s="54" t="s">
        <v>150</v>
      </c>
      <c r="AH480" s="54" t="s">
        <v>150</v>
      </c>
      <c r="AI480" s="54" t="s">
        <v>150</v>
      </c>
      <c r="AJ480" s="54" t="s">
        <v>150</v>
      </c>
      <c r="AK480" s="54" t="s">
        <v>150</v>
      </c>
      <c r="AL480" s="54" t="s">
        <v>150</v>
      </c>
      <c r="AM480" s="55"/>
      <c r="AN480" s="56"/>
      <c r="AP480" s="52" t="str">
        <f t="shared" si="352"/>
        <v>FICO 660-699</v>
      </c>
      <c r="AQ480" s="54" t="s">
        <v>150</v>
      </c>
      <c r="AR480" s="54" t="s">
        <v>150</v>
      </c>
      <c r="AS480" s="54" t="s">
        <v>150</v>
      </c>
      <c r="AT480" s="54" t="s">
        <v>150</v>
      </c>
      <c r="AU480" s="54" t="s">
        <v>150</v>
      </c>
      <c r="AV480" s="54" t="s">
        <v>150</v>
      </c>
      <c r="AZ480" s="52" t="str">
        <f t="shared" si="353"/>
        <v>FICO 660-699</v>
      </c>
      <c r="BA480" s="54" t="s">
        <v>150</v>
      </c>
      <c r="BB480" s="54" t="s">
        <v>150</v>
      </c>
      <c r="BC480" s="54" t="s">
        <v>150</v>
      </c>
      <c r="BD480" s="54" t="s">
        <v>150</v>
      </c>
      <c r="BE480" s="54" t="s">
        <v>150</v>
      </c>
      <c r="BF480" s="54" t="s">
        <v>150</v>
      </c>
    </row>
    <row r="481" spans="2:58" ht="15" customHeight="1" x14ac:dyDescent="0.45">
      <c r="B481" s="52" t="s">
        <v>153</v>
      </c>
      <c r="C481" s="54" t="s">
        <v>150</v>
      </c>
      <c r="D481" s="54" t="s">
        <v>150</v>
      </c>
      <c r="E481" s="54" t="s">
        <v>150</v>
      </c>
      <c r="F481" s="54" t="s">
        <v>150</v>
      </c>
      <c r="G481" s="54" t="s">
        <v>150</v>
      </c>
      <c r="H481" s="54" t="s">
        <v>150</v>
      </c>
      <c r="L481" s="52" t="s">
        <v>153</v>
      </c>
      <c r="M481" s="54" t="s">
        <v>150</v>
      </c>
      <c r="N481" s="54" t="s">
        <v>150</v>
      </c>
      <c r="O481" s="54" t="s">
        <v>150</v>
      </c>
      <c r="P481" s="54" t="s">
        <v>150</v>
      </c>
      <c r="Q481" s="54" t="s">
        <v>150</v>
      </c>
      <c r="R481" s="54" t="s">
        <v>150</v>
      </c>
      <c r="S481" s="55"/>
      <c r="T481" s="56"/>
      <c r="V481" s="52" t="s">
        <v>153</v>
      </c>
      <c r="W481" s="54" t="s">
        <v>150</v>
      </c>
      <c r="X481" s="54" t="s">
        <v>150</v>
      </c>
      <c r="Y481" s="54" t="s">
        <v>150</v>
      </c>
      <c r="Z481" s="54" t="s">
        <v>150</v>
      </c>
      <c r="AA481" s="54" t="s">
        <v>150</v>
      </c>
      <c r="AB481" s="54" t="s">
        <v>150</v>
      </c>
      <c r="AF481" s="52" t="str">
        <f t="shared" si="351"/>
        <v>FICO 640-659</v>
      </c>
      <c r="AG481" s="54" t="s">
        <v>150</v>
      </c>
      <c r="AH481" s="54" t="s">
        <v>150</v>
      </c>
      <c r="AI481" s="54" t="s">
        <v>150</v>
      </c>
      <c r="AJ481" s="54" t="s">
        <v>150</v>
      </c>
      <c r="AK481" s="54" t="s">
        <v>150</v>
      </c>
      <c r="AL481" s="54" t="s">
        <v>150</v>
      </c>
      <c r="AM481" s="55"/>
      <c r="AN481" s="56"/>
      <c r="AP481" s="52" t="str">
        <f t="shared" si="352"/>
        <v>FICO 640-659</v>
      </c>
      <c r="AQ481" s="54" t="s">
        <v>150</v>
      </c>
      <c r="AR481" s="54" t="s">
        <v>150</v>
      </c>
      <c r="AS481" s="54" t="s">
        <v>150</v>
      </c>
      <c r="AT481" s="54" t="s">
        <v>150</v>
      </c>
      <c r="AU481" s="54" t="s">
        <v>150</v>
      </c>
      <c r="AV481" s="54" t="s">
        <v>150</v>
      </c>
      <c r="AZ481" s="52" t="str">
        <f t="shared" si="353"/>
        <v>FICO 640-659</v>
      </c>
      <c r="BA481" s="54" t="s">
        <v>150</v>
      </c>
      <c r="BB481" s="54" t="s">
        <v>150</v>
      </c>
      <c r="BC481" s="54" t="s">
        <v>150</v>
      </c>
      <c r="BD481" s="54" t="s">
        <v>150</v>
      </c>
      <c r="BE481" s="54" t="s">
        <v>150</v>
      </c>
      <c r="BF481" s="54" t="s">
        <v>150</v>
      </c>
    </row>
    <row r="483" spans="2:58" ht="15.75" customHeight="1" x14ac:dyDescent="0.45">
      <c r="B483" s="94" t="s">
        <v>157</v>
      </c>
      <c r="C483" s="94"/>
      <c r="D483" s="94"/>
      <c r="E483" s="94"/>
      <c r="F483" s="94"/>
      <c r="G483" s="94"/>
      <c r="H483" s="94"/>
      <c r="L483" s="94" t="s">
        <v>157</v>
      </c>
      <c r="M483" s="94"/>
      <c r="N483" s="94"/>
      <c r="O483" s="94"/>
      <c r="P483" s="94"/>
      <c r="Q483" s="94"/>
      <c r="R483" s="94"/>
      <c r="S483" s="39"/>
      <c r="T483" s="40"/>
      <c r="V483" s="94" t="s">
        <v>157</v>
      </c>
      <c r="W483" s="94"/>
      <c r="X483" s="94"/>
      <c r="Y483" s="94"/>
      <c r="Z483" s="94"/>
      <c r="AA483" s="94"/>
      <c r="AB483" s="94"/>
      <c r="AF483" s="94" t="s">
        <v>157</v>
      </c>
      <c r="AG483" s="94"/>
      <c r="AH483" s="94"/>
      <c r="AI483" s="94"/>
      <c r="AJ483" s="94"/>
      <c r="AK483" s="94"/>
      <c r="AL483" s="94"/>
      <c r="AM483" s="39"/>
      <c r="AN483" s="40"/>
      <c r="AP483" s="94" t="s">
        <v>157</v>
      </c>
      <c r="AQ483" s="94"/>
      <c r="AR483" s="94"/>
      <c r="AS483" s="94"/>
      <c r="AT483" s="94"/>
      <c r="AU483" s="94"/>
      <c r="AV483" s="94"/>
      <c r="AZ483" s="94" t="s">
        <v>157</v>
      </c>
      <c r="BA483" s="94"/>
      <c r="BB483" s="94"/>
      <c r="BC483" s="94"/>
      <c r="BD483" s="94"/>
      <c r="BE483" s="94"/>
      <c r="BF483" s="94"/>
    </row>
    <row r="484" spans="2:58" ht="15" customHeight="1" x14ac:dyDescent="0.45">
      <c r="B484" s="45"/>
      <c r="C484" s="95" t="s">
        <v>50</v>
      </c>
      <c r="D484" s="95"/>
      <c r="E484" s="95"/>
      <c r="F484" s="95"/>
      <c r="G484" s="95"/>
      <c r="H484" s="95"/>
      <c r="L484" s="45"/>
      <c r="M484" s="95" t="s">
        <v>50</v>
      </c>
      <c r="N484" s="95"/>
      <c r="O484" s="95"/>
      <c r="P484" s="95"/>
      <c r="Q484" s="95"/>
      <c r="R484" s="95"/>
      <c r="S484" s="41"/>
      <c r="T484" s="43"/>
      <c r="V484" s="45"/>
      <c r="W484" s="95" t="str">
        <f>C484</f>
        <v>LTC</v>
      </c>
      <c r="X484" s="95"/>
      <c r="Y484" s="95"/>
      <c r="Z484" s="95"/>
      <c r="AA484" s="95"/>
      <c r="AB484" s="95"/>
      <c r="AF484" s="45"/>
      <c r="AG484" s="95" t="str">
        <f>W484</f>
        <v>LTC</v>
      </c>
      <c r="AH484" s="95"/>
      <c r="AI484" s="95"/>
      <c r="AJ484" s="95"/>
      <c r="AK484" s="95"/>
      <c r="AL484" s="95"/>
      <c r="AM484" s="41"/>
      <c r="AN484" s="43"/>
      <c r="AP484" s="45"/>
      <c r="AQ484" s="95" t="str">
        <f>C484</f>
        <v>LTC</v>
      </c>
      <c r="AR484" s="95"/>
      <c r="AS484" s="95"/>
      <c r="AT484" s="95"/>
      <c r="AU484" s="95"/>
      <c r="AV484" s="95"/>
      <c r="AZ484" s="45"/>
      <c r="BA484" s="95" t="str">
        <f>C484</f>
        <v>LTC</v>
      </c>
      <c r="BB484" s="95"/>
      <c r="BC484" s="95"/>
      <c r="BD484" s="95"/>
      <c r="BE484" s="95"/>
      <c r="BF484" s="95"/>
    </row>
    <row r="485" spans="2:58" ht="15" customHeight="1" x14ac:dyDescent="0.45">
      <c r="B485" s="44" t="s">
        <v>52</v>
      </c>
      <c r="C485" s="45" t="s">
        <v>143</v>
      </c>
      <c r="D485" s="45" t="s">
        <v>144</v>
      </c>
      <c r="E485" s="45" t="s">
        <v>145</v>
      </c>
      <c r="F485" s="45" t="s">
        <v>146</v>
      </c>
      <c r="G485" s="45" t="s">
        <v>147</v>
      </c>
      <c r="H485" s="45" t="s">
        <v>148</v>
      </c>
      <c r="L485" s="44" t="s">
        <v>52</v>
      </c>
      <c r="M485" s="70" t="s">
        <v>143</v>
      </c>
      <c r="N485" s="70" t="s">
        <v>144</v>
      </c>
      <c r="O485" s="70" t="s">
        <v>145</v>
      </c>
      <c r="P485" s="70" t="s">
        <v>146</v>
      </c>
      <c r="Q485" s="70" t="s">
        <v>147</v>
      </c>
      <c r="R485" s="70" t="s">
        <v>148</v>
      </c>
      <c r="S485" s="41"/>
      <c r="T485" s="43"/>
      <c r="V485" s="44" t="str">
        <f t="shared" ref="V485:V497" si="354">B485</f>
        <v>AR-LTV</v>
      </c>
      <c r="W485" s="45" t="str">
        <f>C485</f>
        <v>&lt;74.99%</v>
      </c>
      <c r="X485" s="45" t="str">
        <f>D485</f>
        <v>75.00%-80.00%</v>
      </c>
      <c r="Y485" s="45" t="str">
        <f>E485</f>
        <v>80.01%-85.00%</v>
      </c>
      <c r="Z485" s="45" t="str">
        <f>F485</f>
        <v>85.01%-87.50%</v>
      </c>
      <c r="AA485" s="45" t="str">
        <f>G485</f>
        <v>87.51%-89.99%</v>
      </c>
      <c r="AB485" s="45" t="str">
        <f>H485</f>
        <v>90.00%-92.50%</v>
      </c>
      <c r="AF485" s="44" t="str">
        <f t="shared" ref="AF485:AF501" si="355">V485</f>
        <v>AR-LTV</v>
      </c>
      <c r="AG485" s="45" t="str">
        <f>W485</f>
        <v>&lt;74.99%</v>
      </c>
      <c r="AH485" s="45" t="str">
        <f>X485</f>
        <v>75.00%-80.00%</v>
      </c>
      <c r="AI485" s="45" t="str">
        <f>Y485</f>
        <v>80.01%-85.00%</v>
      </c>
      <c r="AJ485" s="45" t="str">
        <f>Z485</f>
        <v>85.01%-87.50%</v>
      </c>
      <c r="AK485" s="45" t="str">
        <f>AA485</f>
        <v>87.51%-89.99%</v>
      </c>
      <c r="AL485" s="45" t="str">
        <f>AB485</f>
        <v>90.00%-92.50%</v>
      </c>
      <c r="AM485" s="41"/>
      <c r="AN485" s="43"/>
      <c r="AP485" s="44" t="str">
        <f t="shared" ref="AP485:AP501" si="356">B485</f>
        <v>AR-LTV</v>
      </c>
      <c r="AQ485" s="45" t="str">
        <f>C485</f>
        <v>&lt;74.99%</v>
      </c>
      <c r="AR485" s="45" t="str">
        <f>D485</f>
        <v>75.00%-80.00%</v>
      </c>
      <c r="AS485" s="45" t="str">
        <f>E485</f>
        <v>80.01%-85.00%</v>
      </c>
      <c r="AT485" s="45" t="str">
        <f>F485</f>
        <v>85.01%-87.50%</v>
      </c>
      <c r="AU485" s="45" t="str">
        <f>G485</f>
        <v>87.51%-89.99%</v>
      </c>
      <c r="AV485" s="45" t="str">
        <f>H485</f>
        <v>90.00%-92.50%</v>
      </c>
      <c r="AZ485" s="71" t="str">
        <f t="shared" ref="AZ485:AZ501" si="357">B485</f>
        <v>AR-LTV</v>
      </c>
      <c r="BA485" s="45" t="str">
        <f>C485</f>
        <v>&lt;74.99%</v>
      </c>
      <c r="BB485" s="45" t="str">
        <f>D485</f>
        <v>75.00%-80.00%</v>
      </c>
      <c r="BC485" s="45" t="str">
        <f>E485</f>
        <v>80.01%-85.00%</v>
      </c>
      <c r="BD485" s="45" t="str">
        <f>F485</f>
        <v>85.01%-87.50%</v>
      </c>
      <c r="BE485" s="45" t="str">
        <f>G485</f>
        <v>87.51%-89.99%</v>
      </c>
      <c r="BF485" s="45" t="str">
        <f>H485</f>
        <v>90.00%-92.50%</v>
      </c>
    </row>
    <row r="486" spans="2:58" ht="15" hidden="1" customHeight="1" x14ac:dyDescent="0.45">
      <c r="B486" s="46" t="s">
        <v>164</v>
      </c>
      <c r="C486" s="49" t="s">
        <v>150</v>
      </c>
      <c r="D486" s="49" t="s">
        <v>150</v>
      </c>
      <c r="E486" s="49" t="s">
        <v>150</v>
      </c>
      <c r="F486" s="49" t="s">
        <v>150</v>
      </c>
      <c r="G486" s="49" t="s">
        <v>150</v>
      </c>
      <c r="H486" s="49" t="s">
        <v>150</v>
      </c>
      <c r="L486" s="46" t="s">
        <v>164</v>
      </c>
      <c r="M486" s="64" t="s">
        <v>150</v>
      </c>
      <c r="N486" s="64" t="s">
        <v>150</v>
      </c>
      <c r="O486" s="64" t="s">
        <v>150</v>
      </c>
      <c r="P486" s="64" t="s">
        <v>150</v>
      </c>
      <c r="Q486" s="64" t="s">
        <v>150</v>
      </c>
      <c r="R486" s="64" t="s">
        <v>150</v>
      </c>
      <c r="S486" s="55"/>
      <c r="T486" s="56"/>
      <c r="V486" s="46" t="str">
        <f t="shared" si="354"/>
        <v>75.01%-80.00%</v>
      </c>
      <c r="W486" s="49" t="s">
        <v>150</v>
      </c>
      <c r="X486" s="49" t="s">
        <v>150</v>
      </c>
      <c r="Y486" s="49" t="s">
        <v>150</v>
      </c>
      <c r="Z486" s="49" t="s">
        <v>150</v>
      </c>
      <c r="AA486" s="49" t="s">
        <v>150</v>
      </c>
      <c r="AB486" s="49" t="s">
        <v>150</v>
      </c>
      <c r="AF486" s="46" t="str">
        <f t="shared" si="355"/>
        <v>75.01%-80.00%</v>
      </c>
      <c r="AG486" s="64" t="s">
        <v>150</v>
      </c>
      <c r="AH486" s="64" t="s">
        <v>150</v>
      </c>
      <c r="AI486" s="64" t="s">
        <v>150</v>
      </c>
      <c r="AJ486" s="64" t="s">
        <v>150</v>
      </c>
      <c r="AK486" s="64" t="s">
        <v>150</v>
      </c>
      <c r="AL486" s="64" t="s">
        <v>150</v>
      </c>
      <c r="AM486" s="55"/>
      <c r="AN486" s="56"/>
      <c r="AP486" s="46" t="str">
        <f t="shared" si="356"/>
        <v>75.01%-80.00%</v>
      </c>
      <c r="AQ486" s="49" t="s">
        <v>150</v>
      </c>
      <c r="AR486" s="49" t="s">
        <v>150</v>
      </c>
      <c r="AS486" s="49" t="s">
        <v>150</v>
      </c>
      <c r="AT486" s="49" t="s">
        <v>150</v>
      </c>
      <c r="AU486" s="49" t="s">
        <v>150</v>
      </c>
      <c r="AV486" s="49" t="s">
        <v>150</v>
      </c>
      <c r="AZ486" s="46" t="str">
        <f t="shared" si="357"/>
        <v>75.01%-80.00%</v>
      </c>
      <c r="BA486" s="64" t="s">
        <v>150</v>
      </c>
      <c r="BB486" s="64" t="s">
        <v>150</v>
      </c>
      <c r="BC486" s="64" t="s">
        <v>150</v>
      </c>
      <c r="BD486" s="64" t="s">
        <v>150</v>
      </c>
      <c r="BE486" s="64" t="s">
        <v>150</v>
      </c>
      <c r="BF486" s="64" t="s">
        <v>150</v>
      </c>
    </row>
    <row r="487" spans="2:58" ht="15" hidden="1" customHeight="1" x14ac:dyDescent="0.45">
      <c r="B487" s="52" t="s">
        <v>151</v>
      </c>
      <c r="C487" s="54" t="s">
        <v>150</v>
      </c>
      <c r="D487" s="54" t="s">
        <v>150</v>
      </c>
      <c r="E487" s="54" t="s">
        <v>150</v>
      </c>
      <c r="F487" s="54" t="s">
        <v>150</v>
      </c>
      <c r="G487" s="54" t="s">
        <v>150</v>
      </c>
      <c r="H487" s="54" t="s">
        <v>150</v>
      </c>
      <c r="L487" s="52" t="s">
        <v>151</v>
      </c>
      <c r="M487" s="54" t="s">
        <v>150</v>
      </c>
      <c r="N487" s="54" t="s">
        <v>150</v>
      </c>
      <c r="O487" s="54" t="s">
        <v>150</v>
      </c>
      <c r="P487" s="54" t="s">
        <v>150</v>
      </c>
      <c r="Q487" s="54" t="s">
        <v>150</v>
      </c>
      <c r="R487" s="54" t="s">
        <v>150</v>
      </c>
      <c r="S487" s="55"/>
      <c r="T487" s="56"/>
      <c r="V487" s="52" t="str">
        <f t="shared" si="354"/>
        <v>FICO 700+</v>
      </c>
      <c r="W487" s="54" t="s">
        <v>150</v>
      </c>
      <c r="X487" s="54" t="s">
        <v>150</v>
      </c>
      <c r="Y487" s="54" t="s">
        <v>150</v>
      </c>
      <c r="Z487" s="54" t="s">
        <v>150</v>
      </c>
      <c r="AA487" s="54" t="s">
        <v>150</v>
      </c>
      <c r="AB487" s="54" t="s">
        <v>150</v>
      </c>
      <c r="AF487" s="52" t="str">
        <f t="shared" si="355"/>
        <v>FICO 700+</v>
      </c>
      <c r="AG487" s="54" t="s">
        <v>150</v>
      </c>
      <c r="AH487" s="54" t="s">
        <v>150</v>
      </c>
      <c r="AI487" s="54" t="s">
        <v>150</v>
      </c>
      <c r="AJ487" s="54" t="s">
        <v>150</v>
      </c>
      <c r="AK487" s="54" t="s">
        <v>150</v>
      </c>
      <c r="AL487" s="54" t="s">
        <v>150</v>
      </c>
      <c r="AM487" s="55"/>
      <c r="AN487" s="56"/>
      <c r="AP487" s="52" t="str">
        <f t="shared" si="356"/>
        <v>FICO 700+</v>
      </c>
      <c r="AQ487" s="54" t="s">
        <v>150</v>
      </c>
      <c r="AR487" s="54" t="s">
        <v>150</v>
      </c>
      <c r="AS487" s="54" t="s">
        <v>150</v>
      </c>
      <c r="AT487" s="54" t="s">
        <v>150</v>
      </c>
      <c r="AU487" s="54" t="s">
        <v>150</v>
      </c>
      <c r="AV487" s="54" t="s">
        <v>150</v>
      </c>
      <c r="AZ487" s="52" t="str">
        <f t="shared" si="357"/>
        <v>FICO 700+</v>
      </c>
      <c r="BA487" s="54" t="s">
        <v>150</v>
      </c>
      <c r="BB487" s="54" t="s">
        <v>150</v>
      </c>
      <c r="BC487" s="54" t="s">
        <v>150</v>
      </c>
      <c r="BD487" s="54" t="s">
        <v>150</v>
      </c>
      <c r="BE487" s="54" t="s">
        <v>150</v>
      </c>
      <c r="BF487" s="54" t="s">
        <v>150</v>
      </c>
    </row>
    <row r="488" spans="2:58" ht="15" hidden="1" customHeight="1" x14ac:dyDescent="0.45">
      <c r="B488" s="52" t="s">
        <v>158</v>
      </c>
      <c r="C488" s="54" t="s">
        <v>150</v>
      </c>
      <c r="D488" s="54" t="s">
        <v>150</v>
      </c>
      <c r="E488" s="54" t="s">
        <v>150</v>
      </c>
      <c r="F488" s="54" t="s">
        <v>150</v>
      </c>
      <c r="G488" s="54" t="s">
        <v>150</v>
      </c>
      <c r="H488" s="54" t="s">
        <v>150</v>
      </c>
      <c r="L488" s="52" t="s">
        <v>158</v>
      </c>
      <c r="M488" s="54" t="s">
        <v>150</v>
      </c>
      <c r="N488" s="54" t="s">
        <v>150</v>
      </c>
      <c r="O488" s="54" t="s">
        <v>150</v>
      </c>
      <c r="P488" s="54" t="s">
        <v>150</v>
      </c>
      <c r="Q488" s="54" t="s">
        <v>150</v>
      </c>
      <c r="R488" s="54" t="s">
        <v>150</v>
      </c>
      <c r="S488" s="55"/>
      <c r="T488" s="56"/>
      <c r="V488" s="52" t="str">
        <f t="shared" si="354"/>
        <v>FICO 680-699</v>
      </c>
      <c r="W488" s="54" t="s">
        <v>150</v>
      </c>
      <c r="X488" s="54" t="s">
        <v>150</v>
      </c>
      <c r="Y488" s="54" t="s">
        <v>150</v>
      </c>
      <c r="Z488" s="54" t="s">
        <v>150</v>
      </c>
      <c r="AA488" s="54" t="s">
        <v>150</v>
      </c>
      <c r="AB488" s="54" t="s">
        <v>150</v>
      </c>
      <c r="AF488" s="52" t="str">
        <f t="shared" si="355"/>
        <v>FICO 680-699</v>
      </c>
      <c r="AG488" s="54" t="s">
        <v>150</v>
      </c>
      <c r="AH488" s="54" t="s">
        <v>150</v>
      </c>
      <c r="AI488" s="54" t="s">
        <v>150</v>
      </c>
      <c r="AJ488" s="54" t="s">
        <v>150</v>
      </c>
      <c r="AK488" s="54" t="s">
        <v>150</v>
      </c>
      <c r="AL488" s="54" t="s">
        <v>150</v>
      </c>
      <c r="AM488" s="55"/>
      <c r="AN488" s="56"/>
      <c r="AP488" s="52" t="str">
        <f t="shared" si="356"/>
        <v>FICO 680-699</v>
      </c>
      <c r="AQ488" s="54" t="s">
        <v>150</v>
      </c>
      <c r="AR488" s="54" t="s">
        <v>150</v>
      </c>
      <c r="AS488" s="54" t="s">
        <v>150</v>
      </c>
      <c r="AT488" s="54" t="s">
        <v>150</v>
      </c>
      <c r="AU488" s="54" t="s">
        <v>150</v>
      </c>
      <c r="AV488" s="54" t="s">
        <v>150</v>
      </c>
      <c r="AZ488" s="52" t="str">
        <f t="shared" si="357"/>
        <v>FICO 680-699</v>
      </c>
      <c r="BA488" s="54" t="s">
        <v>150</v>
      </c>
      <c r="BB488" s="54" t="s">
        <v>150</v>
      </c>
      <c r="BC488" s="54" t="s">
        <v>150</v>
      </c>
      <c r="BD488" s="54" t="s">
        <v>150</v>
      </c>
      <c r="BE488" s="54" t="s">
        <v>150</v>
      </c>
      <c r="BF488" s="54" t="s">
        <v>150</v>
      </c>
    </row>
    <row r="489" spans="2:58" ht="15" hidden="1" customHeight="1" x14ac:dyDescent="0.45">
      <c r="B489" s="57" t="s">
        <v>153</v>
      </c>
      <c r="C489" s="59" t="s">
        <v>150</v>
      </c>
      <c r="D489" s="59" t="s">
        <v>150</v>
      </c>
      <c r="E489" s="59" t="s">
        <v>150</v>
      </c>
      <c r="F489" s="59" t="s">
        <v>150</v>
      </c>
      <c r="G489" s="59" t="s">
        <v>150</v>
      </c>
      <c r="H489" s="59" t="s">
        <v>150</v>
      </c>
      <c r="L489" s="57" t="s">
        <v>153</v>
      </c>
      <c r="M489" s="59" t="s">
        <v>150</v>
      </c>
      <c r="N489" s="59" t="s">
        <v>150</v>
      </c>
      <c r="O489" s="59" t="s">
        <v>150</v>
      </c>
      <c r="P489" s="59" t="s">
        <v>150</v>
      </c>
      <c r="Q489" s="59" t="s">
        <v>150</v>
      </c>
      <c r="R489" s="59" t="s">
        <v>150</v>
      </c>
      <c r="S489" s="55"/>
      <c r="T489" s="56"/>
      <c r="V489" s="57" t="str">
        <f t="shared" si="354"/>
        <v>FICO 640-659</v>
      </c>
      <c r="W489" s="59" t="s">
        <v>150</v>
      </c>
      <c r="X489" s="59" t="s">
        <v>150</v>
      </c>
      <c r="Y489" s="59" t="s">
        <v>150</v>
      </c>
      <c r="Z489" s="59" t="s">
        <v>150</v>
      </c>
      <c r="AA489" s="59" t="s">
        <v>150</v>
      </c>
      <c r="AB489" s="59" t="s">
        <v>150</v>
      </c>
      <c r="AF489" s="57" t="str">
        <f t="shared" si="355"/>
        <v>FICO 640-659</v>
      </c>
      <c r="AG489" s="59" t="s">
        <v>150</v>
      </c>
      <c r="AH489" s="59" t="s">
        <v>150</v>
      </c>
      <c r="AI489" s="59" t="s">
        <v>150</v>
      </c>
      <c r="AJ489" s="59" t="s">
        <v>150</v>
      </c>
      <c r="AK489" s="59" t="s">
        <v>150</v>
      </c>
      <c r="AL489" s="59" t="s">
        <v>150</v>
      </c>
      <c r="AM489" s="55"/>
      <c r="AN489" s="56"/>
      <c r="AP489" s="57" t="str">
        <f t="shared" si="356"/>
        <v>FICO 640-659</v>
      </c>
      <c r="AQ489" s="59" t="s">
        <v>150</v>
      </c>
      <c r="AR489" s="59" t="s">
        <v>150</v>
      </c>
      <c r="AS489" s="59" t="s">
        <v>150</v>
      </c>
      <c r="AT489" s="59" t="s">
        <v>150</v>
      </c>
      <c r="AU489" s="59" t="s">
        <v>150</v>
      </c>
      <c r="AV489" s="59" t="s">
        <v>150</v>
      </c>
      <c r="AZ489" s="57" t="str">
        <f t="shared" si="357"/>
        <v>FICO 640-659</v>
      </c>
      <c r="BA489" s="59" t="s">
        <v>150</v>
      </c>
      <c r="BB489" s="59" t="s">
        <v>150</v>
      </c>
      <c r="BC489" s="59" t="s">
        <v>150</v>
      </c>
      <c r="BD489" s="59" t="s">
        <v>150</v>
      </c>
      <c r="BE489" s="59" t="s">
        <v>150</v>
      </c>
      <c r="BF489" s="59" t="s">
        <v>150</v>
      </c>
    </row>
    <row r="490" spans="2:58" ht="15" customHeight="1" x14ac:dyDescent="0.45">
      <c r="B490" s="46" t="s">
        <v>149</v>
      </c>
      <c r="C490" s="47">
        <f>C498+0.5%</f>
        <v>0.10500000000000001</v>
      </c>
      <c r="D490" s="49" t="s">
        <v>150</v>
      </c>
      <c r="E490" s="49" t="s">
        <v>150</v>
      </c>
      <c r="F490" s="49" t="s">
        <v>150</v>
      </c>
      <c r="G490" s="49" t="s">
        <v>150</v>
      </c>
      <c r="H490" s="49" t="s">
        <v>150</v>
      </c>
      <c r="L490" s="46" t="s">
        <v>149</v>
      </c>
      <c r="M490" s="64" t="s">
        <v>150</v>
      </c>
      <c r="N490" s="49" t="s">
        <v>150</v>
      </c>
      <c r="O490" s="49" t="s">
        <v>150</v>
      </c>
      <c r="P490" s="49" t="s">
        <v>150</v>
      </c>
      <c r="Q490" s="49" t="s">
        <v>150</v>
      </c>
      <c r="R490" s="49" t="s">
        <v>150</v>
      </c>
      <c r="S490" s="55"/>
      <c r="T490" s="56"/>
      <c r="V490" s="46" t="str">
        <f t="shared" si="354"/>
        <v>70.01%-75.00%</v>
      </c>
      <c r="W490" s="47">
        <f>W498+0.5%</f>
        <v>0.10500000000000001</v>
      </c>
      <c r="X490" s="49" t="s">
        <v>150</v>
      </c>
      <c r="Y490" s="49" t="s">
        <v>150</v>
      </c>
      <c r="Z490" s="49" t="s">
        <v>150</v>
      </c>
      <c r="AA490" s="49" t="s">
        <v>150</v>
      </c>
      <c r="AB490" s="49" t="s">
        <v>150</v>
      </c>
      <c r="AF490" s="46" t="str">
        <f t="shared" si="355"/>
        <v>70.01%-75.00%</v>
      </c>
      <c r="AG490" s="64" t="s">
        <v>150</v>
      </c>
      <c r="AH490" s="49" t="s">
        <v>150</v>
      </c>
      <c r="AI490" s="49" t="s">
        <v>150</v>
      </c>
      <c r="AJ490" s="49" t="s">
        <v>150</v>
      </c>
      <c r="AK490" s="49" t="s">
        <v>150</v>
      </c>
      <c r="AL490" s="49" t="s">
        <v>150</v>
      </c>
      <c r="AM490" s="55"/>
      <c r="AN490" s="56"/>
      <c r="AP490" s="46" t="str">
        <f t="shared" si="356"/>
        <v>70.01%-75.00%</v>
      </c>
      <c r="AQ490" s="47">
        <f>AQ498+0.5%</f>
        <v>0.10500000000000001</v>
      </c>
      <c r="AR490" s="49" t="s">
        <v>150</v>
      </c>
      <c r="AS490" s="49" t="s">
        <v>150</v>
      </c>
      <c r="AT490" s="49" t="s">
        <v>150</v>
      </c>
      <c r="AU490" s="49" t="s">
        <v>150</v>
      </c>
      <c r="AV490" s="49" t="s">
        <v>150</v>
      </c>
      <c r="AZ490" s="46" t="str">
        <f t="shared" si="357"/>
        <v>70.01%-75.00%</v>
      </c>
      <c r="BA490" s="64" t="s">
        <v>150</v>
      </c>
      <c r="BB490" s="49" t="s">
        <v>150</v>
      </c>
      <c r="BC490" s="49" t="s">
        <v>150</v>
      </c>
      <c r="BD490" s="49" t="s">
        <v>150</v>
      </c>
      <c r="BE490" s="49" t="s">
        <v>150</v>
      </c>
      <c r="BF490" s="49" t="s">
        <v>150</v>
      </c>
    </row>
    <row r="491" spans="2:58" ht="15" customHeight="1" x14ac:dyDescent="0.45">
      <c r="B491" s="52" t="s">
        <v>151</v>
      </c>
      <c r="C491" s="53">
        <f>C490+0</f>
        <v>0.10500000000000001</v>
      </c>
      <c r="D491" s="54" t="s">
        <v>150</v>
      </c>
      <c r="E491" s="54" t="s">
        <v>150</v>
      </c>
      <c r="F491" s="54" t="s">
        <v>150</v>
      </c>
      <c r="G491" s="54" t="s">
        <v>150</v>
      </c>
      <c r="H491" s="54" t="s">
        <v>150</v>
      </c>
      <c r="L491" s="52" t="s">
        <v>151</v>
      </c>
      <c r="M491" s="54" t="s">
        <v>150</v>
      </c>
      <c r="N491" s="54" t="s">
        <v>150</v>
      </c>
      <c r="O491" s="54" t="s">
        <v>150</v>
      </c>
      <c r="P491" s="54" t="s">
        <v>150</v>
      </c>
      <c r="Q491" s="54" t="s">
        <v>150</v>
      </c>
      <c r="R491" s="54" t="s">
        <v>150</v>
      </c>
      <c r="S491" s="55"/>
      <c r="T491" s="56"/>
      <c r="V491" s="52" t="str">
        <f t="shared" si="354"/>
        <v>FICO 700+</v>
      </c>
      <c r="W491" s="53">
        <f>W490+0</f>
        <v>0.10500000000000001</v>
      </c>
      <c r="X491" s="54" t="s">
        <v>150</v>
      </c>
      <c r="Y491" s="54" t="s">
        <v>150</v>
      </c>
      <c r="Z491" s="54" t="s">
        <v>150</v>
      </c>
      <c r="AA491" s="54" t="s">
        <v>150</v>
      </c>
      <c r="AB491" s="54" t="s">
        <v>150</v>
      </c>
      <c r="AF491" s="52" t="str">
        <f t="shared" si="355"/>
        <v>FICO 700+</v>
      </c>
      <c r="AG491" s="54" t="s">
        <v>150</v>
      </c>
      <c r="AH491" s="54" t="s">
        <v>150</v>
      </c>
      <c r="AI491" s="54" t="s">
        <v>150</v>
      </c>
      <c r="AJ491" s="54" t="s">
        <v>150</v>
      </c>
      <c r="AK491" s="54" t="s">
        <v>150</v>
      </c>
      <c r="AL491" s="54" t="s">
        <v>150</v>
      </c>
      <c r="AM491" s="55"/>
      <c r="AN491" s="56"/>
      <c r="AP491" s="52" t="str">
        <f t="shared" si="356"/>
        <v>FICO 700+</v>
      </c>
      <c r="AQ491" s="53">
        <f>AQ490+0</f>
        <v>0.10500000000000001</v>
      </c>
      <c r="AR491" s="54" t="s">
        <v>150</v>
      </c>
      <c r="AS491" s="54" t="s">
        <v>150</v>
      </c>
      <c r="AT491" s="54" t="s">
        <v>150</v>
      </c>
      <c r="AU491" s="54" t="s">
        <v>150</v>
      </c>
      <c r="AV491" s="54" t="s">
        <v>150</v>
      </c>
      <c r="AZ491" s="52" t="str">
        <f t="shared" si="357"/>
        <v>FICO 700+</v>
      </c>
      <c r="BA491" s="54" t="s">
        <v>150</v>
      </c>
      <c r="BB491" s="54" t="s">
        <v>150</v>
      </c>
      <c r="BC491" s="54" t="s">
        <v>150</v>
      </c>
      <c r="BD491" s="54" t="s">
        <v>150</v>
      </c>
      <c r="BE491" s="54" t="s">
        <v>150</v>
      </c>
      <c r="BF491" s="54" t="s">
        <v>150</v>
      </c>
    </row>
    <row r="492" spans="2:58" ht="15" customHeight="1" x14ac:dyDescent="0.45">
      <c r="B492" s="52" t="s">
        <v>158</v>
      </c>
      <c r="C492" s="54" t="s">
        <v>150</v>
      </c>
      <c r="D492" s="54" t="s">
        <v>150</v>
      </c>
      <c r="E492" s="54" t="s">
        <v>150</v>
      </c>
      <c r="F492" s="54" t="s">
        <v>150</v>
      </c>
      <c r="G492" s="54" t="s">
        <v>150</v>
      </c>
      <c r="H492" s="54" t="s">
        <v>150</v>
      </c>
      <c r="L492" s="52" t="s">
        <v>158</v>
      </c>
      <c r="M492" s="54" t="s">
        <v>150</v>
      </c>
      <c r="N492" s="54" t="s">
        <v>150</v>
      </c>
      <c r="O492" s="54" t="s">
        <v>150</v>
      </c>
      <c r="P492" s="54" t="s">
        <v>150</v>
      </c>
      <c r="Q492" s="54" t="s">
        <v>150</v>
      </c>
      <c r="R492" s="54" t="s">
        <v>150</v>
      </c>
      <c r="S492" s="55"/>
      <c r="T492" s="56"/>
      <c r="V492" s="52" t="str">
        <f t="shared" si="354"/>
        <v>FICO 680-699</v>
      </c>
      <c r="W492" s="54" t="s">
        <v>150</v>
      </c>
      <c r="X492" s="54" t="s">
        <v>150</v>
      </c>
      <c r="Y492" s="54" t="s">
        <v>150</v>
      </c>
      <c r="Z492" s="54" t="s">
        <v>150</v>
      </c>
      <c r="AA492" s="54" t="s">
        <v>150</v>
      </c>
      <c r="AB492" s="54" t="s">
        <v>150</v>
      </c>
      <c r="AF492" s="52" t="str">
        <f t="shared" si="355"/>
        <v>FICO 680-699</v>
      </c>
      <c r="AG492" s="54" t="s">
        <v>150</v>
      </c>
      <c r="AH492" s="54" t="s">
        <v>150</v>
      </c>
      <c r="AI492" s="54" t="s">
        <v>150</v>
      </c>
      <c r="AJ492" s="54" t="s">
        <v>150</v>
      </c>
      <c r="AK492" s="54" t="s">
        <v>150</v>
      </c>
      <c r="AL492" s="54" t="s">
        <v>150</v>
      </c>
      <c r="AM492" s="55"/>
      <c r="AN492" s="56"/>
      <c r="AP492" s="52" t="str">
        <f t="shared" si="356"/>
        <v>FICO 680-699</v>
      </c>
      <c r="AQ492" s="54" t="s">
        <v>150</v>
      </c>
      <c r="AR492" s="54" t="s">
        <v>150</v>
      </c>
      <c r="AS492" s="54" t="s">
        <v>150</v>
      </c>
      <c r="AT492" s="54" t="s">
        <v>150</v>
      </c>
      <c r="AU492" s="54" t="s">
        <v>150</v>
      </c>
      <c r="AV492" s="54" t="s">
        <v>150</v>
      </c>
      <c r="AZ492" s="52" t="str">
        <f t="shared" si="357"/>
        <v>FICO 680-699</v>
      </c>
      <c r="BA492" s="54" t="s">
        <v>150</v>
      </c>
      <c r="BB492" s="54" t="s">
        <v>150</v>
      </c>
      <c r="BC492" s="54" t="s">
        <v>150</v>
      </c>
      <c r="BD492" s="54" t="s">
        <v>150</v>
      </c>
      <c r="BE492" s="54" t="s">
        <v>150</v>
      </c>
      <c r="BF492" s="54" t="s">
        <v>150</v>
      </c>
    </row>
    <row r="493" spans="2:58" ht="15" customHeight="1" x14ac:dyDescent="0.45">
      <c r="B493" s="57" t="s">
        <v>159</v>
      </c>
      <c r="C493" s="59" t="s">
        <v>150</v>
      </c>
      <c r="D493" s="59" t="s">
        <v>150</v>
      </c>
      <c r="E493" s="59" t="s">
        <v>150</v>
      </c>
      <c r="F493" s="59" t="s">
        <v>150</v>
      </c>
      <c r="G493" s="59" t="s">
        <v>150</v>
      </c>
      <c r="H493" s="59" t="s">
        <v>150</v>
      </c>
      <c r="L493" s="57" t="s">
        <v>159</v>
      </c>
      <c r="M493" s="59" t="s">
        <v>150</v>
      </c>
      <c r="N493" s="59" t="s">
        <v>150</v>
      </c>
      <c r="O493" s="59" t="s">
        <v>150</v>
      </c>
      <c r="P493" s="59" t="s">
        <v>150</v>
      </c>
      <c r="Q493" s="59" t="s">
        <v>150</v>
      </c>
      <c r="R493" s="59" t="s">
        <v>150</v>
      </c>
      <c r="S493" s="55"/>
      <c r="T493" s="56"/>
      <c r="V493" s="57" t="str">
        <f t="shared" si="354"/>
        <v>FICO 640-679</v>
      </c>
      <c r="W493" s="59" t="s">
        <v>150</v>
      </c>
      <c r="X493" s="59" t="s">
        <v>150</v>
      </c>
      <c r="Y493" s="59" t="s">
        <v>150</v>
      </c>
      <c r="Z493" s="59" t="s">
        <v>150</v>
      </c>
      <c r="AA493" s="59" t="s">
        <v>150</v>
      </c>
      <c r="AB493" s="59" t="s">
        <v>150</v>
      </c>
      <c r="AF493" s="57" t="str">
        <f t="shared" si="355"/>
        <v>FICO 640-679</v>
      </c>
      <c r="AG493" s="59" t="s">
        <v>150</v>
      </c>
      <c r="AH493" s="59" t="s">
        <v>150</v>
      </c>
      <c r="AI493" s="59" t="s">
        <v>150</v>
      </c>
      <c r="AJ493" s="59" t="s">
        <v>150</v>
      </c>
      <c r="AK493" s="59" t="s">
        <v>150</v>
      </c>
      <c r="AL493" s="59" t="s">
        <v>150</v>
      </c>
      <c r="AM493" s="55"/>
      <c r="AN493" s="56"/>
      <c r="AP493" s="57" t="str">
        <f t="shared" si="356"/>
        <v>FICO 640-679</v>
      </c>
      <c r="AQ493" s="59" t="s">
        <v>150</v>
      </c>
      <c r="AR493" s="59" t="s">
        <v>150</v>
      </c>
      <c r="AS493" s="59" t="s">
        <v>150</v>
      </c>
      <c r="AT493" s="59" t="s">
        <v>150</v>
      </c>
      <c r="AU493" s="59" t="s">
        <v>150</v>
      </c>
      <c r="AV493" s="59" t="s">
        <v>150</v>
      </c>
      <c r="AZ493" s="57" t="str">
        <f t="shared" si="357"/>
        <v>FICO 640-679</v>
      </c>
      <c r="BA493" s="59" t="s">
        <v>150</v>
      </c>
      <c r="BB493" s="59" t="s">
        <v>150</v>
      </c>
      <c r="BC493" s="59" t="s">
        <v>150</v>
      </c>
      <c r="BD493" s="59" t="s">
        <v>150</v>
      </c>
      <c r="BE493" s="59" t="s">
        <v>150</v>
      </c>
      <c r="BF493" s="59" t="s">
        <v>150</v>
      </c>
    </row>
    <row r="494" spans="2:58" ht="15" customHeight="1" x14ac:dyDescent="0.45">
      <c r="B494" s="46" t="s">
        <v>154</v>
      </c>
      <c r="C494" s="47">
        <f>C498+0.25%</f>
        <v>0.10250000000000001</v>
      </c>
      <c r="D494" s="49" t="s">
        <v>150</v>
      </c>
      <c r="E494" s="49" t="s">
        <v>150</v>
      </c>
      <c r="F494" s="49" t="s">
        <v>150</v>
      </c>
      <c r="G494" s="49" t="s">
        <v>150</v>
      </c>
      <c r="H494" s="49" t="s">
        <v>150</v>
      </c>
      <c r="L494" s="46" t="s">
        <v>154</v>
      </c>
      <c r="M494" s="64" t="s">
        <v>150</v>
      </c>
      <c r="N494" s="49" t="s">
        <v>150</v>
      </c>
      <c r="O494" s="49" t="s">
        <v>150</v>
      </c>
      <c r="P494" s="49" t="s">
        <v>150</v>
      </c>
      <c r="Q494" s="49" t="s">
        <v>150</v>
      </c>
      <c r="R494" s="49" t="s">
        <v>150</v>
      </c>
      <c r="S494" s="55"/>
      <c r="T494" s="56"/>
      <c r="V494" s="46" t="str">
        <f t="shared" si="354"/>
        <v>65.00%-70.00%</v>
      </c>
      <c r="W494" s="47">
        <f>W498+0.25%</f>
        <v>0.10250000000000001</v>
      </c>
      <c r="X494" s="49" t="s">
        <v>150</v>
      </c>
      <c r="Y494" s="49" t="s">
        <v>150</v>
      </c>
      <c r="Z494" s="49" t="s">
        <v>150</v>
      </c>
      <c r="AA494" s="49" t="s">
        <v>150</v>
      </c>
      <c r="AB494" s="49" t="s">
        <v>150</v>
      </c>
      <c r="AF494" s="46" t="str">
        <f t="shared" si="355"/>
        <v>65.00%-70.00%</v>
      </c>
      <c r="AG494" s="64" t="s">
        <v>150</v>
      </c>
      <c r="AH494" s="49" t="s">
        <v>150</v>
      </c>
      <c r="AI494" s="49" t="s">
        <v>150</v>
      </c>
      <c r="AJ494" s="49" t="s">
        <v>150</v>
      </c>
      <c r="AK494" s="49" t="s">
        <v>150</v>
      </c>
      <c r="AL494" s="49" t="s">
        <v>150</v>
      </c>
      <c r="AM494" s="55"/>
      <c r="AN494" s="56"/>
      <c r="AP494" s="46" t="str">
        <f t="shared" si="356"/>
        <v>65.00%-70.00%</v>
      </c>
      <c r="AQ494" s="47">
        <f>AQ498+0.25%</f>
        <v>0.10250000000000001</v>
      </c>
      <c r="AR494" s="49" t="s">
        <v>150</v>
      </c>
      <c r="AS494" s="49" t="s">
        <v>150</v>
      </c>
      <c r="AT494" s="49" t="s">
        <v>150</v>
      </c>
      <c r="AU494" s="49" t="s">
        <v>150</v>
      </c>
      <c r="AV494" s="49" t="s">
        <v>150</v>
      </c>
      <c r="AZ494" s="46" t="str">
        <f t="shared" si="357"/>
        <v>65.00%-70.00%</v>
      </c>
      <c r="BA494" s="64" t="s">
        <v>150</v>
      </c>
      <c r="BB494" s="49" t="s">
        <v>150</v>
      </c>
      <c r="BC494" s="49" t="s">
        <v>150</v>
      </c>
      <c r="BD494" s="49" t="s">
        <v>150</v>
      </c>
      <c r="BE494" s="49" t="s">
        <v>150</v>
      </c>
      <c r="BF494" s="49" t="s">
        <v>150</v>
      </c>
    </row>
    <row r="495" spans="2:58" ht="15" customHeight="1" x14ac:dyDescent="0.45">
      <c r="B495" s="52" t="s">
        <v>151</v>
      </c>
      <c r="C495" s="53">
        <f>C494+0</f>
        <v>0.10250000000000001</v>
      </c>
      <c r="D495" s="54" t="s">
        <v>150</v>
      </c>
      <c r="E495" s="54" t="s">
        <v>150</v>
      </c>
      <c r="F495" s="54" t="s">
        <v>150</v>
      </c>
      <c r="G495" s="54" t="s">
        <v>150</v>
      </c>
      <c r="H495" s="54" t="s">
        <v>150</v>
      </c>
      <c r="L495" s="52" t="s">
        <v>151</v>
      </c>
      <c r="M495" s="54" t="s">
        <v>150</v>
      </c>
      <c r="N495" s="54" t="s">
        <v>150</v>
      </c>
      <c r="O495" s="54" t="s">
        <v>150</v>
      </c>
      <c r="P495" s="54" t="s">
        <v>150</v>
      </c>
      <c r="Q495" s="54" t="s">
        <v>150</v>
      </c>
      <c r="R495" s="54" t="s">
        <v>150</v>
      </c>
      <c r="S495" s="55"/>
      <c r="T495" s="56"/>
      <c r="V495" s="52" t="str">
        <f t="shared" si="354"/>
        <v>FICO 700+</v>
      </c>
      <c r="W495" s="53">
        <f>W494+0</f>
        <v>0.10250000000000001</v>
      </c>
      <c r="X495" s="54" t="s">
        <v>150</v>
      </c>
      <c r="Y495" s="54" t="s">
        <v>150</v>
      </c>
      <c r="Z495" s="54" t="s">
        <v>150</v>
      </c>
      <c r="AA495" s="54" t="s">
        <v>150</v>
      </c>
      <c r="AB495" s="54" t="s">
        <v>150</v>
      </c>
      <c r="AF495" s="52" t="str">
        <f t="shared" si="355"/>
        <v>FICO 700+</v>
      </c>
      <c r="AG495" s="54" t="s">
        <v>150</v>
      </c>
      <c r="AH495" s="54" t="s">
        <v>150</v>
      </c>
      <c r="AI495" s="54" t="s">
        <v>150</v>
      </c>
      <c r="AJ495" s="54" t="s">
        <v>150</v>
      </c>
      <c r="AK495" s="54" t="s">
        <v>150</v>
      </c>
      <c r="AL495" s="54" t="s">
        <v>150</v>
      </c>
      <c r="AM495" s="55"/>
      <c r="AN495" s="56"/>
      <c r="AP495" s="52" t="str">
        <f t="shared" si="356"/>
        <v>FICO 700+</v>
      </c>
      <c r="AQ495" s="53">
        <f>AQ494+0</f>
        <v>0.10250000000000001</v>
      </c>
      <c r="AR495" s="54" t="s">
        <v>150</v>
      </c>
      <c r="AS495" s="54" t="s">
        <v>150</v>
      </c>
      <c r="AT495" s="54" t="s">
        <v>150</v>
      </c>
      <c r="AU495" s="54" t="s">
        <v>150</v>
      </c>
      <c r="AV495" s="54" t="s">
        <v>150</v>
      </c>
      <c r="AZ495" s="52" t="str">
        <f t="shared" si="357"/>
        <v>FICO 700+</v>
      </c>
      <c r="BA495" s="54" t="s">
        <v>150</v>
      </c>
      <c r="BB495" s="54" t="s">
        <v>150</v>
      </c>
      <c r="BC495" s="54" t="s">
        <v>150</v>
      </c>
      <c r="BD495" s="54" t="s">
        <v>150</v>
      </c>
      <c r="BE495" s="54" t="s">
        <v>150</v>
      </c>
      <c r="BF495" s="54" t="s">
        <v>150</v>
      </c>
    </row>
    <row r="496" spans="2:58" ht="15" customHeight="1" x14ac:dyDescent="0.45">
      <c r="B496" s="52" t="s">
        <v>158</v>
      </c>
      <c r="C496" s="54" t="s">
        <v>150</v>
      </c>
      <c r="D496" s="54" t="s">
        <v>150</v>
      </c>
      <c r="E496" s="54" t="s">
        <v>150</v>
      </c>
      <c r="F496" s="54" t="s">
        <v>150</v>
      </c>
      <c r="G496" s="54" t="s">
        <v>150</v>
      </c>
      <c r="H496" s="54" t="s">
        <v>150</v>
      </c>
      <c r="L496" s="52" t="s">
        <v>158</v>
      </c>
      <c r="M496" s="54" t="s">
        <v>150</v>
      </c>
      <c r="N496" s="54" t="s">
        <v>150</v>
      </c>
      <c r="O496" s="54" t="s">
        <v>150</v>
      </c>
      <c r="P496" s="54" t="s">
        <v>150</v>
      </c>
      <c r="Q496" s="54" t="s">
        <v>150</v>
      </c>
      <c r="R496" s="54" t="s">
        <v>150</v>
      </c>
      <c r="S496" s="55"/>
      <c r="T496" s="56"/>
      <c r="V496" s="52" t="str">
        <f t="shared" si="354"/>
        <v>FICO 680-699</v>
      </c>
      <c r="W496" s="54" t="s">
        <v>150</v>
      </c>
      <c r="X496" s="54" t="s">
        <v>150</v>
      </c>
      <c r="Y496" s="54" t="s">
        <v>150</v>
      </c>
      <c r="Z496" s="54" t="s">
        <v>150</v>
      </c>
      <c r="AA496" s="54" t="s">
        <v>150</v>
      </c>
      <c r="AB496" s="54" t="s">
        <v>150</v>
      </c>
      <c r="AF496" s="52" t="str">
        <f t="shared" si="355"/>
        <v>FICO 680-699</v>
      </c>
      <c r="AG496" s="54" t="s">
        <v>150</v>
      </c>
      <c r="AH496" s="54" t="s">
        <v>150</v>
      </c>
      <c r="AI496" s="54" t="s">
        <v>150</v>
      </c>
      <c r="AJ496" s="54" t="s">
        <v>150</v>
      </c>
      <c r="AK496" s="54" t="s">
        <v>150</v>
      </c>
      <c r="AL496" s="54" t="s">
        <v>150</v>
      </c>
      <c r="AM496" s="55"/>
      <c r="AN496" s="56"/>
      <c r="AP496" s="52" t="str">
        <f t="shared" si="356"/>
        <v>FICO 680-699</v>
      </c>
      <c r="AQ496" s="54" t="s">
        <v>150</v>
      </c>
      <c r="AR496" s="54" t="s">
        <v>150</v>
      </c>
      <c r="AS496" s="54" t="s">
        <v>150</v>
      </c>
      <c r="AT496" s="54" t="s">
        <v>150</v>
      </c>
      <c r="AU496" s="54" t="s">
        <v>150</v>
      </c>
      <c r="AV496" s="54" t="s">
        <v>150</v>
      </c>
      <c r="AZ496" s="52" t="str">
        <f t="shared" si="357"/>
        <v>FICO 680-699</v>
      </c>
      <c r="BA496" s="54" t="s">
        <v>150</v>
      </c>
      <c r="BB496" s="54" t="s">
        <v>150</v>
      </c>
      <c r="BC496" s="54" t="s">
        <v>150</v>
      </c>
      <c r="BD496" s="54" t="s">
        <v>150</v>
      </c>
      <c r="BE496" s="54" t="s">
        <v>150</v>
      </c>
      <c r="BF496" s="54" t="s">
        <v>150</v>
      </c>
    </row>
    <row r="497" spans="2:58" ht="15" customHeight="1" x14ac:dyDescent="0.45">
      <c r="B497" s="57" t="s">
        <v>159</v>
      </c>
      <c r="C497" s="59" t="s">
        <v>150</v>
      </c>
      <c r="D497" s="59" t="s">
        <v>150</v>
      </c>
      <c r="E497" s="59" t="s">
        <v>150</v>
      </c>
      <c r="F497" s="59" t="s">
        <v>150</v>
      </c>
      <c r="G497" s="59" t="s">
        <v>150</v>
      </c>
      <c r="H497" s="59" t="s">
        <v>150</v>
      </c>
      <c r="L497" s="57" t="s">
        <v>159</v>
      </c>
      <c r="M497" s="59" t="s">
        <v>150</v>
      </c>
      <c r="N497" s="59" t="s">
        <v>150</v>
      </c>
      <c r="O497" s="59" t="s">
        <v>150</v>
      </c>
      <c r="P497" s="59" t="s">
        <v>150</v>
      </c>
      <c r="Q497" s="59" t="s">
        <v>150</v>
      </c>
      <c r="R497" s="59" t="s">
        <v>150</v>
      </c>
      <c r="S497" s="55"/>
      <c r="T497" s="56"/>
      <c r="V497" s="57" t="str">
        <f t="shared" si="354"/>
        <v>FICO 640-679</v>
      </c>
      <c r="W497" s="59" t="s">
        <v>150</v>
      </c>
      <c r="X497" s="59" t="s">
        <v>150</v>
      </c>
      <c r="Y497" s="59" t="s">
        <v>150</v>
      </c>
      <c r="Z497" s="59" t="s">
        <v>150</v>
      </c>
      <c r="AA497" s="59" t="s">
        <v>150</v>
      </c>
      <c r="AB497" s="59" t="s">
        <v>150</v>
      </c>
      <c r="AF497" s="57" t="str">
        <f t="shared" si="355"/>
        <v>FICO 640-679</v>
      </c>
      <c r="AG497" s="59" t="s">
        <v>150</v>
      </c>
      <c r="AH497" s="59" t="s">
        <v>150</v>
      </c>
      <c r="AI497" s="59" t="s">
        <v>150</v>
      </c>
      <c r="AJ497" s="59" t="s">
        <v>150</v>
      </c>
      <c r="AK497" s="59" t="s">
        <v>150</v>
      </c>
      <c r="AL497" s="59" t="s">
        <v>150</v>
      </c>
      <c r="AM497" s="55"/>
      <c r="AN497" s="56"/>
      <c r="AP497" s="57" t="str">
        <f t="shared" si="356"/>
        <v>FICO 640-679</v>
      </c>
      <c r="AQ497" s="59" t="s">
        <v>150</v>
      </c>
      <c r="AR497" s="59" t="s">
        <v>150</v>
      </c>
      <c r="AS497" s="59" t="s">
        <v>150</v>
      </c>
      <c r="AT497" s="59" t="s">
        <v>150</v>
      </c>
      <c r="AU497" s="59" t="s">
        <v>150</v>
      </c>
      <c r="AV497" s="59" t="s">
        <v>150</v>
      </c>
      <c r="AZ497" s="57" t="str">
        <f t="shared" si="357"/>
        <v>FICO 640-679</v>
      </c>
      <c r="BA497" s="59" t="s">
        <v>150</v>
      </c>
      <c r="BB497" s="59" t="s">
        <v>150</v>
      </c>
      <c r="BC497" s="59" t="s">
        <v>150</v>
      </c>
      <c r="BD497" s="59" t="s">
        <v>150</v>
      </c>
      <c r="BE497" s="59" t="s">
        <v>150</v>
      </c>
      <c r="BF497" s="59" t="s">
        <v>150</v>
      </c>
    </row>
    <row r="498" spans="2:58" ht="15" customHeight="1" x14ac:dyDescent="0.45">
      <c r="B498" s="60" t="s">
        <v>155</v>
      </c>
      <c r="C498" s="72">
        <v>0.1</v>
      </c>
      <c r="D498" s="49" t="s">
        <v>150</v>
      </c>
      <c r="E498" s="49" t="s">
        <v>150</v>
      </c>
      <c r="F498" s="49" t="s">
        <v>150</v>
      </c>
      <c r="G498" s="49" t="s">
        <v>150</v>
      </c>
      <c r="H498" s="49" t="s">
        <v>150</v>
      </c>
      <c r="L498" s="60" t="s">
        <v>155</v>
      </c>
      <c r="M498" s="72">
        <v>0.1125</v>
      </c>
      <c r="N498" s="49" t="s">
        <v>150</v>
      </c>
      <c r="O498" s="49" t="s">
        <v>150</v>
      </c>
      <c r="P498" s="49" t="s">
        <v>150</v>
      </c>
      <c r="Q498" s="49" t="s">
        <v>150</v>
      </c>
      <c r="R498" s="49" t="s">
        <v>150</v>
      </c>
      <c r="S498" s="55"/>
      <c r="T498" s="56"/>
      <c r="V498" s="60" t="s">
        <v>155</v>
      </c>
      <c r="W498" s="73">
        <v>0.1</v>
      </c>
      <c r="X498" s="49" t="s">
        <v>150</v>
      </c>
      <c r="Y498" s="49" t="s">
        <v>150</v>
      </c>
      <c r="Z498" s="49" t="s">
        <v>150</v>
      </c>
      <c r="AA498" s="49" t="s">
        <v>150</v>
      </c>
      <c r="AB498" s="49" t="s">
        <v>150</v>
      </c>
      <c r="AF498" s="60" t="str">
        <f t="shared" si="355"/>
        <v>&lt;64.99%</v>
      </c>
      <c r="AG498" s="73">
        <v>0.1125</v>
      </c>
      <c r="AH498" s="49" t="s">
        <v>150</v>
      </c>
      <c r="AI498" s="49" t="s">
        <v>150</v>
      </c>
      <c r="AJ498" s="49" t="s">
        <v>150</v>
      </c>
      <c r="AK498" s="49" t="s">
        <v>150</v>
      </c>
      <c r="AL498" s="49" t="s">
        <v>150</v>
      </c>
      <c r="AM498" s="55"/>
      <c r="AN498" s="56"/>
      <c r="AP498" s="60" t="str">
        <f t="shared" si="356"/>
        <v>&lt;64.99%</v>
      </c>
      <c r="AQ498" s="73">
        <v>0.1</v>
      </c>
      <c r="AR498" s="49" t="s">
        <v>150</v>
      </c>
      <c r="AS498" s="49" t="s">
        <v>150</v>
      </c>
      <c r="AT498" s="49" t="s">
        <v>150</v>
      </c>
      <c r="AU498" s="49" t="s">
        <v>150</v>
      </c>
      <c r="AV498" s="49" t="s">
        <v>150</v>
      </c>
      <c r="AZ498" s="60" t="str">
        <f t="shared" si="357"/>
        <v>&lt;64.99%</v>
      </c>
      <c r="BA498" s="73">
        <v>0.1125</v>
      </c>
      <c r="BB498" s="49" t="s">
        <v>150</v>
      </c>
      <c r="BC498" s="49" t="s">
        <v>150</v>
      </c>
      <c r="BD498" s="49" t="s">
        <v>150</v>
      </c>
      <c r="BE498" s="49" t="s">
        <v>150</v>
      </c>
      <c r="BF498" s="49" t="s">
        <v>150</v>
      </c>
    </row>
    <row r="499" spans="2:58" ht="15" customHeight="1" x14ac:dyDescent="0.45">
      <c r="B499" s="52" t="s">
        <v>151</v>
      </c>
      <c r="C499" s="53">
        <f>C498+0</f>
        <v>0.1</v>
      </c>
      <c r="D499" s="54" t="s">
        <v>150</v>
      </c>
      <c r="E499" s="54" t="s">
        <v>150</v>
      </c>
      <c r="F499" s="54" t="s">
        <v>150</v>
      </c>
      <c r="G499" s="54" t="s">
        <v>150</v>
      </c>
      <c r="H499" s="54" t="s">
        <v>150</v>
      </c>
      <c r="L499" s="52" t="s">
        <v>151</v>
      </c>
      <c r="M499" s="53">
        <f>M498+0</f>
        <v>0.1125</v>
      </c>
      <c r="N499" s="54" t="s">
        <v>150</v>
      </c>
      <c r="O499" s="54" t="s">
        <v>150</v>
      </c>
      <c r="P499" s="54" t="s">
        <v>150</v>
      </c>
      <c r="Q499" s="54" t="s">
        <v>150</v>
      </c>
      <c r="R499" s="54" t="s">
        <v>150</v>
      </c>
      <c r="S499" s="55"/>
      <c r="T499" s="56"/>
      <c r="V499" s="52" t="s">
        <v>151</v>
      </c>
      <c r="W499" s="53">
        <f>W498+0</f>
        <v>0.1</v>
      </c>
      <c r="X499" s="54" t="s">
        <v>150</v>
      </c>
      <c r="Y499" s="54" t="s">
        <v>150</v>
      </c>
      <c r="Z499" s="54" t="s">
        <v>150</v>
      </c>
      <c r="AA499" s="54" t="s">
        <v>150</v>
      </c>
      <c r="AB499" s="54" t="s">
        <v>150</v>
      </c>
      <c r="AF499" s="52" t="str">
        <f t="shared" si="355"/>
        <v>FICO 700+</v>
      </c>
      <c r="AG499" s="53">
        <f>AG498+0</f>
        <v>0.1125</v>
      </c>
      <c r="AH499" s="54" t="s">
        <v>150</v>
      </c>
      <c r="AI499" s="54" t="s">
        <v>150</v>
      </c>
      <c r="AJ499" s="54" t="s">
        <v>150</v>
      </c>
      <c r="AK499" s="54" t="s">
        <v>150</v>
      </c>
      <c r="AL499" s="54" t="s">
        <v>150</v>
      </c>
      <c r="AM499" s="55"/>
      <c r="AN499" s="56"/>
      <c r="AP499" s="52" t="str">
        <f t="shared" si="356"/>
        <v>FICO 700+</v>
      </c>
      <c r="AQ499" s="53">
        <f>AQ498+0</f>
        <v>0.1</v>
      </c>
      <c r="AR499" s="54" t="s">
        <v>150</v>
      </c>
      <c r="AS499" s="54" t="s">
        <v>150</v>
      </c>
      <c r="AT499" s="54" t="s">
        <v>150</v>
      </c>
      <c r="AU499" s="54" t="s">
        <v>150</v>
      </c>
      <c r="AV499" s="54" t="s">
        <v>150</v>
      </c>
      <c r="AZ499" s="52" t="str">
        <f t="shared" si="357"/>
        <v>FICO 700+</v>
      </c>
      <c r="BA499" s="53">
        <f>BA498+0</f>
        <v>0.1125</v>
      </c>
      <c r="BB499" s="54" t="s">
        <v>150</v>
      </c>
      <c r="BC499" s="54" t="s">
        <v>150</v>
      </c>
      <c r="BD499" s="54" t="s">
        <v>150</v>
      </c>
      <c r="BE499" s="54" t="s">
        <v>150</v>
      </c>
      <c r="BF499" s="54" t="s">
        <v>150</v>
      </c>
    </row>
    <row r="500" spans="2:58" ht="15" customHeight="1" x14ac:dyDescent="0.45">
      <c r="B500" s="52" t="s">
        <v>158</v>
      </c>
      <c r="C500" s="54" t="s">
        <v>150</v>
      </c>
      <c r="D500" s="54" t="s">
        <v>150</v>
      </c>
      <c r="E500" s="54" t="s">
        <v>150</v>
      </c>
      <c r="F500" s="54" t="s">
        <v>150</v>
      </c>
      <c r="G500" s="54" t="s">
        <v>150</v>
      </c>
      <c r="H500" s="54" t="s">
        <v>150</v>
      </c>
      <c r="L500" s="52" t="s">
        <v>158</v>
      </c>
      <c r="M500" s="54" t="s">
        <v>150</v>
      </c>
      <c r="N500" s="54" t="s">
        <v>150</v>
      </c>
      <c r="O500" s="54" t="s">
        <v>150</v>
      </c>
      <c r="P500" s="54" t="s">
        <v>150</v>
      </c>
      <c r="Q500" s="54" t="s">
        <v>150</v>
      </c>
      <c r="R500" s="54" t="s">
        <v>150</v>
      </c>
      <c r="S500" s="55"/>
      <c r="T500" s="56"/>
      <c r="V500" s="52" t="s">
        <v>158</v>
      </c>
      <c r="W500" s="54" t="s">
        <v>150</v>
      </c>
      <c r="X500" s="54" t="s">
        <v>150</v>
      </c>
      <c r="Y500" s="54" t="s">
        <v>150</v>
      </c>
      <c r="Z500" s="54" t="s">
        <v>150</v>
      </c>
      <c r="AA500" s="54" t="s">
        <v>150</v>
      </c>
      <c r="AB500" s="54" t="s">
        <v>150</v>
      </c>
      <c r="AF500" s="52" t="str">
        <f t="shared" si="355"/>
        <v>FICO 680-699</v>
      </c>
      <c r="AG500" s="54" t="s">
        <v>150</v>
      </c>
      <c r="AH500" s="54" t="s">
        <v>150</v>
      </c>
      <c r="AI500" s="54" t="s">
        <v>150</v>
      </c>
      <c r="AJ500" s="54" t="s">
        <v>150</v>
      </c>
      <c r="AK500" s="54" t="s">
        <v>150</v>
      </c>
      <c r="AL500" s="54" t="s">
        <v>150</v>
      </c>
      <c r="AM500" s="55"/>
      <c r="AN500" s="56"/>
      <c r="AP500" s="52" t="str">
        <f t="shared" si="356"/>
        <v>FICO 680-699</v>
      </c>
      <c r="AQ500" s="54" t="s">
        <v>150</v>
      </c>
      <c r="AR500" s="54" t="s">
        <v>150</v>
      </c>
      <c r="AS500" s="54" t="s">
        <v>150</v>
      </c>
      <c r="AT500" s="54" t="s">
        <v>150</v>
      </c>
      <c r="AU500" s="54" t="s">
        <v>150</v>
      </c>
      <c r="AV500" s="54" t="s">
        <v>150</v>
      </c>
      <c r="AZ500" s="52" t="str">
        <f t="shared" si="357"/>
        <v>FICO 680-699</v>
      </c>
      <c r="BA500" s="54" t="s">
        <v>150</v>
      </c>
      <c r="BB500" s="54" t="s">
        <v>150</v>
      </c>
      <c r="BC500" s="54" t="s">
        <v>150</v>
      </c>
      <c r="BD500" s="54" t="s">
        <v>150</v>
      </c>
      <c r="BE500" s="54" t="s">
        <v>150</v>
      </c>
      <c r="BF500" s="54" t="s">
        <v>150</v>
      </c>
    </row>
    <row r="501" spans="2:58" ht="15" customHeight="1" x14ac:dyDescent="0.45">
      <c r="B501" s="52" t="s">
        <v>159</v>
      </c>
      <c r="C501" s="54" t="s">
        <v>150</v>
      </c>
      <c r="D501" s="54" t="s">
        <v>150</v>
      </c>
      <c r="E501" s="54" t="s">
        <v>150</v>
      </c>
      <c r="F501" s="54" t="s">
        <v>150</v>
      </c>
      <c r="G501" s="54" t="s">
        <v>150</v>
      </c>
      <c r="H501" s="54" t="s">
        <v>150</v>
      </c>
      <c r="L501" s="52" t="s">
        <v>159</v>
      </c>
      <c r="M501" s="54" t="s">
        <v>150</v>
      </c>
      <c r="N501" s="54" t="s">
        <v>150</v>
      </c>
      <c r="O501" s="54" t="s">
        <v>150</v>
      </c>
      <c r="P501" s="54" t="s">
        <v>150</v>
      </c>
      <c r="Q501" s="54" t="s">
        <v>150</v>
      </c>
      <c r="R501" s="54" t="s">
        <v>150</v>
      </c>
      <c r="S501" s="55"/>
      <c r="T501" s="56"/>
      <c r="V501" s="52" t="s">
        <v>153</v>
      </c>
      <c r="W501" s="54" t="s">
        <v>150</v>
      </c>
      <c r="X501" s="54" t="s">
        <v>150</v>
      </c>
      <c r="Y501" s="54" t="s">
        <v>150</v>
      </c>
      <c r="Z501" s="54" t="s">
        <v>150</v>
      </c>
      <c r="AA501" s="54" t="s">
        <v>150</v>
      </c>
      <c r="AB501" s="54" t="s">
        <v>150</v>
      </c>
      <c r="AF501" s="52" t="str">
        <f t="shared" si="355"/>
        <v>FICO 640-659</v>
      </c>
      <c r="AG501" s="54" t="s">
        <v>150</v>
      </c>
      <c r="AH501" s="54" t="s">
        <v>150</v>
      </c>
      <c r="AI501" s="54" t="s">
        <v>150</v>
      </c>
      <c r="AJ501" s="54" t="s">
        <v>150</v>
      </c>
      <c r="AK501" s="54" t="s">
        <v>150</v>
      </c>
      <c r="AL501" s="54" t="s">
        <v>150</v>
      </c>
      <c r="AM501" s="55"/>
      <c r="AN501" s="56"/>
      <c r="AP501" s="52" t="str">
        <f t="shared" si="356"/>
        <v>FICO 640-679</v>
      </c>
      <c r="AQ501" s="54" t="s">
        <v>150</v>
      </c>
      <c r="AR501" s="54" t="s">
        <v>150</v>
      </c>
      <c r="AS501" s="54" t="s">
        <v>150</v>
      </c>
      <c r="AT501" s="54" t="s">
        <v>150</v>
      </c>
      <c r="AU501" s="54" t="s">
        <v>150</v>
      </c>
      <c r="AV501" s="54" t="s">
        <v>150</v>
      </c>
      <c r="AZ501" s="52" t="str">
        <f t="shared" si="357"/>
        <v>FICO 640-679</v>
      </c>
      <c r="BA501" s="54" t="s">
        <v>150</v>
      </c>
      <c r="BB501" s="54" t="s">
        <v>150</v>
      </c>
      <c r="BC501" s="54" t="s">
        <v>150</v>
      </c>
      <c r="BD501" s="54" t="s">
        <v>150</v>
      </c>
      <c r="BE501" s="54" t="s">
        <v>150</v>
      </c>
      <c r="BF501" s="54" t="s">
        <v>150</v>
      </c>
    </row>
    <row r="503" spans="2:58" ht="33" customHeight="1" x14ac:dyDescent="0.45">
      <c r="B503" s="99" t="s">
        <v>133</v>
      </c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31"/>
      <c r="T503" s="32"/>
      <c r="V503" s="99" t="s">
        <v>134</v>
      </c>
      <c r="W503" s="99"/>
      <c r="X503" s="99"/>
      <c r="Y503" s="99"/>
      <c r="Z503" s="99"/>
      <c r="AA503" s="99"/>
      <c r="AB503" s="99"/>
      <c r="AC503" s="99"/>
      <c r="AD503" s="99"/>
      <c r="AE503" s="99"/>
      <c r="AF503" s="99"/>
      <c r="AG503" s="99"/>
      <c r="AH503" s="99"/>
      <c r="AI503" s="99"/>
      <c r="AJ503" s="99"/>
      <c r="AK503" s="99"/>
      <c r="AL503" s="99"/>
      <c r="AM503" s="31"/>
      <c r="AN503" s="32"/>
      <c r="AP503" s="99" t="s">
        <v>135</v>
      </c>
      <c r="AQ503" s="99"/>
      <c r="AR503" s="99"/>
      <c r="AS503" s="99"/>
      <c r="AT503" s="99"/>
      <c r="AU503" s="99"/>
      <c r="AV503" s="99"/>
      <c r="AW503" s="99"/>
      <c r="AX503" s="99"/>
      <c r="AY503" s="99"/>
      <c r="AZ503" s="99"/>
      <c r="BA503" s="99"/>
      <c r="BB503" s="99"/>
      <c r="BC503" s="99"/>
      <c r="BD503" s="99"/>
      <c r="BE503" s="99"/>
      <c r="BF503" s="99"/>
    </row>
    <row r="504" spans="2:58" ht="18" customHeight="1" x14ac:dyDescent="0.45">
      <c r="B504" s="97" t="s">
        <v>165</v>
      </c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33"/>
      <c r="T504" s="34"/>
      <c r="V504" s="97" t="s">
        <v>165</v>
      </c>
      <c r="W504" s="97"/>
      <c r="X504" s="97"/>
      <c r="Y504" s="97"/>
      <c r="Z504" s="97"/>
      <c r="AA504" s="97"/>
      <c r="AB504" s="97"/>
      <c r="AC504" s="97"/>
      <c r="AD504" s="97"/>
      <c r="AE504" s="97"/>
      <c r="AF504" s="97"/>
      <c r="AG504" s="97"/>
      <c r="AH504" s="97"/>
      <c r="AI504" s="97"/>
      <c r="AJ504" s="97"/>
      <c r="AK504" s="97"/>
      <c r="AL504" s="97"/>
      <c r="AM504" s="33"/>
      <c r="AN504" s="34"/>
      <c r="AP504" s="97" t="s">
        <v>165</v>
      </c>
      <c r="AQ504" s="97"/>
      <c r="AR504" s="97"/>
      <c r="AS504" s="97"/>
      <c r="AT504" s="97"/>
      <c r="AU504" s="97"/>
      <c r="AV504" s="97"/>
      <c r="AW504" s="97"/>
      <c r="AX504" s="97"/>
      <c r="AY504" s="97"/>
      <c r="AZ504" s="97"/>
      <c r="BA504" s="97"/>
      <c r="BB504" s="97"/>
      <c r="BC504" s="97"/>
      <c r="BD504" s="97"/>
      <c r="BE504" s="97"/>
      <c r="BF504" s="97"/>
    </row>
    <row r="505" spans="2:58" ht="18" customHeight="1" x14ac:dyDescent="0.45">
      <c r="B505" s="98" t="s">
        <v>137</v>
      </c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33"/>
      <c r="T505" s="34"/>
      <c r="V505" s="98" t="s">
        <v>138</v>
      </c>
      <c r="W505" s="98"/>
      <c r="X505" s="98"/>
      <c r="Y505" s="98"/>
      <c r="Z505" s="98"/>
      <c r="AA505" s="98"/>
      <c r="AB505" s="98"/>
      <c r="AC505" s="98"/>
      <c r="AD505" s="98"/>
      <c r="AE505" s="98"/>
      <c r="AF505" s="98"/>
      <c r="AG505" s="98"/>
      <c r="AH505" s="98"/>
      <c r="AI505" s="98"/>
      <c r="AJ505" s="98"/>
      <c r="AK505" s="98"/>
      <c r="AL505" s="98"/>
      <c r="AM505" s="33"/>
      <c r="AN505" s="34"/>
      <c r="AP505" s="98" t="s">
        <v>139</v>
      </c>
      <c r="AQ505" s="98"/>
      <c r="AR505" s="98"/>
      <c r="AS505" s="98"/>
      <c r="AT505" s="98"/>
      <c r="AU505" s="98"/>
      <c r="AV505" s="98"/>
      <c r="AW505" s="98"/>
      <c r="AX505" s="98"/>
      <c r="AY505" s="98"/>
      <c r="AZ505" s="98"/>
      <c r="BA505" s="98"/>
      <c r="BB505" s="98"/>
      <c r="BC505" s="98"/>
      <c r="BD505" s="98"/>
      <c r="BE505" s="98"/>
      <c r="BF505" s="98"/>
    </row>
    <row r="507" spans="2:58" ht="15" customHeight="1" x14ac:dyDescent="0.45">
      <c r="B507" s="96" t="s">
        <v>140</v>
      </c>
      <c r="C507" s="96"/>
      <c r="D507" s="96"/>
      <c r="E507" s="96"/>
      <c r="F507" s="96"/>
      <c r="G507" s="96"/>
      <c r="H507" s="96"/>
      <c r="L507" s="96" t="s">
        <v>141</v>
      </c>
      <c r="M507" s="96"/>
      <c r="N507" s="96"/>
      <c r="O507" s="96"/>
      <c r="P507" s="96"/>
      <c r="Q507" s="96"/>
      <c r="R507" s="96"/>
      <c r="S507" s="35"/>
      <c r="T507" s="36"/>
      <c r="V507" s="96" t="s">
        <v>140</v>
      </c>
      <c r="W507" s="96"/>
      <c r="X507" s="96"/>
      <c r="Y507" s="96"/>
      <c r="Z507" s="96"/>
      <c r="AA507" s="96"/>
      <c r="AB507" s="96"/>
      <c r="AF507" s="96" t="s">
        <v>141</v>
      </c>
      <c r="AG507" s="96"/>
      <c r="AH507" s="96"/>
      <c r="AI507" s="96"/>
      <c r="AJ507" s="96"/>
      <c r="AK507" s="96"/>
      <c r="AL507" s="96"/>
      <c r="AM507" s="35"/>
      <c r="AN507" s="36"/>
      <c r="AP507" s="96" t="s">
        <v>140</v>
      </c>
      <c r="AQ507" s="96"/>
      <c r="AR507" s="96"/>
      <c r="AS507" s="96"/>
      <c r="AT507" s="96"/>
      <c r="AU507" s="96"/>
      <c r="AV507" s="96"/>
      <c r="AZ507" s="96" t="s">
        <v>141</v>
      </c>
      <c r="BA507" s="96"/>
      <c r="BB507" s="96"/>
      <c r="BC507" s="96"/>
      <c r="BD507" s="96"/>
      <c r="BE507" s="96"/>
      <c r="BF507" s="96"/>
    </row>
    <row r="508" spans="2:58" s="37" customFormat="1" ht="15.75" customHeight="1" x14ac:dyDescent="0.45">
      <c r="B508" s="94" t="s">
        <v>142</v>
      </c>
      <c r="C508" s="94"/>
      <c r="D508" s="94"/>
      <c r="E508" s="94"/>
      <c r="F508" s="94"/>
      <c r="G508" s="94"/>
      <c r="H508" s="94"/>
      <c r="J508" s="38"/>
      <c r="L508" s="94" t="s">
        <v>170</v>
      </c>
      <c r="M508" s="94"/>
      <c r="N508" s="94"/>
      <c r="O508" s="94"/>
      <c r="P508" s="94"/>
      <c r="Q508" s="94"/>
      <c r="R508" s="94"/>
      <c r="S508" s="39"/>
      <c r="T508" s="40"/>
      <c r="U508" s="41"/>
      <c r="V508" s="94" t="s">
        <v>170</v>
      </c>
      <c r="W508" s="94"/>
      <c r="X508" s="94"/>
      <c r="Y508" s="94"/>
      <c r="Z508" s="94"/>
      <c r="AA508" s="94"/>
      <c r="AB508" s="94"/>
      <c r="AD508" s="38"/>
      <c r="AF508" s="94" t="s">
        <v>170</v>
      </c>
      <c r="AG508" s="94"/>
      <c r="AH508" s="94"/>
      <c r="AI508" s="94"/>
      <c r="AJ508" s="94"/>
      <c r="AK508" s="94"/>
      <c r="AL508" s="94"/>
      <c r="AM508" s="39"/>
      <c r="AN508" s="40"/>
      <c r="AO508" s="41"/>
      <c r="AP508" s="94" t="s">
        <v>170</v>
      </c>
      <c r="AQ508" s="94"/>
      <c r="AR508" s="94"/>
      <c r="AS508" s="94"/>
      <c r="AT508" s="94"/>
      <c r="AU508" s="94"/>
      <c r="AV508" s="94"/>
      <c r="AX508" s="38"/>
      <c r="AZ508" s="94" t="s">
        <v>170</v>
      </c>
      <c r="BA508" s="94"/>
      <c r="BB508" s="94"/>
      <c r="BC508" s="94"/>
      <c r="BD508" s="94"/>
      <c r="BE508" s="94"/>
      <c r="BF508" s="94"/>
    </row>
    <row r="509" spans="2:58" s="37" customFormat="1" ht="12.75" customHeight="1" x14ac:dyDescent="0.45">
      <c r="B509" s="42"/>
      <c r="C509" s="95" t="s">
        <v>50</v>
      </c>
      <c r="D509" s="95"/>
      <c r="E509" s="95"/>
      <c r="F509" s="95"/>
      <c r="G509" s="95"/>
      <c r="H509" s="95"/>
      <c r="J509" s="38"/>
      <c r="L509" s="42"/>
      <c r="M509" s="95" t="s">
        <v>50</v>
      </c>
      <c r="N509" s="95"/>
      <c r="O509" s="95"/>
      <c r="P509" s="95"/>
      <c r="Q509" s="95"/>
      <c r="R509" s="95"/>
      <c r="S509" s="41"/>
      <c r="T509" s="43"/>
      <c r="U509" s="41"/>
      <c r="V509" s="42"/>
      <c r="W509" s="95" t="str">
        <f>C509</f>
        <v>LTC</v>
      </c>
      <c r="X509" s="95"/>
      <c r="Y509" s="95"/>
      <c r="Z509" s="95"/>
      <c r="AA509" s="95"/>
      <c r="AB509" s="95"/>
      <c r="AD509" s="38"/>
      <c r="AF509" s="42"/>
      <c r="AG509" s="95" t="str">
        <f>W509</f>
        <v>LTC</v>
      </c>
      <c r="AH509" s="95"/>
      <c r="AI509" s="95"/>
      <c r="AJ509" s="95"/>
      <c r="AK509" s="95"/>
      <c r="AL509" s="95"/>
      <c r="AM509" s="41"/>
      <c r="AN509" s="43"/>
      <c r="AO509" s="41"/>
      <c r="AP509" s="42"/>
      <c r="AQ509" s="95" t="str">
        <f>C509</f>
        <v>LTC</v>
      </c>
      <c r="AR509" s="95"/>
      <c r="AS509" s="95"/>
      <c r="AT509" s="95"/>
      <c r="AU509" s="95"/>
      <c r="AV509" s="95"/>
      <c r="AX509" s="38"/>
      <c r="AZ509" s="42"/>
      <c r="BA509" s="95" t="str">
        <f>C509</f>
        <v>LTC</v>
      </c>
      <c r="BB509" s="95"/>
      <c r="BC509" s="95"/>
      <c r="BD509" s="95"/>
      <c r="BE509" s="95"/>
      <c r="BF509" s="95"/>
    </row>
    <row r="510" spans="2:58" s="37" customFormat="1" ht="12.75" customHeight="1" x14ac:dyDescent="0.45">
      <c r="B510" s="44" t="s">
        <v>52</v>
      </c>
      <c r="C510" s="45" t="s">
        <v>143</v>
      </c>
      <c r="D510" s="45" t="s">
        <v>144</v>
      </c>
      <c r="E510" s="45" t="s">
        <v>145</v>
      </c>
      <c r="F510" s="45" t="s">
        <v>146</v>
      </c>
      <c r="G510" s="45" t="s">
        <v>147</v>
      </c>
      <c r="H510" s="45" t="s">
        <v>148</v>
      </c>
      <c r="J510" s="38"/>
      <c r="L510" s="44" t="s">
        <v>52</v>
      </c>
      <c r="M510" s="45" t="s">
        <v>143</v>
      </c>
      <c r="N510" s="45" t="s">
        <v>144</v>
      </c>
      <c r="O510" s="45" t="s">
        <v>145</v>
      </c>
      <c r="P510" s="45" t="s">
        <v>146</v>
      </c>
      <c r="Q510" s="45" t="s">
        <v>147</v>
      </c>
      <c r="R510" s="45" t="s">
        <v>148</v>
      </c>
      <c r="S510" s="41"/>
      <c r="T510" s="43"/>
      <c r="U510" s="41"/>
      <c r="V510" s="44" t="str">
        <f t="shared" ref="V510:V522" si="358">B510</f>
        <v>AR-LTV</v>
      </c>
      <c r="W510" s="45" t="str">
        <f>C510</f>
        <v>&lt;74.99%</v>
      </c>
      <c r="X510" s="45" t="str">
        <f>D510</f>
        <v>75.00%-80.00%</v>
      </c>
      <c r="Y510" s="45" t="str">
        <f>E510</f>
        <v>80.01%-85.00%</v>
      </c>
      <c r="Z510" s="45" t="str">
        <f>F510</f>
        <v>85.01%-87.50%</v>
      </c>
      <c r="AA510" s="45" t="str">
        <f>G510</f>
        <v>87.51%-89.99%</v>
      </c>
      <c r="AB510" s="45" t="str">
        <f>H510</f>
        <v>90.00%-92.50%</v>
      </c>
      <c r="AD510" s="38"/>
      <c r="AF510" s="44" t="str">
        <f t="shared" ref="AF510:AF522" si="359">V510</f>
        <v>AR-LTV</v>
      </c>
      <c r="AG510" s="45" t="str">
        <f>W510</f>
        <v>&lt;74.99%</v>
      </c>
      <c r="AH510" s="45" t="str">
        <f>X510</f>
        <v>75.00%-80.00%</v>
      </c>
      <c r="AI510" s="45" t="str">
        <f>Y510</f>
        <v>80.01%-85.00%</v>
      </c>
      <c r="AJ510" s="45" t="str">
        <f>Z510</f>
        <v>85.01%-87.50%</v>
      </c>
      <c r="AK510" s="45" t="str">
        <f>AA510</f>
        <v>87.51%-89.99%</v>
      </c>
      <c r="AL510" s="45" t="str">
        <f>AB510</f>
        <v>90.00%-92.50%</v>
      </c>
      <c r="AM510" s="41"/>
      <c r="AN510" s="43"/>
      <c r="AO510" s="41"/>
      <c r="AP510" s="44" t="str">
        <f t="shared" ref="AP510:AP522" si="360">B510</f>
        <v>AR-LTV</v>
      </c>
      <c r="AQ510" s="45" t="str">
        <f>C510</f>
        <v>&lt;74.99%</v>
      </c>
      <c r="AR510" s="45" t="str">
        <f>D510</f>
        <v>75.00%-80.00%</v>
      </c>
      <c r="AS510" s="45" t="str">
        <f>E510</f>
        <v>80.01%-85.00%</v>
      </c>
      <c r="AT510" s="45" t="str">
        <f>F510</f>
        <v>85.01%-87.50%</v>
      </c>
      <c r="AU510" s="45" t="str">
        <f>G510</f>
        <v>87.51%-89.99%</v>
      </c>
      <c r="AV510" s="45" t="str">
        <f>H510</f>
        <v>90.00%-92.50%</v>
      </c>
      <c r="AX510" s="38"/>
      <c r="AZ510" s="44" t="str">
        <f t="shared" ref="AZ510:AZ522" si="361">B510</f>
        <v>AR-LTV</v>
      </c>
      <c r="BA510" s="45" t="str">
        <f>C510</f>
        <v>&lt;74.99%</v>
      </c>
      <c r="BB510" s="45" t="str">
        <f>D510</f>
        <v>75.00%-80.00%</v>
      </c>
      <c r="BC510" s="45" t="str">
        <f>E510</f>
        <v>80.01%-85.00%</v>
      </c>
      <c r="BD510" s="45" t="str">
        <f>F510</f>
        <v>85.01%-87.50%</v>
      </c>
      <c r="BE510" s="45" t="str">
        <f>G510</f>
        <v>87.51%-89.99%</v>
      </c>
      <c r="BF510" s="45" t="str">
        <f>H510</f>
        <v>90.00%-92.50%</v>
      </c>
    </row>
    <row r="511" spans="2:58" s="37" customFormat="1" ht="12.75" customHeight="1" x14ac:dyDescent="0.45">
      <c r="B511" s="46" t="s">
        <v>149</v>
      </c>
      <c r="C511" s="49" t="s">
        <v>150</v>
      </c>
      <c r="D511" s="49" t="s">
        <v>150</v>
      </c>
      <c r="E511" s="49" t="s">
        <v>150</v>
      </c>
      <c r="F511" s="49" t="s">
        <v>150</v>
      </c>
      <c r="G511" s="49" t="s">
        <v>150</v>
      </c>
      <c r="H511" s="49" t="s">
        <v>150</v>
      </c>
      <c r="J511" s="38"/>
      <c r="L511" s="46" t="s">
        <v>149</v>
      </c>
      <c r="M511" s="49" t="s">
        <v>150</v>
      </c>
      <c r="N511" s="49" t="s">
        <v>150</v>
      </c>
      <c r="O511" s="49" t="s">
        <v>150</v>
      </c>
      <c r="P511" s="49" t="s">
        <v>150</v>
      </c>
      <c r="Q511" s="49" t="s">
        <v>150</v>
      </c>
      <c r="R511" s="49" t="s">
        <v>150</v>
      </c>
      <c r="S511" s="50"/>
      <c r="T511" s="51"/>
      <c r="U511" s="41"/>
      <c r="V511" s="46" t="str">
        <f t="shared" si="358"/>
        <v>70.01%-75.00%</v>
      </c>
      <c r="W511" s="49" t="s">
        <v>150</v>
      </c>
      <c r="X511" s="49" t="s">
        <v>150</v>
      </c>
      <c r="Y511" s="49" t="s">
        <v>150</v>
      </c>
      <c r="Z511" s="49" t="s">
        <v>150</v>
      </c>
      <c r="AA511" s="49" t="s">
        <v>150</v>
      </c>
      <c r="AB511" s="49" t="s">
        <v>150</v>
      </c>
      <c r="AD511" s="38"/>
      <c r="AF511" s="46" t="str">
        <f t="shared" si="359"/>
        <v>70.01%-75.00%</v>
      </c>
      <c r="AG511" s="49" t="s">
        <v>150</v>
      </c>
      <c r="AH511" s="49" t="s">
        <v>150</v>
      </c>
      <c r="AI511" s="49" t="s">
        <v>150</v>
      </c>
      <c r="AJ511" s="49" t="s">
        <v>150</v>
      </c>
      <c r="AK511" s="49" t="s">
        <v>150</v>
      </c>
      <c r="AL511" s="49" t="s">
        <v>150</v>
      </c>
      <c r="AM511" s="50"/>
      <c r="AN511" s="51"/>
      <c r="AO511" s="41"/>
      <c r="AP511" s="46" t="str">
        <f t="shared" si="360"/>
        <v>70.01%-75.00%</v>
      </c>
      <c r="AQ511" s="49" t="s">
        <v>150</v>
      </c>
      <c r="AR511" s="49" t="s">
        <v>150</v>
      </c>
      <c r="AS511" s="49" t="s">
        <v>150</v>
      </c>
      <c r="AT511" s="49" t="s">
        <v>150</v>
      </c>
      <c r="AU511" s="49" t="s">
        <v>150</v>
      </c>
      <c r="AV511" s="49" t="s">
        <v>150</v>
      </c>
      <c r="AX511" s="38"/>
      <c r="AZ511" s="46" t="str">
        <f t="shared" si="361"/>
        <v>70.01%-75.00%</v>
      </c>
      <c r="BA511" s="49" t="s">
        <v>150</v>
      </c>
      <c r="BB511" s="49" t="s">
        <v>150</v>
      </c>
      <c r="BC511" s="49" t="s">
        <v>150</v>
      </c>
      <c r="BD511" s="49" t="s">
        <v>150</v>
      </c>
      <c r="BE511" s="49" t="s">
        <v>150</v>
      </c>
      <c r="BF511" s="49" t="s">
        <v>150</v>
      </c>
    </row>
    <row r="512" spans="2:58" s="37" customFormat="1" ht="12.75" customHeight="1" x14ac:dyDescent="0.45">
      <c r="B512" s="52" t="s">
        <v>151</v>
      </c>
      <c r="C512" s="54" t="s">
        <v>150</v>
      </c>
      <c r="D512" s="54" t="s">
        <v>150</v>
      </c>
      <c r="E512" s="54" t="s">
        <v>150</v>
      </c>
      <c r="F512" s="54" t="s">
        <v>150</v>
      </c>
      <c r="G512" s="54" t="s">
        <v>150</v>
      </c>
      <c r="H512" s="54" t="s">
        <v>150</v>
      </c>
      <c r="J512" s="38"/>
      <c r="L512" s="52" t="s">
        <v>151</v>
      </c>
      <c r="M512" s="54" t="s">
        <v>150</v>
      </c>
      <c r="N512" s="54" t="s">
        <v>150</v>
      </c>
      <c r="O512" s="54" t="s">
        <v>150</v>
      </c>
      <c r="P512" s="54" t="s">
        <v>150</v>
      </c>
      <c r="Q512" s="54" t="s">
        <v>150</v>
      </c>
      <c r="R512" s="54" t="s">
        <v>150</v>
      </c>
      <c r="S512" s="55"/>
      <c r="T512" s="56"/>
      <c r="U512" s="41"/>
      <c r="V512" s="52" t="str">
        <f t="shared" si="358"/>
        <v>FICO 700+</v>
      </c>
      <c r="W512" s="54" t="s">
        <v>150</v>
      </c>
      <c r="X512" s="54" t="s">
        <v>150</v>
      </c>
      <c r="Y512" s="54" t="s">
        <v>150</v>
      </c>
      <c r="Z512" s="54" t="s">
        <v>150</v>
      </c>
      <c r="AA512" s="54" t="s">
        <v>150</v>
      </c>
      <c r="AB512" s="54" t="s">
        <v>150</v>
      </c>
      <c r="AD512" s="38"/>
      <c r="AF512" s="52" t="str">
        <f t="shared" si="359"/>
        <v>FICO 700+</v>
      </c>
      <c r="AG512" s="54" t="s">
        <v>150</v>
      </c>
      <c r="AH512" s="54" t="s">
        <v>150</v>
      </c>
      <c r="AI512" s="54" t="s">
        <v>150</v>
      </c>
      <c r="AJ512" s="54" t="s">
        <v>150</v>
      </c>
      <c r="AK512" s="54" t="s">
        <v>150</v>
      </c>
      <c r="AL512" s="54" t="s">
        <v>150</v>
      </c>
      <c r="AM512" s="55"/>
      <c r="AN512" s="56"/>
      <c r="AO512" s="41"/>
      <c r="AP512" s="52" t="str">
        <f t="shared" si="360"/>
        <v>FICO 700+</v>
      </c>
      <c r="AQ512" s="54" t="s">
        <v>150</v>
      </c>
      <c r="AR512" s="54" t="s">
        <v>150</v>
      </c>
      <c r="AS512" s="54" t="s">
        <v>150</v>
      </c>
      <c r="AT512" s="54" t="s">
        <v>150</v>
      </c>
      <c r="AU512" s="54" t="s">
        <v>150</v>
      </c>
      <c r="AV512" s="54" t="s">
        <v>150</v>
      </c>
      <c r="AX512" s="38"/>
      <c r="AZ512" s="52" t="str">
        <f t="shared" si="361"/>
        <v>FICO 700+</v>
      </c>
      <c r="BA512" s="54" t="s">
        <v>150</v>
      </c>
      <c r="BB512" s="54" t="s">
        <v>150</v>
      </c>
      <c r="BC512" s="54" t="s">
        <v>150</v>
      </c>
      <c r="BD512" s="54" t="s">
        <v>150</v>
      </c>
      <c r="BE512" s="54" t="s">
        <v>150</v>
      </c>
      <c r="BF512" s="54" t="s">
        <v>150</v>
      </c>
    </row>
    <row r="513" spans="2:58" s="37" customFormat="1" ht="12.75" customHeight="1" x14ac:dyDescent="0.45">
      <c r="B513" s="52" t="s">
        <v>152</v>
      </c>
      <c r="C513" s="54" t="s">
        <v>150</v>
      </c>
      <c r="D513" s="54" t="s">
        <v>150</v>
      </c>
      <c r="E513" s="54" t="s">
        <v>150</v>
      </c>
      <c r="F513" s="54" t="s">
        <v>150</v>
      </c>
      <c r="G513" s="54" t="s">
        <v>150</v>
      </c>
      <c r="H513" s="54" t="s">
        <v>150</v>
      </c>
      <c r="J513" s="38"/>
      <c r="L513" s="52" t="s">
        <v>152</v>
      </c>
      <c r="M513" s="54" t="s">
        <v>150</v>
      </c>
      <c r="N513" s="54" t="s">
        <v>150</v>
      </c>
      <c r="O513" s="54" t="s">
        <v>150</v>
      </c>
      <c r="P513" s="54" t="s">
        <v>150</v>
      </c>
      <c r="Q513" s="54" t="s">
        <v>150</v>
      </c>
      <c r="R513" s="54" t="s">
        <v>150</v>
      </c>
      <c r="S513" s="55"/>
      <c r="T513" s="56"/>
      <c r="U513" s="41"/>
      <c r="V513" s="52" t="str">
        <f t="shared" si="358"/>
        <v>FICO 660-699</v>
      </c>
      <c r="W513" s="54" t="s">
        <v>150</v>
      </c>
      <c r="X513" s="54" t="s">
        <v>150</v>
      </c>
      <c r="Y513" s="54" t="s">
        <v>150</v>
      </c>
      <c r="Z513" s="54" t="s">
        <v>150</v>
      </c>
      <c r="AA513" s="54" t="s">
        <v>150</v>
      </c>
      <c r="AB513" s="54" t="s">
        <v>150</v>
      </c>
      <c r="AD513" s="38"/>
      <c r="AF513" s="52" t="str">
        <f t="shared" si="359"/>
        <v>FICO 660-699</v>
      </c>
      <c r="AG513" s="54" t="s">
        <v>150</v>
      </c>
      <c r="AH513" s="54" t="s">
        <v>150</v>
      </c>
      <c r="AI513" s="54" t="s">
        <v>150</v>
      </c>
      <c r="AJ513" s="54" t="s">
        <v>150</v>
      </c>
      <c r="AK513" s="54" t="s">
        <v>150</v>
      </c>
      <c r="AL513" s="54" t="s">
        <v>150</v>
      </c>
      <c r="AM513" s="55"/>
      <c r="AN513" s="56"/>
      <c r="AO513" s="41"/>
      <c r="AP513" s="52" t="str">
        <f t="shared" si="360"/>
        <v>FICO 660-699</v>
      </c>
      <c r="AQ513" s="54" t="s">
        <v>150</v>
      </c>
      <c r="AR513" s="54" t="s">
        <v>150</v>
      </c>
      <c r="AS513" s="54" t="s">
        <v>150</v>
      </c>
      <c r="AT513" s="54" t="s">
        <v>150</v>
      </c>
      <c r="AU513" s="54" t="s">
        <v>150</v>
      </c>
      <c r="AV513" s="54" t="s">
        <v>150</v>
      </c>
      <c r="AX513" s="38"/>
      <c r="AZ513" s="52" t="str">
        <f t="shared" si="361"/>
        <v>FICO 660-699</v>
      </c>
      <c r="BA513" s="54" t="s">
        <v>150</v>
      </c>
      <c r="BB513" s="54" t="s">
        <v>150</v>
      </c>
      <c r="BC513" s="54" t="s">
        <v>150</v>
      </c>
      <c r="BD513" s="54" t="s">
        <v>150</v>
      </c>
      <c r="BE513" s="54" t="s">
        <v>150</v>
      </c>
      <c r="BF513" s="54" t="s">
        <v>150</v>
      </c>
    </row>
    <row r="514" spans="2:58" s="37" customFormat="1" ht="12.75" customHeight="1" x14ac:dyDescent="0.45">
      <c r="B514" s="57" t="s">
        <v>153</v>
      </c>
      <c r="C514" s="59" t="s">
        <v>150</v>
      </c>
      <c r="D514" s="59" t="s">
        <v>150</v>
      </c>
      <c r="E514" s="59" t="s">
        <v>150</v>
      </c>
      <c r="F514" s="59" t="s">
        <v>150</v>
      </c>
      <c r="G514" s="59" t="s">
        <v>150</v>
      </c>
      <c r="H514" s="59" t="s">
        <v>150</v>
      </c>
      <c r="J514" s="38"/>
      <c r="L514" s="57" t="s">
        <v>153</v>
      </c>
      <c r="M514" s="59" t="s">
        <v>150</v>
      </c>
      <c r="N514" s="59" t="s">
        <v>150</v>
      </c>
      <c r="O514" s="59" t="s">
        <v>150</v>
      </c>
      <c r="P514" s="59" t="s">
        <v>150</v>
      </c>
      <c r="Q514" s="59" t="s">
        <v>150</v>
      </c>
      <c r="R514" s="59" t="s">
        <v>150</v>
      </c>
      <c r="S514" s="55"/>
      <c r="T514" s="56"/>
      <c r="U514" s="41"/>
      <c r="V514" s="57" t="str">
        <f t="shared" si="358"/>
        <v>FICO 640-659</v>
      </c>
      <c r="W514" s="59" t="s">
        <v>150</v>
      </c>
      <c r="X514" s="59" t="s">
        <v>150</v>
      </c>
      <c r="Y514" s="59" t="s">
        <v>150</v>
      </c>
      <c r="Z514" s="59" t="s">
        <v>150</v>
      </c>
      <c r="AA514" s="59" t="s">
        <v>150</v>
      </c>
      <c r="AB514" s="59" t="s">
        <v>150</v>
      </c>
      <c r="AD514" s="38"/>
      <c r="AF514" s="57" t="str">
        <f t="shared" si="359"/>
        <v>FICO 640-659</v>
      </c>
      <c r="AG514" s="59" t="s">
        <v>150</v>
      </c>
      <c r="AH514" s="59" t="s">
        <v>150</v>
      </c>
      <c r="AI514" s="59" t="s">
        <v>150</v>
      </c>
      <c r="AJ514" s="59" t="s">
        <v>150</v>
      </c>
      <c r="AK514" s="59" t="s">
        <v>150</v>
      </c>
      <c r="AL514" s="59" t="s">
        <v>150</v>
      </c>
      <c r="AM514" s="55"/>
      <c r="AN514" s="56"/>
      <c r="AO514" s="41"/>
      <c r="AP514" s="57" t="str">
        <f t="shared" si="360"/>
        <v>FICO 640-659</v>
      </c>
      <c r="AQ514" s="59" t="s">
        <v>150</v>
      </c>
      <c r="AR514" s="59" t="s">
        <v>150</v>
      </c>
      <c r="AS514" s="59" t="s">
        <v>150</v>
      </c>
      <c r="AT514" s="59" t="s">
        <v>150</v>
      </c>
      <c r="AU514" s="59" t="s">
        <v>150</v>
      </c>
      <c r="AV514" s="59" t="s">
        <v>150</v>
      </c>
      <c r="AX514" s="38"/>
      <c r="AZ514" s="57" t="str">
        <f t="shared" si="361"/>
        <v>FICO 640-659</v>
      </c>
      <c r="BA514" s="59" t="s">
        <v>150</v>
      </c>
      <c r="BB514" s="59" t="s">
        <v>150</v>
      </c>
      <c r="BC514" s="59" t="s">
        <v>150</v>
      </c>
      <c r="BD514" s="59" t="s">
        <v>150</v>
      </c>
      <c r="BE514" s="59" t="s">
        <v>150</v>
      </c>
      <c r="BF514" s="59" t="s">
        <v>150</v>
      </c>
    </row>
    <row r="515" spans="2:58" s="37" customFormat="1" ht="12.75" customHeight="1" x14ac:dyDescent="0.45">
      <c r="B515" s="60" t="s">
        <v>154</v>
      </c>
      <c r="C515" s="64" t="s">
        <v>150</v>
      </c>
      <c r="D515" s="64" t="s">
        <v>150</v>
      </c>
      <c r="E515" s="64" t="s">
        <v>150</v>
      </c>
      <c r="F515" s="64" t="s">
        <v>150</v>
      </c>
      <c r="G515" s="64" t="s">
        <v>150</v>
      </c>
      <c r="H515" s="64" t="s">
        <v>150</v>
      </c>
      <c r="J515" s="38"/>
      <c r="L515" s="60" t="s">
        <v>154</v>
      </c>
      <c r="M515" s="64" t="s">
        <v>150</v>
      </c>
      <c r="N515" s="64" t="s">
        <v>150</v>
      </c>
      <c r="O515" s="64" t="s">
        <v>150</v>
      </c>
      <c r="P515" s="64" t="s">
        <v>150</v>
      </c>
      <c r="Q515" s="64" t="s">
        <v>150</v>
      </c>
      <c r="R515" s="64" t="s">
        <v>150</v>
      </c>
      <c r="S515" s="50"/>
      <c r="T515" s="51"/>
      <c r="U515" s="41"/>
      <c r="V515" s="60" t="str">
        <f t="shared" si="358"/>
        <v>65.00%-70.00%</v>
      </c>
      <c r="W515" s="64" t="s">
        <v>150</v>
      </c>
      <c r="X515" s="64" t="s">
        <v>150</v>
      </c>
      <c r="Y515" s="64" t="s">
        <v>150</v>
      </c>
      <c r="Z515" s="64" t="s">
        <v>150</v>
      </c>
      <c r="AA515" s="64" t="s">
        <v>150</v>
      </c>
      <c r="AB515" s="64" t="s">
        <v>150</v>
      </c>
      <c r="AD515" s="38"/>
      <c r="AF515" s="60" t="str">
        <f t="shared" si="359"/>
        <v>65.00%-70.00%</v>
      </c>
      <c r="AG515" s="64" t="s">
        <v>150</v>
      </c>
      <c r="AH515" s="64" t="s">
        <v>150</v>
      </c>
      <c r="AI515" s="64" t="s">
        <v>150</v>
      </c>
      <c r="AJ515" s="64" t="s">
        <v>150</v>
      </c>
      <c r="AK515" s="64" t="s">
        <v>150</v>
      </c>
      <c r="AL515" s="64" t="s">
        <v>150</v>
      </c>
      <c r="AM515" s="50"/>
      <c r="AN515" s="51"/>
      <c r="AO515" s="41"/>
      <c r="AP515" s="60" t="str">
        <f t="shared" si="360"/>
        <v>65.00%-70.00%</v>
      </c>
      <c r="AQ515" s="64" t="s">
        <v>150</v>
      </c>
      <c r="AR515" s="64" t="s">
        <v>150</v>
      </c>
      <c r="AS515" s="64" t="s">
        <v>150</v>
      </c>
      <c r="AT515" s="64" t="s">
        <v>150</v>
      </c>
      <c r="AU515" s="64" t="s">
        <v>150</v>
      </c>
      <c r="AV515" s="64" t="s">
        <v>150</v>
      </c>
      <c r="AX515" s="38"/>
      <c r="AZ515" s="60" t="str">
        <f t="shared" si="361"/>
        <v>65.00%-70.00%</v>
      </c>
      <c r="BA515" s="49" t="s">
        <v>150</v>
      </c>
      <c r="BB515" s="49" t="s">
        <v>150</v>
      </c>
      <c r="BC515" s="49" t="s">
        <v>150</v>
      </c>
      <c r="BD515" s="49" t="s">
        <v>150</v>
      </c>
      <c r="BE515" s="49" t="s">
        <v>150</v>
      </c>
      <c r="BF515" s="49" t="s">
        <v>150</v>
      </c>
    </row>
    <row r="516" spans="2:58" s="37" customFormat="1" ht="12.75" customHeight="1" x14ac:dyDescent="0.45">
      <c r="B516" s="52" t="s">
        <v>151</v>
      </c>
      <c r="C516" s="54" t="s">
        <v>150</v>
      </c>
      <c r="D516" s="54" t="s">
        <v>150</v>
      </c>
      <c r="E516" s="54" t="s">
        <v>150</v>
      </c>
      <c r="F516" s="54" t="s">
        <v>150</v>
      </c>
      <c r="G516" s="54" t="s">
        <v>150</v>
      </c>
      <c r="H516" s="54" t="s">
        <v>150</v>
      </c>
      <c r="J516" s="38"/>
      <c r="L516" s="52" t="s">
        <v>151</v>
      </c>
      <c r="M516" s="54" t="s">
        <v>150</v>
      </c>
      <c r="N516" s="54" t="s">
        <v>150</v>
      </c>
      <c r="O516" s="54" t="s">
        <v>150</v>
      </c>
      <c r="P516" s="54" t="s">
        <v>150</v>
      </c>
      <c r="Q516" s="54" t="s">
        <v>150</v>
      </c>
      <c r="R516" s="54" t="s">
        <v>150</v>
      </c>
      <c r="S516" s="55"/>
      <c r="T516" s="56"/>
      <c r="U516" s="41"/>
      <c r="V516" s="52" t="str">
        <f t="shared" si="358"/>
        <v>FICO 700+</v>
      </c>
      <c r="W516" s="54" t="s">
        <v>150</v>
      </c>
      <c r="X516" s="54" t="s">
        <v>150</v>
      </c>
      <c r="Y516" s="54" t="s">
        <v>150</v>
      </c>
      <c r="Z516" s="54" t="s">
        <v>150</v>
      </c>
      <c r="AA516" s="54" t="s">
        <v>150</v>
      </c>
      <c r="AB516" s="54" t="s">
        <v>150</v>
      </c>
      <c r="AD516" s="38"/>
      <c r="AF516" s="52" t="str">
        <f t="shared" si="359"/>
        <v>FICO 700+</v>
      </c>
      <c r="AG516" s="54" t="s">
        <v>150</v>
      </c>
      <c r="AH516" s="54" t="s">
        <v>150</v>
      </c>
      <c r="AI516" s="54" t="s">
        <v>150</v>
      </c>
      <c r="AJ516" s="54" t="s">
        <v>150</v>
      </c>
      <c r="AK516" s="54" t="s">
        <v>150</v>
      </c>
      <c r="AL516" s="54" t="s">
        <v>150</v>
      </c>
      <c r="AM516" s="55"/>
      <c r="AN516" s="56"/>
      <c r="AO516" s="41"/>
      <c r="AP516" s="52" t="str">
        <f t="shared" si="360"/>
        <v>FICO 700+</v>
      </c>
      <c r="AQ516" s="54" t="s">
        <v>150</v>
      </c>
      <c r="AR516" s="54" t="s">
        <v>150</v>
      </c>
      <c r="AS516" s="54" t="s">
        <v>150</v>
      </c>
      <c r="AT516" s="54" t="s">
        <v>150</v>
      </c>
      <c r="AU516" s="54" t="s">
        <v>150</v>
      </c>
      <c r="AV516" s="54" t="s">
        <v>150</v>
      </c>
      <c r="AX516" s="38"/>
      <c r="AZ516" s="52" t="str">
        <f t="shared" si="361"/>
        <v>FICO 700+</v>
      </c>
      <c r="BA516" s="54" t="s">
        <v>150</v>
      </c>
      <c r="BB516" s="54" t="s">
        <v>150</v>
      </c>
      <c r="BC516" s="54" t="s">
        <v>150</v>
      </c>
      <c r="BD516" s="54" t="s">
        <v>150</v>
      </c>
      <c r="BE516" s="54" t="s">
        <v>150</v>
      </c>
      <c r="BF516" s="54" t="s">
        <v>150</v>
      </c>
    </row>
    <row r="517" spans="2:58" s="37" customFormat="1" ht="12.75" customHeight="1" x14ac:dyDescent="0.45">
      <c r="B517" s="52" t="s">
        <v>152</v>
      </c>
      <c r="C517" s="54" t="s">
        <v>150</v>
      </c>
      <c r="D517" s="54" t="s">
        <v>150</v>
      </c>
      <c r="E517" s="54" t="s">
        <v>150</v>
      </c>
      <c r="F517" s="54" t="s">
        <v>150</v>
      </c>
      <c r="G517" s="54" t="s">
        <v>150</v>
      </c>
      <c r="H517" s="54" t="s">
        <v>150</v>
      </c>
      <c r="J517" s="38"/>
      <c r="L517" s="52" t="s">
        <v>152</v>
      </c>
      <c r="M517" s="54" t="s">
        <v>150</v>
      </c>
      <c r="N517" s="54" t="s">
        <v>150</v>
      </c>
      <c r="O517" s="54" t="s">
        <v>150</v>
      </c>
      <c r="P517" s="54" t="s">
        <v>150</v>
      </c>
      <c r="Q517" s="54" t="s">
        <v>150</v>
      </c>
      <c r="R517" s="54" t="s">
        <v>150</v>
      </c>
      <c r="S517" s="55"/>
      <c r="T517" s="56"/>
      <c r="U517" s="41"/>
      <c r="V517" s="52" t="str">
        <f t="shared" si="358"/>
        <v>FICO 660-699</v>
      </c>
      <c r="W517" s="54" t="s">
        <v>150</v>
      </c>
      <c r="X517" s="54" t="s">
        <v>150</v>
      </c>
      <c r="Y517" s="54" t="s">
        <v>150</v>
      </c>
      <c r="Z517" s="54" t="s">
        <v>150</v>
      </c>
      <c r="AA517" s="54" t="s">
        <v>150</v>
      </c>
      <c r="AB517" s="54" t="s">
        <v>150</v>
      </c>
      <c r="AD517" s="38"/>
      <c r="AF517" s="52" t="str">
        <f t="shared" si="359"/>
        <v>FICO 660-699</v>
      </c>
      <c r="AG517" s="54" t="s">
        <v>150</v>
      </c>
      <c r="AH517" s="54" t="s">
        <v>150</v>
      </c>
      <c r="AI517" s="54" t="s">
        <v>150</v>
      </c>
      <c r="AJ517" s="54" t="s">
        <v>150</v>
      </c>
      <c r="AK517" s="54" t="s">
        <v>150</v>
      </c>
      <c r="AL517" s="54" t="s">
        <v>150</v>
      </c>
      <c r="AM517" s="55"/>
      <c r="AN517" s="56"/>
      <c r="AO517" s="41"/>
      <c r="AP517" s="52" t="str">
        <f t="shared" si="360"/>
        <v>FICO 660-699</v>
      </c>
      <c r="AQ517" s="54" t="s">
        <v>150</v>
      </c>
      <c r="AR517" s="54" t="s">
        <v>150</v>
      </c>
      <c r="AS517" s="54" t="s">
        <v>150</v>
      </c>
      <c r="AT517" s="54" t="s">
        <v>150</v>
      </c>
      <c r="AU517" s="54" t="s">
        <v>150</v>
      </c>
      <c r="AV517" s="54" t="s">
        <v>150</v>
      </c>
      <c r="AX517" s="38"/>
      <c r="AZ517" s="52" t="str">
        <f t="shared" si="361"/>
        <v>FICO 660-699</v>
      </c>
      <c r="BA517" s="54" t="s">
        <v>150</v>
      </c>
      <c r="BB517" s="54" t="s">
        <v>150</v>
      </c>
      <c r="BC517" s="54" t="s">
        <v>150</v>
      </c>
      <c r="BD517" s="54" t="s">
        <v>150</v>
      </c>
      <c r="BE517" s="54" t="s">
        <v>150</v>
      </c>
      <c r="BF517" s="54" t="s">
        <v>150</v>
      </c>
    </row>
    <row r="518" spans="2:58" s="37" customFormat="1" ht="12.75" customHeight="1" x14ac:dyDescent="0.45">
      <c r="B518" s="57" t="s">
        <v>153</v>
      </c>
      <c r="C518" s="59" t="s">
        <v>150</v>
      </c>
      <c r="D518" s="59" t="s">
        <v>150</v>
      </c>
      <c r="E518" s="59" t="s">
        <v>150</v>
      </c>
      <c r="F518" s="59" t="s">
        <v>150</v>
      </c>
      <c r="G518" s="59" t="s">
        <v>150</v>
      </c>
      <c r="H518" s="59" t="s">
        <v>150</v>
      </c>
      <c r="J518" s="38"/>
      <c r="L518" s="57" t="s">
        <v>153</v>
      </c>
      <c r="M518" s="59" t="s">
        <v>150</v>
      </c>
      <c r="N518" s="59" t="s">
        <v>150</v>
      </c>
      <c r="O518" s="59" t="s">
        <v>150</v>
      </c>
      <c r="P518" s="59" t="s">
        <v>150</v>
      </c>
      <c r="Q518" s="59" t="s">
        <v>150</v>
      </c>
      <c r="R518" s="59" t="s">
        <v>150</v>
      </c>
      <c r="S518" s="55"/>
      <c r="T518" s="56"/>
      <c r="U518" s="41"/>
      <c r="V518" s="57" t="str">
        <f t="shared" si="358"/>
        <v>FICO 640-659</v>
      </c>
      <c r="W518" s="59" t="s">
        <v>150</v>
      </c>
      <c r="X518" s="59" t="s">
        <v>150</v>
      </c>
      <c r="Y518" s="59" t="s">
        <v>150</v>
      </c>
      <c r="Z518" s="59" t="s">
        <v>150</v>
      </c>
      <c r="AA518" s="59" t="s">
        <v>150</v>
      </c>
      <c r="AB518" s="59" t="s">
        <v>150</v>
      </c>
      <c r="AD518" s="38"/>
      <c r="AF518" s="57" t="str">
        <f t="shared" si="359"/>
        <v>FICO 640-659</v>
      </c>
      <c r="AG518" s="59" t="s">
        <v>150</v>
      </c>
      <c r="AH518" s="59" t="s">
        <v>150</v>
      </c>
      <c r="AI518" s="59" t="s">
        <v>150</v>
      </c>
      <c r="AJ518" s="59" t="s">
        <v>150</v>
      </c>
      <c r="AK518" s="59" t="s">
        <v>150</v>
      </c>
      <c r="AL518" s="59" t="s">
        <v>150</v>
      </c>
      <c r="AM518" s="55"/>
      <c r="AN518" s="56"/>
      <c r="AO518" s="41"/>
      <c r="AP518" s="57" t="str">
        <f t="shared" si="360"/>
        <v>FICO 640-659</v>
      </c>
      <c r="AQ518" s="59" t="s">
        <v>150</v>
      </c>
      <c r="AR518" s="59" t="s">
        <v>150</v>
      </c>
      <c r="AS518" s="59" t="s">
        <v>150</v>
      </c>
      <c r="AT518" s="59" t="s">
        <v>150</v>
      </c>
      <c r="AU518" s="59" t="s">
        <v>150</v>
      </c>
      <c r="AV518" s="59" t="s">
        <v>150</v>
      </c>
      <c r="AX518" s="38"/>
      <c r="AZ518" s="57" t="str">
        <f t="shared" si="361"/>
        <v>FICO 640-659</v>
      </c>
      <c r="BA518" s="59" t="s">
        <v>150</v>
      </c>
      <c r="BB518" s="59" t="s">
        <v>150</v>
      </c>
      <c r="BC518" s="59" t="s">
        <v>150</v>
      </c>
      <c r="BD518" s="59" t="s">
        <v>150</v>
      </c>
      <c r="BE518" s="59" t="s">
        <v>150</v>
      </c>
      <c r="BF518" s="59" t="s">
        <v>150</v>
      </c>
    </row>
    <row r="519" spans="2:58" s="37" customFormat="1" ht="12.75" customHeight="1" x14ac:dyDescent="0.45">
      <c r="B519" s="60" t="s">
        <v>155</v>
      </c>
      <c r="C519" s="64" t="s">
        <v>150</v>
      </c>
      <c r="D519" s="64" t="s">
        <v>150</v>
      </c>
      <c r="E519" s="64" t="s">
        <v>150</v>
      </c>
      <c r="F519" s="64" t="s">
        <v>150</v>
      </c>
      <c r="G519" s="64" t="s">
        <v>150</v>
      </c>
      <c r="H519" s="64" t="s">
        <v>150</v>
      </c>
      <c r="J519" s="38"/>
      <c r="L519" s="60" t="s">
        <v>155</v>
      </c>
      <c r="M519" s="64" t="s">
        <v>150</v>
      </c>
      <c r="N519" s="64" t="s">
        <v>150</v>
      </c>
      <c r="O519" s="64" t="s">
        <v>150</v>
      </c>
      <c r="P519" s="64" t="s">
        <v>150</v>
      </c>
      <c r="Q519" s="64" t="s">
        <v>150</v>
      </c>
      <c r="R519" s="64" t="s">
        <v>150</v>
      </c>
      <c r="S519" s="50"/>
      <c r="T519" s="51"/>
      <c r="U519" s="41"/>
      <c r="V519" s="60" t="str">
        <f t="shared" si="358"/>
        <v>&lt;64.99%</v>
      </c>
      <c r="W519" s="64" t="s">
        <v>150</v>
      </c>
      <c r="X519" s="64" t="s">
        <v>150</v>
      </c>
      <c r="Y519" s="64" t="s">
        <v>150</v>
      </c>
      <c r="Z519" s="64" t="s">
        <v>150</v>
      </c>
      <c r="AA519" s="64" t="s">
        <v>150</v>
      </c>
      <c r="AB519" s="64" t="s">
        <v>150</v>
      </c>
      <c r="AD519" s="38"/>
      <c r="AF519" s="60" t="str">
        <f t="shared" si="359"/>
        <v>&lt;64.99%</v>
      </c>
      <c r="AG519" s="64" t="s">
        <v>150</v>
      </c>
      <c r="AH519" s="64" t="s">
        <v>150</v>
      </c>
      <c r="AI519" s="64" t="s">
        <v>150</v>
      </c>
      <c r="AJ519" s="64" t="s">
        <v>150</v>
      </c>
      <c r="AK519" s="64" t="s">
        <v>150</v>
      </c>
      <c r="AL519" s="64" t="s">
        <v>150</v>
      </c>
      <c r="AM519" s="50"/>
      <c r="AN519" s="51"/>
      <c r="AO519" s="41"/>
      <c r="AP519" s="60" t="str">
        <f t="shared" si="360"/>
        <v>&lt;64.99%</v>
      </c>
      <c r="AQ519" s="64" t="s">
        <v>150</v>
      </c>
      <c r="AR519" s="64" t="s">
        <v>150</v>
      </c>
      <c r="AS519" s="64" t="s">
        <v>150</v>
      </c>
      <c r="AT519" s="64" t="s">
        <v>150</v>
      </c>
      <c r="AU519" s="64" t="s">
        <v>150</v>
      </c>
      <c r="AV519" s="64" t="s">
        <v>150</v>
      </c>
      <c r="AX519" s="38"/>
      <c r="AZ519" s="60" t="str">
        <f t="shared" si="361"/>
        <v>&lt;64.99%</v>
      </c>
      <c r="BA519" s="49" t="s">
        <v>150</v>
      </c>
      <c r="BB519" s="49" t="s">
        <v>150</v>
      </c>
      <c r="BC519" s="49" t="s">
        <v>150</v>
      </c>
      <c r="BD519" s="49" t="s">
        <v>150</v>
      </c>
      <c r="BE519" s="49" t="s">
        <v>150</v>
      </c>
      <c r="BF519" s="49" t="s">
        <v>150</v>
      </c>
    </row>
    <row r="520" spans="2:58" s="37" customFormat="1" ht="12.75" customHeight="1" x14ac:dyDescent="0.45">
      <c r="B520" s="52" t="s">
        <v>151</v>
      </c>
      <c r="C520" s="54" t="s">
        <v>150</v>
      </c>
      <c r="D520" s="54" t="s">
        <v>150</v>
      </c>
      <c r="E520" s="54" t="s">
        <v>150</v>
      </c>
      <c r="F520" s="54" t="s">
        <v>150</v>
      </c>
      <c r="G520" s="54" t="s">
        <v>150</v>
      </c>
      <c r="H520" s="54" t="s">
        <v>150</v>
      </c>
      <c r="J520" s="38"/>
      <c r="L520" s="52" t="s">
        <v>151</v>
      </c>
      <c r="M520" s="54" t="s">
        <v>150</v>
      </c>
      <c r="N520" s="54" t="s">
        <v>150</v>
      </c>
      <c r="O520" s="54" t="s">
        <v>150</v>
      </c>
      <c r="P520" s="54" t="s">
        <v>150</v>
      </c>
      <c r="Q520" s="54" t="s">
        <v>150</v>
      </c>
      <c r="R520" s="54" t="s">
        <v>150</v>
      </c>
      <c r="S520" s="55"/>
      <c r="T520" s="56"/>
      <c r="U520" s="41"/>
      <c r="V520" s="52" t="str">
        <f t="shared" si="358"/>
        <v>FICO 700+</v>
      </c>
      <c r="W520" s="54" t="s">
        <v>150</v>
      </c>
      <c r="X520" s="54" t="s">
        <v>150</v>
      </c>
      <c r="Y520" s="54" t="s">
        <v>150</v>
      </c>
      <c r="Z520" s="54" t="s">
        <v>150</v>
      </c>
      <c r="AA520" s="54" t="s">
        <v>150</v>
      </c>
      <c r="AB520" s="54" t="s">
        <v>150</v>
      </c>
      <c r="AD520" s="38"/>
      <c r="AF520" s="52" t="str">
        <f t="shared" si="359"/>
        <v>FICO 700+</v>
      </c>
      <c r="AG520" s="54" t="s">
        <v>150</v>
      </c>
      <c r="AH520" s="54" t="s">
        <v>150</v>
      </c>
      <c r="AI520" s="54" t="s">
        <v>150</v>
      </c>
      <c r="AJ520" s="54" t="s">
        <v>150</v>
      </c>
      <c r="AK520" s="54" t="s">
        <v>150</v>
      </c>
      <c r="AL520" s="54" t="s">
        <v>150</v>
      </c>
      <c r="AM520" s="55"/>
      <c r="AN520" s="56"/>
      <c r="AO520" s="41"/>
      <c r="AP520" s="52" t="str">
        <f t="shared" si="360"/>
        <v>FICO 700+</v>
      </c>
      <c r="AQ520" s="54" t="s">
        <v>150</v>
      </c>
      <c r="AR520" s="54" t="s">
        <v>150</v>
      </c>
      <c r="AS520" s="54" t="s">
        <v>150</v>
      </c>
      <c r="AT520" s="54" t="s">
        <v>150</v>
      </c>
      <c r="AU520" s="54" t="s">
        <v>150</v>
      </c>
      <c r="AV520" s="54" t="s">
        <v>150</v>
      </c>
      <c r="AX520" s="38"/>
      <c r="AZ520" s="52" t="str">
        <f t="shared" si="361"/>
        <v>FICO 700+</v>
      </c>
      <c r="BA520" s="54" t="s">
        <v>150</v>
      </c>
      <c r="BB520" s="54" t="s">
        <v>150</v>
      </c>
      <c r="BC520" s="54" t="s">
        <v>150</v>
      </c>
      <c r="BD520" s="54" t="s">
        <v>150</v>
      </c>
      <c r="BE520" s="54" t="s">
        <v>150</v>
      </c>
      <c r="BF520" s="54" t="s">
        <v>150</v>
      </c>
    </row>
    <row r="521" spans="2:58" s="37" customFormat="1" ht="12.75" customHeight="1" x14ac:dyDescent="0.45">
      <c r="B521" s="52" t="s">
        <v>152</v>
      </c>
      <c r="C521" s="54" t="s">
        <v>150</v>
      </c>
      <c r="D521" s="54" t="s">
        <v>150</v>
      </c>
      <c r="E521" s="54" t="s">
        <v>150</v>
      </c>
      <c r="F521" s="54" t="s">
        <v>150</v>
      </c>
      <c r="G521" s="54" t="s">
        <v>150</v>
      </c>
      <c r="H521" s="54" t="s">
        <v>150</v>
      </c>
      <c r="J521" s="38"/>
      <c r="L521" s="52" t="s">
        <v>152</v>
      </c>
      <c r="M521" s="54" t="s">
        <v>150</v>
      </c>
      <c r="N521" s="54" t="s">
        <v>150</v>
      </c>
      <c r="O521" s="54" t="s">
        <v>150</v>
      </c>
      <c r="P521" s="54" t="s">
        <v>150</v>
      </c>
      <c r="Q521" s="54" t="s">
        <v>150</v>
      </c>
      <c r="R521" s="54" t="s">
        <v>150</v>
      </c>
      <c r="S521" s="55"/>
      <c r="T521" s="56"/>
      <c r="U521" s="41"/>
      <c r="V521" s="52" t="str">
        <f t="shared" si="358"/>
        <v>FICO 660-699</v>
      </c>
      <c r="W521" s="54" t="s">
        <v>150</v>
      </c>
      <c r="X521" s="54" t="s">
        <v>150</v>
      </c>
      <c r="Y521" s="54" t="s">
        <v>150</v>
      </c>
      <c r="Z521" s="54" t="s">
        <v>150</v>
      </c>
      <c r="AA521" s="54" t="s">
        <v>150</v>
      </c>
      <c r="AB521" s="54" t="s">
        <v>150</v>
      </c>
      <c r="AD521" s="38"/>
      <c r="AF521" s="52" t="str">
        <f t="shared" si="359"/>
        <v>FICO 660-699</v>
      </c>
      <c r="AG521" s="54" t="s">
        <v>150</v>
      </c>
      <c r="AH521" s="54" t="s">
        <v>150</v>
      </c>
      <c r="AI521" s="54" t="s">
        <v>150</v>
      </c>
      <c r="AJ521" s="54" t="s">
        <v>150</v>
      </c>
      <c r="AK521" s="54" t="s">
        <v>150</v>
      </c>
      <c r="AL521" s="54" t="s">
        <v>150</v>
      </c>
      <c r="AM521" s="55"/>
      <c r="AN521" s="56"/>
      <c r="AO521" s="41"/>
      <c r="AP521" s="52" t="str">
        <f t="shared" si="360"/>
        <v>FICO 660-699</v>
      </c>
      <c r="AQ521" s="54" t="s">
        <v>150</v>
      </c>
      <c r="AR521" s="54" t="s">
        <v>150</v>
      </c>
      <c r="AS521" s="54" t="s">
        <v>150</v>
      </c>
      <c r="AT521" s="54" t="s">
        <v>150</v>
      </c>
      <c r="AU521" s="54" t="s">
        <v>150</v>
      </c>
      <c r="AV521" s="54" t="s">
        <v>150</v>
      </c>
      <c r="AX521" s="38"/>
      <c r="AZ521" s="52" t="str">
        <f t="shared" si="361"/>
        <v>FICO 660-699</v>
      </c>
      <c r="BA521" s="54" t="s">
        <v>150</v>
      </c>
      <c r="BB521" s="54" t="s">
        <v>150</v>
      </c>
      <c r="BC521" s="54" t="s">
        <v>150</v>
      </c>
      <c r="BD521" s="54" t="s">
        <v>150</v>
      </c>
      <c r="BE521" s="54" t="s">
        <v>150</v>
      </c>
      <c r="BF521" s="54" t="s">
        <v>150</v>
      </c>
    </row>
    <row r="522" spans="2:58" s="37" customFormat="1" ht="12.75" customHeight="1" x14ac:dyDescent="0.45">
      <c r="B522" s="52" t="s">
        <v>153</v>
      </c>
      <c r="C522" s="54" t="s">
        <v>150</v>
      </c>
      <c r="D522" s="54" t="s">
        <v>150</v>
      </c>
      <c r="E522" s="54" t="s">
        <v>150</v>
      </c>
      <c r="F522" s="54" t="s">
        <v>150</v>
      </c>
      <c r="G522" s="54" t="s">
        <v>150</v>
      </c>
      <c r="H522" s="54" t="s">
        <v>150</v>
      </c>
      <c r="J522" s="38"/>
      <c r="L522" s="52" t="s">
        <v>153</v>
      </c>
      <c r="M522" s="54" t="s">
        <v>150</v>
      </c>
      <c r="N522" s="54" t="s">
        <v>150</v>
      </c>
      <c r="O522" s="54" t="s">
        <v>150</v>
      </c>
      <c r="P522" s="54" t="s">
        <v>150</v>
      </c>
      <c r="Q522" s="54" t="s">
        <v>150</v>
      </c>
      <c r="R522" s="54" t="s">
        <v>150</v>
      </c>
      <c r="S522" s="55"/>
      <c r="T522" s="56"/>
      <c r="U522" s="41"/>
      <c r="V522" s="52" t="str">
        <f t="shared" si="358"/>
        <v>FICO 640-659</v>
      </c>
      <c r="W522" s="54" t="s">
        <v>150</v>
      </c>
      <c r="X522" s="54" t="s">
        <v>150</v>
      </c>
      <c r="Y522" s="54" t="s">
        <v>150</v>
      </c>
      <c r="Z522" s="54" t="s">
        <v>150</v>
      </c>
      <c r="AA522" s="54" t="s">
        <v>150</v>
      </c>
      <c r="AB522" s="54" t="s">
        <v>150</v>
      </c>
      <c r="AD522" s="38"/>
      <c r="AF522" s="52" t="str">
        <f t="shared" si="359"/>
        <v>FICO 640-659</v>
      </c>
      <c r="AG522" s="54" t="s">
        <v>150</v>
      </c>
      <c r="AH522" s="54" t="s">
        <v>150</v>
      </c>
      <c r="AI522" s="54" t="s">
        <v>150</v>
      </c>
      <c r="AJ522" s="54" t="s">
        <v>150</v>
      </c>
      <c r="AK522" s="54" t="s">
        <v>150</v>
      </c>
      <c r="AL522" s="54" t="s">
        <v>150</v>
      </c>
      <c r="AM522" s="55"/>
      <c r="AN522" s="56"/>
      <c r="AO522" s="41"/>
      <c r="AP522" s="52" t="str">
        <f t="shared" si="360"/>
        <v>FICO 640-659</v>
      </c>
      <c r="AQ522" s="54" t="s">
        <v>150</v>
      </c>
      <c r="AR522" s="54" t="s">
        <v>150</v>
      </c>
      <c r="AS522" s="54" t="s">
        <v>150</v>
      </c>
      <c r="AT522" s="54" t="s">
        <v>150</v>
      </c>
      <c r="AU522" s="54" t="s">
        <v>150</v>
      </c>
      <c r="AV522" s="54" t="s">
        <v>150</v>
      </c>
      <c r="AX522" s="38"/>
      <c r="AZ522" s="52" t="str">
        <f t="shared" si="361"/>
        <v>FICO 640-659</v>
      </c>
      <c r="BA522" s="54" t="s">
        <v>150</v>
      </c>
      <c r="BB522" s="54" t="s">
        <v>150</v>
      </c>
      <c r="BC522" s="54" t="s">
        <v>150</v>
      </c>
      <c r="BD522" s="54" t="s">
        <v>150</v>
      </c>
      <c r="BE522" s="54" t="s">
        <v>150</v>
      </c>
      <c r="BF522" s="54" t="s">
        <v>150</v>
      </c>
    </row>
    <row r="523" spans="2:58" s="37" customFormat="1" ht="12.75" customHeight="1" x14ac:dyDescent="0.45">
      <c r="C523" s="63"/>
      <c r="D523" s="63"/>
      <c r="E523" s="63"/>
      <c r="F523" s="63"/>
      <c r="G523" s="63"/>
      <c r="H523" s="63"/>
      <c r="J523" s="38"/>
      <c r="M523" s="63"/>
      <c r="N523" s="63"/>
      <c r="O523" s="63"/>
      <c r="P523" s="63"/>
      <c r="Q523" s="63"/>
      <c r="R523" s="63"/>
      <c r="S523" s="55"/>
      <c r="T523" s="56"/>
      <c r="U523" s="41"/>
      <c r="W523" s="63"/>
      <c r="X523" s="63"/>
      <c r="Y523" s="63"/>
      <c r="Z523" s="63"/>
      <c r="AA523" s="63"/>
      <c r="AB523" s="63"/>
      <c r="AD523" s="38"/>
      <c r="AG523" s="63"/>
      <c r="AH523" s="63"/>
      <c r="AI523" s="63"/>
      <c r="AJ523" s="63"/>
      <c r="AK523" s="63"/>
      <c r="AL523" s="63"/>
      <c r="AM523" s="55"/>
      <c r="AN523" s="56"/>
      <c r="AO523" s="41"/>
      <c r="AQ523" s="63"/>
      <c r="AR523" s="63"/>
      <c r="AS523" s="63"/>
      <c r="AT523" s="63"/>
      <c r="AU523" s="63"/>
      <c r="AV523" s="63"/>
      <c r="AX523" s="38"/>
      <c r="BA523" s="63"/>
      <c r="BB523" s="63"/>
      <c r="BC523" s="63"/>
      <c r="BD523" s="63"/>
      <c r="BE523" s="63"/>
      <c r="BF523" s="63"/>
    </row>
    <row r="524" spans="2:58" s="37" customFormat="1" ht="15.75" customHeight="1" x14ac:dyDescent="0.45">
      <c r="B524" s="94" t="s">
        <v>156</v>
      </c>
      <c r="C524" s="94"/>
      <c r="D524" s="94"/>
      <c r="E524" s="94"/>
      <c r="F524" s="94"/>
      <c r="G524" s="94"/>
      <c r="H524" s="94"/>
      <c r="J524" s="38"/>
      <c r="L524" s="94" t="s">
        <v>171</v>
      </c>
      <c r="M524" s="94"/>
      <c r="N524" s="94"/>
      <c r="O524" s="94"/>
      <c r="P524" s="94"/>
      <c r="Q524" s="94"/>
      <c r="R524" s="94"/>
      <c r="S524" s="39"/>
      <c r="T524" s="40"/>
      <c r="U524" s="41"/>
      <c r="V524" s="94" t="s">
        <v>171</v>
      </c>
      <c r="W524" s="94"/>
      <c r="X524" s="94"/>
      <c r="Y524" s="94"/>
      <c r="Z524" s="94"/>
      <c r="AA524" s="94"/>
      <c r="AB524" s="94"/>
      <c r="AD524" s="38"/>
      <c r="AF524" s="94" t="s">
        <v>171</v>
      </c>
      <c r="AG524" s="94"/>
      <c r="AH524" s="94"/>
      <c r="AI524" s="94"/>
      <c r="AJ524" s="94"/>
      <c r="AK524" s="94"/>
      <c r="AL524" s="94"/>
      <c r="AM524" s="39"/>
      <c r="AN524" s="40"/>
      <c r="AO524" s="41"/>
      <c r="AP524" s="94" t="s">
        <v>171</v>
      </c>
      <c r="AQ524" s="94"/>
      <c r="AR524" s="94"/>
      <c r="AS524" s="94"/>
      <c r="AT524" s="94"/>
      <c r="AU524" s="94"/>
      <c r="AV524" s="94"/>
      <c r="AX524" s="38"/>
      <c r="AZ524" s="94" t="s">
        <v>171</v>
      </c>
      <c r="BA524" s="94"/>
      <c r="BB524" s="94"/>
      <c r="BC524" s="94"/>
      <c r="BD524" s="94"/>
      <c r="BE524" s="94"/>
      <c r="BF524" s="94"/>
    </row>
    <row r="525" spans="2:58" s="37" customFormat="1" ht="12.75" customHeight="1" x14ac:dyDescent="0.45">
      <c r="B525" s="42"/>
      <c r="C525" s="95" t="s">
        <v>50</v>
      </c>
      <c r="D525" s="95"/>
      <c r="E525" s="95"/>
      <c r="F525" s="95"/>
      <c r="G525" s="95"/>
      <c r="H525" s="95"/>
      <c r="J525" s="38"/>
      <c r="L525" s="42"/>
      <c r="M525" s="95" t="s">
        <v>50</v>
      </c>
      <c r="N525" s="95"/>
      <c r="O525" s="95"/>
      <c r="P525" s="95"/>
      <c r="Q525" s="95"/>
      <c r="R525" s="95"/>
      <c r="S525" s="41"/>
      <c r="T525" s="43"/>
      <c r="U525" s="41"/>
      <c r="V525" s="42"/>
      <c r="W525" s="95" t="str">
        <f>C525</f>
        <v>LTC</v>
      </c>
      <c r="X525" s="95"/>
      <c r="Y525" s="95"/>
      <c r="Z525" s="95"/>
      <c r="AA525" s="95"/>
      <c r="AB525" s="95"/>
      <c r="AD525" s="38"/>
      <c r="AF525" s="42"/>
      <c r="AG525" s="95" t="str">
        <f>W525</f>
        <v>LTC</v>
      </c>
      <c r="AH525" s="95"/>
      <c r="AI525" s="95"/>
      <c r="AJ525" s="95"/>
      <c r="AK525" s="95"/>
      <c r="AL525" s="95"/>
      <c r="AM525" s="41"/>
      <c r="AN525" s="43"/>
      <c r="AO525" s="41"/>
      <c r="AP525" s="42"/>
      <c r="AQ525" s="95" t="str">
        <f>C525</f>
        <v>LTC</v>
      </c>
      <c r="AR525" s="95"/>
      <c r="AS525" s="95"/>
      <c r="AT525" s="95"/>
      <c r="AU525" s="95"/>
      <c r="AV525" s="95"/>
      <c r="AX525" s="38"/>
      <c r="AZ525" s="42"/>
      <c r="BA525" s="95" t="str">
        <f>C525</f>
        <v>LTC</v>
      </c>
      <c r="BB525" s="95"/>
      <c r="BC525" s="95"/>
      <c r="BD525" s="95"/>
      <c r="BE525" s="95"/>
      <c r="BF525" s="95"/>
    </row>
    <row r="526" spans="2:58" s="37" customFormat="1" ht="12.75" customHeight="1" x14ac:dyDescent="0.45">
      <c r="B526" s="44" t="s">
        <v>52</v>
      </c>
      <c r="C526" s="45" t="s">
        <v>143</v>
      </c>
      <c r="D526" s="45" t="s">
        <v>144</v>
      </c>
      <c r="E526" s="45" t="s">
        <v>145</v>
      </c>
      <c r="F526" s="45" t="s">
        <v>146</v>
      </c>
      <c r="G526" s="45" t="s">
        <v>147</v>
      </c>
      <c r="H526" s="45" t="s">
        <v>148</v>
      </c>
      <c r="J526" s="38"/>
      <c r="L526" s="44" t="s">
        <v>52</v>
      </c>
      <c r="M526" s="45" t="s">
        <v>143</v>
      </c>
      <c r="N526" s="45" t="s">
        <v>144</v>
      </c>
      <c r="O526" s="45" t="s">
        <v>145</v>
      </c>
      <c r="P526" s="45" t="s">
        <v>146</v>
      </c>
      <c r="Q526" s="45" t="s">
        <v>147</v>
      </c>
      <c r="R526" s="45" t="s">
        <v>148</v>
      </c>
      <c r="S526" s="41"/>
      <c r="T526" s="43"/>
      <c r="U526" s="41"/>
      <c r="V526" s="44" t="str">
        <f t="shared" ref="V526:V538" si="362">B526</f>
        <v>AR-LTV</v>
      </c>
      <c r="W526" s="45" t="str">
        <f>C526</f>
        <v>&lt;74.99%</v>
      </c>
      <c r="X526" s="45" t="str">
        <f>D526</f>
        <v>75.00%-80.00%</v>
      </c>
      <c r="Y526" s="45" t="str">
        <f>E526</f>
        <v>80.01%-85.00%</v>
      </c>
      <c r="Z526" s="45" t="str">
        <f>F526</f>
        <v>85.01%-87.50%</v>
      </c>
      <c r="AA526" s="45" t="str">
        <f>G526</f>
        <v>87.51%-89.99%</v>
      </c>
      <c r="AB526" s="45" t="str">
        <f>H526</f>
        <v>90.00%-92.50%</v>
      </c>
      <c r="AD526" s="38"/>
      <c r="AF526" s="44" t="str">
        <f t="shared" ref="AF526:AF538" si="363">V526</f>
        <v>AR-LTV</v>
      </c>
      <c r="AG526" s="45" t="str">
        <f>W526</f>
        <v>&lt;74.99%</v>
      </c>
      <c r="AH526" s="45" t="str">
        <f>X526</f>
        <v>75.00%-80.00%</v>
      </c>
      <c r="AI526" s="45" t="str">
        <f>Y526</f>
        <v>80.01%-85.00%</v>
      </c>
      <c r="AJ526" s="45" t="str">
        <f>Z526</f>
        <v>85.01%-87.50%</v>
      </c>
      <c r="AK526" s="45" t="str">
        <f>AA526</f>
        <v>87.51%-89.99%</v>
      </c>
      <c r="AL526" s="45" t="str">
        <f>AB526</f>
        <v>90.00%-92.50%</v>
      </c>
      <c r="AM526" s="41"/>
      <c r="AN526" s="43"/>
      <c r="AO526" s="41"/>
      <c r="AP526" s="44" t="str">
        <f t="shared" ref="AP526:AP538" si="364">B526</f>
        <v>AR-LTV</v>
      </c>
      <c r="AQ526" s="45" t="str">
        <f>C526</f>
        <v>&lt;74.99%</v>
      </c>
      <c r="AR526" s="45" t="str">
        <f>D526</f>
        <v>75.00%-80.00%</v>
      </c>
      <c r="AS526" s="45" t="str">
        <f>E526</f>
        <v>80.01%-85.00%</v>
      </c>
      <c r="AT526" s="45" t="str">
        <f>F526</f>
        <v>85.01%-87.50%</v>
      </c>
      <c r="AU526" s="45" t="str">
        <f>G526</f>
        <v>87.51%-89.99%</v>
      </c>
      <c r="AV526" s="45" t="str">
        <f>H526</f>
        <v>90.00%-92.50%</v>
      </c>
      <c r="AX526" s="38"/>
      <c r="AZ526" s="44" t="str">
        <f t="shared" ref="AZ526:AZ538" si="365">B526</f>
        <v>AR-LTV</v>
      </c>
      <c r="BA526" s="45" t="str">
        <f>C526</f>
        <v>&lt;74.99%</v>
      </c>
      <c r="BB526" s="45" t="str">
        <f>D526</f>
        <v>75.00%-80.00%</v>
      </c>
      <c r="BC526" s="45" t="str">
        <f>E526</f>
        <v>80.01%-85.00%</v>
      </c>
      <c r="BD526" s="45" t="str">
        <f>F526</f>
        <v>85.01%-87.50%</v>
      </c>
      <c r="BE526" s="45" t="str">
        <f>G526</f>
        <v>87.51%-89.99%</v>
      </c>
      <c r="BF526" s="45" t="str">
        <f>H526</f>
        <v>90.00%-92.50%</v>
      </c>
    </row>
    <row r="527" spans="2:58" s="37" customFormat="1" ht="12.75" customHeight="1" x14ac:dyDescent="0.45">
      <c r="B527" s="46" t="s">
        <v>149</v>
      </c>
      <c r="C527" s="49" t="s">
        <v>150</v>
      </c>
      <c r="D527" s="49" t="s">
        <v>150</v>
      </c>
      <c r="E527" s="49" t="s">
        <v>150</v>
      </c>
      <c r="F527" s="49" t="s">
        <v>150</v>
      </c>
      <c r="G527" s="49" t="s">
        <v>150</v>
      </c>
      <c r="H527" s="49" t="s">
        <v>150</v>
      </c>
      <c r="J527" s="38"/>
      <c r="L527" s="46" t="s">
        <v>149</v>
      </c>
      <c r="M527" s="49" t="s">
        <v>150</v>
      </c>
      <c r="N527" s="49" t="s">
        <v>150</v>
      </c>
      <c r="O527" s="49" t="s">
        <v>150</v>
      </c>
      <c r="P527" s="49" t="s">
        <v>150</v>
      </c>
      <c r="Q527" s="49" t="s">
        <v>150</v>
      </c>
      <c r="R527" s="49" t="s">
        <v>150</v>
      </c>
      <c r="S527" s="50"/>
      <c r="T527" s="51"/>
      <c r="U527" s="41"/>
      <c r="V527" s="46" t="str">
        <f t="shared" si="362"/>
        <v>70.01%-75.00%</v>
      </c>
      <c r="W527" s="49" t="s">
        <v>150</v>
      </c>
      <c r="X527" s="49" t="s">
        <v>150</v>
      </c>
      <c r="Y527" s="49" t="s">
        <v>150</v>
      </c>
      <c r="Z527" s="49" t="s">
        <v>150</v>
      </c>
      <c r="AA527" s="49" t="s">
        <v>150</v>
      </c>
      <c r="AB527" s="49" t="s">
        <v>150</v>
      </c>
      <c r="AD527" s="38"/>
      <c r="AF527" s="46" t="str">
        <f t="shared" si="363"/>
        <v>70.01%-75.00%</v>
      </c>
      <c r="AG527" s="49" t="s">
        <v>150</v>
      </c>
      <c r="AH527" s="49" t="s">
        <v>150</v>
      </c>
      <c r="AI527" s="49" t="s">
        <v>150</v>
      </c>
      <c r="AJ527" s="49" t="s">
        <v>150</v>
      </c>
      <c r="AK527" s="49" t="s">
        <v>150</v>
      </c>
      <c r="AL527" s="49" t="s">
        <v>150</v>
      </c>
      <c r="AM527" s="50"/>
      <c r="AN527" s="51"/>
      <c r="AO527" s="41"/>
      <c r="AP527" s="46" t="str">
        <f t="shared" si="364"/>
        <v>70.01%-75.00%</v>
      </c>
      <c r="AQ527" s="49" t="s">
        <v>150</v>
      </c>
      <c r="AR527" s="49" t="s">
        <v>150</v>
      </c>
      <c r="AS527" s="49" t="s">
        <v>150</v>
      </c>
      <c r="AT527" s="49" t="s">
        <v>150</v>
      </c>
      <c r="AU527" s="49" t="s">
        <v>150</v>
      </c>
      <c r="AV527" s="49" t="s">
        <v>150</v>
      </c>
      <c r="AX527" s="38"/>
      <c r="AZ527" s="46" t="str">
        <f t="shared" si="365"/>
        <v>70.01%-75.00%</v>
      </c>
      <c r="BA527" s="49" t="s">
        <v>150</v>
      </c>
      <c r="BB527" s="49" t="s">
        <v>150</v>
      </c>
      <c r="BC527" s="49" t="s">
        <v>150</v>
      </c>
      <c r="BD527" s="49" t="s">
        <v>150</v>
      </c>
      <c r="BE527" s="49" t="s">
        <v>150</v>
      </c>
      <c r="BF527" s="49" t="s">
        <v>150</v>
      </c>
    </row>
    <row r="528" spans="2:58" s="37" customFormat="1" ht="12.75" customHeight="1" x14ac:dyDescent="0.45">
      <c r="B528" s="52" t="s">
        <v>151</v>
      </c>
      <c r="C528" s="54" t="s">
        <v>150</v>
      </c>
      <c r="D528" s="54" t="s">
        <v>150</v>
      </c>
      <c r="E528" s="54" t="s">
        <v>150</v>
      </c>
      <c r="F528" s="54" t="s">
        <v>150</v>
      </c>
      <c r="G528" s="54" t="s">
        <v>150</v>
      </c>
      <c r="H528" s="54" t="s">
        <v>150</v>
      </c>
      <c r="J528" s="38"/>
      <c r="L528" s="52" t="s">
        <v>151</v>
      </c>
      <c r="M528" s="54" t="s">
        <v>150</v>
      </c>
      <c r="N528" s="54" t="s">
        <v>150</v>
      </c>
      <c r="O528" s="54" t="s">
        <v>150</v>
      </c>
      <c r="P528" s="54" t="s">
        <v>150</v>
      </c>
      <c r="Q528" s="54" t="s">
        <v>150</v>
      </c>
      <c r="R528" s="54" t="s">
        <v>150</v>
      </c>
      <c r="S528" s="55"/>
      <c r="T528" s="56"/>
      <c r="U528" s="41"/>
      <c r="V528" s="52" t="str">
        <f t="shared" si="362"/>
        <v>FICO 700+</v>
      </c>
      <c r="W528" s="54" t="s">
        <v>150</v>
      </c>
      <c r="X528" s="54" t="s">
        <v>150</v>
      </c>
      <c r="Y528" s="54" t="s">
        <v>150</v>
      </c>
      <c r="Z528" s="54" t="s">
        <v>150</v>
      </c>
      <c r="AA528" s="54" t="s">
        <v>150</v>
      </c>
      <c r="AB528" s="54" t="s">
        <v>150</v>
      </c>
      <c r="AD528" s="38"/>
      <c r="AF528" s="52" t="str">
        <f t="shared" si="363"/>
        <v>FICO 700+</v>
      </c>
      <c r="AG528" s="54" t="s">
        <v>150</v>
      </c>
      <c r="AH528" s="54" t="s">
        <v>150</v>
      </c>
      <c r="AI528" s="54" t="s">
        <v>150</v>
      </c>
      <c r="AJ528" s="54" t="s">
        <v>150</v>
      </c>
      <c r="AK528" s="54" t="s">
        <v>150</v>
      </c>
      <c r="AL528" s="54" t="s">
        <v>150</v>
      </c>
      <c r="AM528" s="55"/>
      <c r="AN528" s="56"/>
      <c r="AO528" s="41"/>
      <c r="AP528" s="52" t="str">
        <f t="shared" si="364"/>
        <v>FICO 700+</v>
      </c>
      <c r="AQ528" s="54" t="s">
        <v>150</v>
      </c>
      <c r="AR528" s="54" t="s">
        <v>150</v>
      </c>
      <c r="AS528" s="54" t="s">
        <v>150</v>
      </c>
      <c r="AT528" s="54" t="s">
        <v>150</v>
      </c>
      <c r="AU528" s="54" t="s">
        <v>150</v>
      </c>
      <c r="AV528" s="54" t="s">
        <v>150</v>
      </c>
      <c r="AX528" s="38"/>
      <c r="AZ528" s="52" t="str">
        <f t="shared" si="365"/>
        <v>FICO 700+</v>
      </c>
      <c r="BA528" s="54" t="s">
        <v>150</v>
      </c>
      <c r="BB528" s="54" t="s">
        <v>150</v>
      </c>
      <c r="BC528" s="54" t="s">
        <v>150</v>
      </c>
      <c r="BD528" s="54" t="s">
        <v>150</v>
      </c>
      <c r="BE528" s="54" t="s">
        <v>150</v>
      </c>
      <c r="BF528" s="54" t="s">
        <v>150</v>
      </c>
    </row>
    <row r="529" spans="2:58" s="37" customFormat="1" ht="12.75" customHeight="1" x14ac:dyDescent="0.45">
      <c r="B529" s="52" t="s">
        <v>152</v>
      </c>
      <c r="C529" s="54" t="s">
        <v>150</v>
      </c>
      <c r="D529" s="54" t="s">
        <v>150</v>
      </c>
      <c r="E529" s="54" t="s">
        <v>150</v>
      </c>
      <c r="F529" s="54" t="s">
        <v>150</v>
      </c>
      <c r="G529" s="54" t="s">
        <v>150</v>
      </c>
      <c r="H529" s="54" t="s">
        <v>150</v>
      </c>
      <c r="J529" s="38"/>
      <c r="L529" s="52" t="s">
        <v>152</v>
      </c>
      <c r="M529" s="54" t="s">
        <v>150</v>
      </c>
      <c r="N529" s="54" t="s">
        <v>150</v>
      </c>
      <c r="O529" s="54" t="s">
        <v>150</v>
      </c>
      <c r="P529" s="54" t="s">
        <v>150</v>
      </c>
      <c r="Q529" s="54" t="s">
        <v>150</v>
      </c>
      <c r="R529" s="54" t="s">
        <v>150</v>
      </c>
      <c r="S529" s="55"/>
      <c r="T529" s="56"/>
      <c r="U529" s="41"/>
      <c r="V529" s="52" t="str">
        <f t="shared" si="362"/>
        <v>FICO 660-699</v>
      </c>
      <c r="W529" s="54" t="s">
        <v>150</v>
      </c>
      <c r="X529" s="54" t="s">
        <v>150</v>
      </c>
      <c r="Y529" s="54" t="s">
        <v>150</v>
      </c>
      <c r="Z529" s="54" t="s">
        <v>150</v>
      </c>
      <c r="AA529" s="54" t="s">
        <v>150</v>
      </c>
      <c r="AB529" s="54" t="s">
        <v>150</v>
      </c>
      <c r="AD529" s="38"/>
      <c r="AF529" s="52" t="str">
        <f t="shared" si="363"/>
        <v>FICO 660-699</v>
      </c>
      <c r="AG529" s="54" t="s">
        <v>150</v>
      </c>
      <c r="AH529" s="54" t="s">
        <v>150</v>
      </c>
      <c r="AI529" s="54" t="s">
        <v>150</v>
      </c>
      <c r="AJ529" s="54" t="s">
        <v>150</v>
      </c>
      <c r="AK529" s="54" t="s">
        <v>150</v>
      </c>
      <c r="AL529" s="54" t="s">
        <v>150</v>
      </c>
      <c r="AM529" s="55"/>
      <c r="AN529" s="56"/>
      <c r="AO529" s="41"/>
      <c r="AP529" s="52" t="str">
        <f t="shared" si="364"/>
        <v>FICO 660-699</v>
      </c>
      <c r="AQ529" s="54" t="s">
        <v>150</v>
      </c>
      <c r="AR529" s="54" t="s">
        <v>150</v>
      </c>
      <c r="AS529" s="54" t="s">
        <v>150</v>
      </c>
      <c r="AT529" s="54" t="s">
        <v>150</v>
      </c>
      <c r="AU529" s="54" t="s">
        <v>150</v>
      </c>
      <c r="AV529" s="54" t="s">
        <v>150</v>
      </c>
      <c r="AX529" s="38"/>
      <c r="AZ529" s="52" t="str">
        <f t="shared" si="365"/>
        <v>FICO 660-699</v>
      </c>
      <c r="BA529" s="54" t="s">
        <v>150</v>
      </c>
      <c r="BB529" s="54" t="s">
        <v>150</v>
      </c>
      <c r="BC529" s="54" t="s">
        <v>150</v>
      </c>
      <c r="BD529" s="54" t="s">
        <v>150</v>
      </c>
      <c r="BE529" s="54" t="s">
        <v>150</v>
      </c>
      <c r="BF529" s="54" t="s">
        <v>150</v>
      </c>
    </row>
    <row r="530" spans="2:58" s="37" customFormat="1" ht="12.75" customHeight="1" x14ac:dyDescent="0.45">
      <c r="B530" s="57" t="s">
        <v>153</v>
      </c>
      <c r="C530" s="59" t="s">
        <v>150</v>
      </c>
      <c r="D530" s="59" t="s">
        <v>150</v>
      </c>
      <c r="E530" s="59" t="s">
        <v>150</v>
      </c>
      <c r="F530" s="59" t="s">
        <v>150</v>
      </c>
      <c r="G530" s="59" t="s">
        <v>150</v>
      </c>
      <c r="H530" s="59" t="s">
        <v>150</v>
      </c>
      <c r="J530" s="38"/>
      <c r="L530" s="57" t="s">
        <v>153</v>
      </c>
      <c r="M530" s="59" t="s">
        <v>150</v>
      </c>
      <c r="N530" s="59" t="s">
        <v>150</v>
      </c>
      <c r="O530" s="59" t="s">
        <v>150</v>
      </c>
      <c r="P530" s="59" t="s">
        <v>150</v>
      </c>
      <c r="Q530" s="59" t="s">
        <v>150</v>
      </c>
      <c r="R530" s="59" t="s">
        <v>150</v>
      </c>
      <c r="S530" s="55"/>
      <c r="T530" s="56"/>
      <c r="U530" s="41"/>
      <c r="V530" s="57" t="str">
        <f t="shared" si="362"/>
        <v>FICO 640-659</v>
      </c>
      <c r="W530" s="59" t="s">
        <v>150</v>
      </c>
      <c r="X530" s="59" t="s">
        <v>150</v>
      </c>
      <c r="Y530" s="59" t="s">
        <v>150</v>
      </c>
      <c r="Z530" s="59" t="s">
        <v>150</v>
      </c>
      <c r="AA530" s="59" t="s">
        <v>150</v>
      </c>
      <c r="AB530" s="59" t="s">
        <v>150</v>
      </c>
      <c r="AD530" s="38"/>
      <c r="AF530" s="57" t="str">
        <f t="shared" si="363"/>
        <v>FICO 640-659</v>
      </c>
      <c r="AG530" s="59" t="s">
        <v>150</v>
      </c>
      <c r="AH530" s="59" t="s">
        <v>150</v>
      </c>
      <c r="AI530" s="59" t="s">
        <v>150</v>
      </c>
      <c r="AJ530" s="59" t="s">
        <v>150</v>
      </c>
      <c r="AK530" s="59" t="s">
        <v>150</v>
      </c>
      <c r="AL530" s="59" t="s">
        <v>150</v>
      </c>
      <c r="AM530" s="55"/>
      <c r="AN530" s="56"/>
      <c r="AO530" s="41"/>
      <c r="AP530" s="57" t="str">
        <f t="shared" si="364"/>
        <v>FICO 640-659</v>
      </c>
      <c r="AQ530" s="59" t="s">
        <v>150</v>
      </c>
      <c r="AR530" s="59" t="s">
        <v>150</v>
      </c>
      <c r="AS530" s="59" t="s">
        <v>150</v>
      </c>
      <c r="AT530" s="59" t="s">
        <v>150</v>
      </c>
      <c r="AU530" s="59" t="s">
        <v>150</v>
      </c>
      <c r="AV530" s="59" t="s">
        <v>150</v>
      </c>
      <c r="AX530" s="38"/>
      <c r="AZ530" s="57" t="str">
        <f t="shared" si="365"/>
        <v>FICO 640-659</v>
      </c>
      <c r="BA530" s="59" t="s">
        <v>150</v>
      </c>
      <c r="BB530" s="59" t="s">
        <v>150</v>
      </c>
      <c r="BC530" s="59" t="s">
        <v>150</v>
      </c>
      <c r="BD530" s="59" t="s">
        <v>150</v>
      </c>
      <c r="BE530" s="59" t="s">
        <v>150</v>
      </c>
      <c r="BF530" s="59" t="s">
        <v>150</v>
      </c>
    </row>
    <row r="531" spans="2:58" s="37" customFormat="1" ht="12.75" customHeight="1" x14ac:dyDescent="0.45">
      <c r="B531" s="60" t="s">
        <v>154</v>
      </c>
      <c r="C531" s="64" t="s">
        <v>150</v>
      </c>
      <c r="D531" s="64" t="s">
        <v>150</v>
      </c>
      <c r="E531" s="64" t="s">
        <v>150</v>
      </c>
      <c r="F531" s="64" t="s">
        <v>150</v>
      </c>
      <c r="G531" s="64" t="s">
        <v>150</v>
      </c>
      <c r="H531" s="64" t="s">
        <v>150</v>
      </c>
      <c r="J531" s="38"/>
      <c r="L531" s="60" t="s">
        <v>154</v>
      </c>
      <c r="M531" s="64" t="s">
        <v>150</v>
      </c>
      <c r="N531" s="64" t="s">
        <v>150</v>
      </c>
      <c r="O531" s="64" t="s">
        <v>150</v>
      </c>
      <c r="P531" s="64" t="s">
        <v>150</v>
      </c>
      <c r="Q531" s="64" t="s">
        <v>150</v>
      </c>
      <c r="R531" s="64" t="s">
        <v>150</v>
      </c>
      <c r="S531" s="50"/>
      <c r="T531" s="51"/>
      <c r="U531" s="41"/>
      <c r="V531" s="60" t="str">
        <f t="shared" si="362"/>
        <v>65.00%-70.00%</v>
      </c>
      <c r="W531" s="64" t="s">
        <v>150</v>
      </c>
      <c r="X531" s="64" t="s">
        <v>150</v>
      </c>
      <c r="Y531" s="64" t="s">
        <v>150</v>
      </c>
      <c r="Z531" s="64" t="s">
        <v>150</v>
      </c>
      <c r="AA531" s="64" t="s">
        <v>150</v>
      </c>
      <c r="AB531" s="64" t="s">
        <v>150</v>
      </c>
      <c r="AD531" s="38"/>
      <c r="AF531" s="60" t="str">
        <f t="shared" si="363"/>
        <v>65.00%-70.00%</v>
      </c>
      <c r="AG531" s="64" t="s">
        <v>150</v>
      </c>
      <c r="AH531" s="64" t="s">
        <v>150</v>
      </c>
      <c r="AI531" s="64" t="s">
        <v>150</v>
      </c>
      <c r="AJ531" s="64" t="s">
        <v>150</v>
      </c>
      <c r="AK531" s="64" t="s">
        <v>150</v>
      </c>
      <c r="AL531" s="64" t="s">
        <v>150</v>
      </c>
      <c r="AM531" s="50"/>
      <c r="AN531" s="51"/>
      <c r="AO531" s="41"/>
      <c r="AP531" s="60" t="str">
        <f t="shared" si="364"/>
        <v>65.00%-70.00%</v>
      </c>
      <c r="AQ531" s="64" t="s">
        <v>150</v>
      </c>
      <c r="AR531" s="64" t="s">
        <v>150</v>
      </c>
      <c r="AS531" s="64" t="s">
        <v>150</v>
      </c>
      <c r="AT531" s="64" t="s">
        <v>150</v>
      </c>
      <c r="AU531" s="64" t="s">
        <v>150</v>
      </c>
      <c r="AV531" s="64" t="s">
        <v>150</v>
      </c>
      <c r="AX531" s="38"/>
      <c r="AZ531" s="60" t="str">
        <f t="shared" si="365"/>
        <v>65.00%-70.00%</v>
      </c>
      <c r="BA531" s="49" t="s">
        <v>150</v>
      </c>
      <c r="BB531" s="49" t="s">
        <v>150</v>
      </c>
      <c r="BC531" s="49" t="s">
        <v>150</v>
      </c>
      <c r="BD531" s="49" t="s">
        <v>150</v>
      </c>
      <c r="BE531" s="49" t="s">
        <v>150</v>
      </c>
      <c r="BF531" s="49" t="s">
        <v>150</v>
      </c>
    </row>
    <row r="532" spans="2:58" s="37" customFormat="1" ht="12.75" customHeight="1" x14ac:dyDescent="0.45">
      <c r="B532" s="52" t="s">
        <v>151</v>
      </c>
      <c r="C532" s="54" t="s">
        <v>150</v>
      </c>
      <c r="D532" s="54" t="s">
        <v>150</v>
      </c>
      <c r="E532" s="54" t="s">
        <v>150</v>
      </c>
      <c r="F532" s="54" t="s">
        <v>150</v>
      </c>
      <c r="G532" s="54" t="s">
        <v>150</v>
      </c>
      <c r="H532" s="54" t="s">
        <v>150</v>
      </c>
      <c r="J532" s="38"/>
      <c r="L532" s="52" t="s">
        <v>151</v>
      </c>
      <c r="M532" s="54" t="s">
        <v>150</v>
      </c>
      <c r="N532" s="54" t="s">
        <v>150</v>
      </c>
      <c r="O532" s="54" t="s">
        <v>150</v>
      </c>
      <c r="P532" s="54" t="s">
        <v>150</v>
      </c>
      <c r="Q532" s="54" t="s">
        <v>150</v>
      </c>
      <c r="R532" s="54" t="s">
        <v>150</v>
      </c>
      <c r="S532" s="55"/>
      <c r="T532" s="56"/>
      <c r="U532" s="41"/>
      <c r="V532" s="52" t="str">
        <f t="shared" si="362"/>
        <v>FICO 700+</v>
      </c>
      <c r="W532" s="54" t="s">
        <v>150</v>
      </c>
      <c r="X532" s="54" t="s">
        <v>150</v>
      </c>
      <c r="Y532" s="54" t="s">
        <v>150</v>
      </c>
      <c r="Z532" s="54" t="s">
        <v>150</v>
      </c>
      <c r="AA532" s="54" t="s">
        <v>150</v>
      </c>
      <c r="AB532" s="54" t="s">
        <v>150</v>
      </c>
      <c r="AD532" s="38"/>
      <c r="AF532" s="52" t="str">
        <f t="shared" si="363"/>
        <v>FICO 700+</v>
      </c>
      <c r="AG532" s="54" t="s">
        <v>150</v>
      </c>
      <c r="AH532" s="54" t="s">
        <v>150</v>
      </c>
      <c r="AI532" s="54" t="s">
        <v>150</v>
      </c>
      <c r="AJ532" s="54" t="s">
        <v>150</v>
      </c>
      <c r="AK532" s="54" t="s">
        <v>150</v>
      </c>
      <c r="AL532" s="54" t="s">
        <v>150</v>
      </c>
      <c r="AM532" s="55"/>
      <c r="AN532" s="56"/>
      <c r="AO532" s="41"/>
      <c r="AP532" s="52" t="str">
        <f t="shared" si="364"/>
        <v>FICO 700+</v>
      </c>
      <c r="AQ532" s="54" t="s">
        <v>150</v>
      </c>
      <c r="AR532" s="54" t="s">
        <v>150</v>
      </c>
      <c r="AS532" s="54" t="s">
        <v>150</v>
      </c>
      <c r="AT532" s="54" t="s">
        <v>150</v>
      </c>
      <c r="AU532" s="54" t="s">
        <v>150</v>
      </c>
      <c r="AV532" s="54" t="s">
        <v>150</v>
      </c>
      <c r="AX532" s="38"/>
      <c r="AZ532" s="52" t="str">
        <f t="shared" si="365"/>
        <v>FICO 700+</v>
      </c>
      <c r="BA532" s="54" t="s">
        <v>150</v>
      </c>
      <c r="BB532" s="54" t="s">
        <v>150</v>
      </c>
      <c r="BC532" s="54" t="s">
        <v>150</v>
      </c>
      <c r="BD532" s="54" t="s">
        <v>150</v>
      </c>
      <c r="BE532" s="54" t="s">
        <v>150</v>
      </c>
      <c r="BF532" s="54" t="s">
        <v>150</v>
      </c>
    </row>
    <row r="533" spans="2:58" s="37" customFormat="1" ht="12.75" customHeight="1" x14ac:dyDescent="0.45">
      <c r="B533" s="52" t="s">
        <v>152</v>
      </c>
      <c r="C533" s="54" t="s">
        <v>150</v>
      </c>
      <c r="D533" s="54" t="s">
        <v>150</v>
      </c>
      <c r="E533" s="54" t="s">
        <v>150</v>
      </c>
      <c r="F533" s="54" t="s">
        <v>150</v>
      </c>
      <c r="G533" s="54" t="s">
        <v>150</v>
      </c>
      <c r="H533" s="54" t="s">
        <v>150</v>
      </c>
      <c r="J533" s="38"/>
      <c r="L533" s="52" t="s">
        <v>152</v>
      </c>
      <c r="M533" s="54" t="s">
        <v>150</v>
      </c>
      <c r="N533" s="54" t="s">
        <v>150</v>
      </c>
      <c r="O533" s="54" t="s">
        <v>150</v>
      </c>
      <c r="P533" s="54" t="s">
        <v>150</v>
      </c>
      <c r="Q533" s="54" t="s">
        <v>150</v>
      </c>
      <c r="R533" s="54" t="s">
        <v>150</v>
      </c>
      <c r="S533" s="55"/>
      <c r="T533" s="56"/>
      <c r="U533" s="41"/>
      <c r="V533" s="52" t="str">
        <f t="shared" si="362"/>
        <v>FICO 660-699</v>
      </c>
      <c r="W533" s="54" t="s">
        <v>150</v>
      </c>
      <c r="X533" s="54" t="s">
        <v>150</v>
      </c>
      <c r="Y533" s="54" t="s">
        <v>150</v>
      </c>
      <c r="Z533" s="54" t="s">
        <v>150</v>
      </c>
      <c r="AA533" s="54" t="s">
        <v>150</v>
      </c>
      <c r="AB533" s="54" t="s">
        <v>150</v>
      </c>
      <c r="AD533" s="38"/>
      <c r="AF533" s="52" t="str">
        <f t="shared" si="363"/>
        <v>FICO 660-699</v>
      </c>
      <c r="AG533" s="54" t="s">
        <v>150</v>
      </c>
      <c r="AH533" s="54" t="s">
        <v>150</v>
      </c>
      <c r="AI533" s="54" t="s">
        <v>150</v>
      </c>
      <c r="AJ533" s="54" t="s">
        <v>150</v>
      </c>
      <c r="AK533" s="54" t="s">
        <v>150</v>
      </c>
      <c r="AL533" s="54" t="s">
        <v>150</v>
      </c>
      <c r="AM533" s="55"/>
      <c r="AN533" s="56"/>
      <c r="AO533" s="41"/>
      <c r="AP533" s="52" t="str">
        <f t="shared" si="364"/>
        <v>FICO 660-699</v>
      </c>
      <c r="AQ533" s="54" t="s">
        <v>150</v>
      </c>
      <c r="AR533" s="54" t="s">
        <v>150</v>
      </c>
      <c r="AS533" s="54" t="s">
        <v>150</v>
      </c>
      <c r="AT533" s="54" t="s">
        <v>150</v>
      </c>
      <c r="AU533" s="54" t="s">
        <v>150</v>
      </c>
      <c r="AV533" s="54" t="s">
        <v>150</v>
      </c>
      <c r="AX533" s="38"/>
      <c r="AZ533" s="52" t="str">
        <f t="shared" si="365"/>
        <v>FICO 660-699</v>
      </c>
      <c r="BA533" s="54" t="s">
        <v>150</v>
      </c>
      <c r="BB533" s="54" t="s">
        <v>150</v>
      </c>
      <c r="BC533" s="54" t="s">
        <v>150</v>
      </c>
      <c r="BD533" s="54" t="s">
        <v>150</v>
      </c>
      <c r="BE533" s="54" t="s">
        <v>150</v>
      </c>
      <c r="BF533" s="54" t="s">
        <v>150</v>
      </c>
    </row>
    <row r="534" spans="2:58" s="37" customFormat="1" ht="12.75" customHeight="1" x14ac:dyDescent="0.45">
      <c r="B534" s="57" t="s">
        <v>153</v>
      </c>
      <c r="C534" s="59" t="s">
        <v>150</v>
      </c>
      <c r="D534" s="59" t="s">
        <v>150</v>
      </c>
      <c r="E534" s="59" t="s">
        <v>150</v>
      </c>
      <c r="F534" s="59" t="s">
        <v>150</v>
      </c>
      <c r="G534" s="59" t="s">
        <v>150</v>
      </c>
      <c r="H534" s="59" t="s">
        <v>150</v>
      </c>
      <c r="J534" s="38"/>
      <c r="L534" s="57" t="s">
        <v>153</v>
      </c>
      <c r="M534" s="59" t="s">
        <v>150</v>
      </c>
      <c r="N534" s="59" t="s">
        <v>150</v>
      </c>
      <c r="O534" s="59" t="s">
        <v>150</v>
      </c>
      <c r="P534" s="59" t="s">
        <v>150</v>
      </c>
      <c r="Q534" s="59" t="s">
        <v>150</v>
      </c>
      <c r="R534" s="59" t="s">
        <v>150</v>
      </c>
      <c r="S534" s="55"/>
      <c r="T534" s="56"/>
      <c r="U534" s="41"/>
      <c r="V534" s="57" t="str">
        <f t="shared" si="362"/>
        <v>FICO 640-659</v>
      </c>
      <c r="W534" s="59" t="s">
        <v>150</v>
      </c>
      <c r="X534" s="59" t="s">
        <v>150</v>
      </c>
      <c r="Y534" s="59" t="s">
        <v>150</v>
      </c>
      <c r="Z534" s="59" t="s">
        <v>150</v>
      </c>
      <c r="AA534" s="59" t="s">
        <v>150</v>
      </c>
      <c r="AB534" s="59" t="s">
        <v>150</v>
      </c>
      <c r="AD534" s="38"/>
      <c r="AF534" s="57" t="str">
        <f t="shared" si="363"/>
        <v>FICO 640-659</v>
      </c>
      <c r="AG534" s="59" t="s">
        <v>150</v>
      </c>
      <c r="AH534" s="59" t="s">
        <v>150</v>
      </c>
      <c r="AI534" s="59" t="s">
        <v>150</v>
      </c>
      <c r="AJ534" s="59" t="s">
        <v>150</v>
      </c>
      <c r="AK534" s="59" t="s">
        <v>150</v>
      </c>
      <c r="AL534" s="59" t="s">
        <v>150</v>
      </c>
      <c r="AM534" s="55"/>
      <c r="AN534" s="56"/>
      <c r="AO534" s="41"/>
      <c r="AP534" s="57" t="str">
        <f t="shared" si="364"/>
        <v>FICO 640-659</v>
      </c>
      <c r="AQ534" s="59" t="s">
        <v>150</v>
      </c>
      <c r="AR534" s="59" t="s">
        <v>150</v>
      </c>
      <c r="AS534" s="59" t="s">
        <v>150</v>
      </c>
      <c r="AT534" s="59" t="s">
        <v>150</v>
      </c>
      <c r="AU534" s="59" t="s">
        <v>150</v>
      </c>
      <c r="AV534" s="59" t="s">
        <v>150</v>
      </c>
      <c r="AX534" s="38"/>
      <c r="AZ534" s="57" t="str">
        <f t="shared" si="365"/>
        <v>FICO 640-659</v>
      </c>
      <c r="BA534" s="59" t="s">
        <v>150</v>
      </c>
      <c r="BB534" s="59" t="s">
        <v>150</v>
      </c>
      <c r="BC534" s="59" t="s">
        <v>150</v>
      </c>
      <c r="BD534" s="59" t="s">
        <v>150</v>
      </c>
      <c r="BE534" s="59" t="s">
        <v>150</v>
      </c>
      <c r="BF534" s="59" t="s">
        <v>150</v>
      </c>
    </row>
    <row r="535" spans="2:58" s="37" customFormat="1" ht="12.75" customHeight="1" x14ac:dyDescent="0.45">
      <c r="B535" s="60" t="s">
        <v>155</v>
      </c>
      <c r="C535" s="64" t="s">
        <v>150</v>
      </c>
      <c r="D535" s="64" t="s">
        <v>150</v>
      </c>
      <c r="E535" s="64" t="s">
        <v>150</v>
      </c>
      <c r="F535" s="64" t="s">
        <v>150</v>
      </c>
      <c r="G535" s="64" t="s">
        <v>150</v>
      </c>
      <c r="H535" s="64" t="s">
        <v>150</v>
      </c>
      <c r="J535" s="38"/>
      <c r="L535" s="60" t="s">
        <v>155</v>
      </c>
      <c r="M535" s="64" t="s">
        <v>150</v>
      </c>
      <c r="N535" s="64" t="s">
        <v>150</v>
      </c>
      <c r="O535" s="64" t="s">
        <v>150</v>
      </c>
      <c r="P535" s="64" t="s">
        <v>150</v>
      </c>
      <c r="Q535" s="64" t="s">
        <v>150</v>
      </c>
      <c r="R535" s="64" t="s">
        <v>150</v>
      </c>
      <c r="S535" s="50"/>
      <c r="T535" s="51"/>
      <c r="U535" s="41"/>
      <c r="V535" s="60" t="str">
        <f t="shared" si="362"/>
        <v>&lt;64.99%</v>
      </c>
      <c r="W535" s="64" t="s">
        <v>150</v>
      </c>
      <c r="X535" s="64" t="s">
        <v>150</v>
      </c>
      <c r="Y535" s="64" t="s">
        <v>150</v>
      </c>
      <c r="Z535" s="64" t="s">
        <v>150</v>
      </c>
      <c r="AA535" s="64" t="s">
        <v>150</v>
      </c>
      <c r="AB535" s="64" t="s">
        <v>150</v>
      </c>
      <c r="AD535" s="38"/>
      <c r="AF535" s="60" t="str">
        <f t="shared" si="363"/>
        <v>&lt;64.99%</v>
      </c>
      <c r="AG535" s="64" t="s">
        <v>150</v>
      </c>
      <c r="AH535" s="64" t="s">
        <v>150</v>
      </c>
      <c r="AI535" s="64" t="s">
        <v>150</v>
      </c>
      <c r="AJ535" s="64" t="s">
        <v>150</v>
      </c>
      <c r="AK535" s="64" t="s">
        <v>150</v>
      </c>
      <c r="AL535" s="64" t="s">
        <v>150</v>
      </c>
      <c r="AM535" s="50"/>
      <c r="AN535" s="51"/>
      <c r="AO535" s="41"/>
      <c r="AP535" s="60" t="str">
        <f t="shared" si="364"/>
        <v>&lt;64.99%</v>
      </c>
      <c r="AQ535" s="64" t="s">
        <v>150</v>
      </c>
      <c r="AR535" s="64" t="s">
        <v>150</v>
      </c>
      <c r="AS535" s="64" t="s">
        <v>150</v>
      </c>
      <c r="AT535" s="64" t="s">
        <v>150</v>
      </c>
      <c r="AU535" s="64" t="s">
        <v>150</v>
      </c>
      <c r="AV535" s="64" t="s">
        <v>150</v>
      </c>
      <c r="AX535" s="38"/>
      <c r="AZ535" s="60" t="str">
        <f t="shared" si="365"/>
        <v>&lt;64.99%</v>
      </c>
      <c r="BA535" s="49" t="s">
        <v>150</v>
      </c>
      <c r="BB535" s="49" t="s">
        <v>150</v>
      </c>
      <c r="BC535" s="49" t="s">
        <v>150</v>
      </c>
      <c r="BD535" s="49" t="s">
        <v>150</v>
      </c>
      <c r="BE535" s="49" t="s">
        <v>150</v>
      </c>
      <c r="BF535" s="49" t="s">
        <v>150</v>
      </c>
    </row>
    <row r="536" spans="2:58" s="37" customFormat="1" ht="12.75" customHeight="1" x14ac:dyDescent="0.45">
      <c r="B536" s="52" t="s">
        <v>151</v>
      </c>
      <c r="C536" s="54" t="s">
        <v>150</v>
      </c>
      <c r="D536" s="54" t="s">
        <v>150</v>
      </c>
      <c r="E536" s="54" t="s">
        <v>150</v>
      </c>
      <c r="F536" s="54" t="s">
        <v>150</v>
      </c>
      <c r="G536" s="54" t="s">
        <v>150</v>
      </c>
      <c r="H536" s="54" t="s">
        <v>150</v>
      </c>
      <c r="J536" s="38"/>
      <c r="L536" s="52" t="s">
        <v>151</v>
      </c>
      <c r="M536" s="54" t="s">
        <v>150</v>
      </c>
      <c r="N536" s="54" t="s">
        <v>150</v>
      </c>
      <c r="O536" s="54" t="s">
        <v>150</v>
      </c>
      <c r="P536" s="54" t="s">
        <v>150</v>
      </c>
      <c r="Q536" s="54" t="s">
        <v>150</v>
      </c>
      <c r="R536" s="54" t="s">
        <v>150</v>
      </c>
      <c r="S536" s="55"/>
      <c r="T536" s="56"/>
      <c r="U536" s="41"/>
      <c r="V536" s="52" t="str">
        <f t="shared" si="362"/>
        <v>FICO 700+</v>
      </c>
      <c r="W536" s="54" t="s">
        <v>150</v>
      </c>
      <c r="X536" s="54" t="s">
        <v>150</v>
      </c>
      <c r="Y536" s="54" t="s">
        <v>150</v>
      </c>
      <c r="Z536" s="54" t="s">
        <v>150</v>
      </c>
      <c r="AA536" s="54" t="s">
        <v>150</v>
      </c>
      <c r="AB536" s="54" t="s">
        <v>150</v>
      </c>
      <c r="AD536" s="38"/>
      <c r="AF536" s="52" t="str">
        <f t="shared" si="363"/>
        <v>FICO 700+</v>
      </c>
      <c r="AG536" s="54" t="s">
        <v>150</v>
      </c>
      <c r="AH536" s="54" t="s">
        <v>150</v>
      </c>
      <c r="AI536" s="54" t="s">
        <v>150</v>
      </c>
      <c r="AJ536" s="54" t="s">
        <v>150</v>
      </c>
      <c r="AK536" s="54" t="s">
        <v>150</v>
      </c>
      <c r="AL536" s="54" t="s">
        <v>150</v>
      </c>
      <c r="AM536" s="55"/>
      <c r="AN536" s="56"/>
      <c r="AO536" s="41"/>
      <c r="AP536" s="52" t="str">
        <f t="shared" si="364"/>
        <v>FICO 700+</v>
      </c>
      <c r="AQ536" s="54" t="s">
        <v>150</v>
      </c>
      <c r="AR536" s="54" t="s">
        <v>150</v>
      </c>
      <c r="AS536" s="54" t="s">
        <v>150</v>
      </c>
      <c r="AT536" s="54" t="s">
        <v>150</v>
      </c>
      <c r="AU536" s="54" t="s">
        <v>150</v>
      </c>
      <c r="AV536" s="54" t="s">
        <v>150</v>
      </c>
      <c r="AX536" s="38"/>
      <c r="AZ536" s="52" t="str">
        <f t="shared" si="365"/>
        <v>FICO 700+</v>
      </c>
      <c r="BA536" s="54" t="s">
        <v>150</v>
      </c>
      <c r="BB536" s="54" t="s">
        <v>150</v>
      </c>
      <c r="BC536" s="54" t="s">
        <v>150</v>
      </c>
      <c r="BD536" s="54" t="s">
        <v>150</v>
      </c>
      <c r="BE536" s="54" t="s">
        <v>150</v>
      </c>
      <c r="BF536" s="54" t="s">
        <v>150</v>
      </c>
    </row>
    <row r="537" spans="2:58" s="37" customFormat="1" ht="12.75" customHeight="1" x14ac:dyDescent="0.45">
      <c r="B537" s="52" t="s">
        <v>152</v>
      </c>
      <c r="C537" s="54" t="s">
        <v>150</v>
      </c>
      <c r="D537" s="54" t="s">
        <v>150</v>
      </c>
      <c r="E537" s="54" t="s">
        <v>150</v>
      </c>
      <c r="F537" s="54" t="s">
        <v>150</v>
      </c>
      <c r="G537" s="54" t="s">
        <v>150</v>
      </c>
      <c r="H537" s="54" t="s">
        <v>150</v>
      </c>
      <c r="J537" s="38"/>
      <c r="L537" s="52" t="s">
        <v>152</v>
      </c>
      <c r="M537" s="54" t="s">
        <v>150</v>
      </c>
      <c r="N537" s="54" t="s">
        <v>150</v>
      </c>
      <c r="O537" s="54" t="s">
        <v>150</v>
      </c>
      <c r="P537" s="54" t="s">
        <v>150</v>
      </c>
      <c r="Q537" s="54" t="s">
        <v>150</v>
      </c>
      <c r="R537" s="54" t="s">
        <v>150</v>
      </c>
      <c r="S537" s="55"/>
      <c r="T537" s="56"/>
      <c r="U537" s="41"/>
      <c r="V537" s="52" t="str">
        <f t="shared" si="362"/>
        <v>FICO 660-699</v>
      </c>
      <c r="W537" s="54" t="s">
        <v>150</v>
      </c>
      <c r="X537" s="54" t="s">
        <v>150</v>
      </c>
      <c r="Y537" s="54" t="s">
        <v>150</v>
      </c>
      <c r="Z537" s="54" t="s">
        <v>150</v>
      </c>
      <c r="AA537" s="54" t="s">
        <v>150</v>
      </c>
      <c r="AB537" s="54" t="s">
        <v>150</v>
      </c>
      <c r="AD537" s="38"/>
      <c r="AF537" s="52" t="str">
        <f t="shared" si="363"/>
        <v>FICO 660-699</v>
      </c>
      <c r="AG537" s="54" t="s">
        <v>150</v>
      </c>
      <c r="AH537" s="54" t="s">
        <v>150</v>
      </c>
      <c r="AI537" s="54" t="s">
        <v>150</v>
      </c>
      <c r="AJ537" s="54" t="s">
        <v>150</v>
      </c>
      <c r="AK537" s="54" t="s">
        <v>150</v>
      </c>
      <c r="AL537" s="54" t="s">
        <v>150</v>
      </c>
      <c r="AM537" s="55"/>
      <c r="AN537" s="56"/>
      <c r="AO537" s="41"/>
      <c r="AP537" s="52" t="str">
        <f t="shared" si="364"/>
        <v>FICO 660-699</v>
      </c>
      <c r="AQ537" s="54" t="s">
        <v>150</v>
      </c>
      <c r="AR537" s="54" t="s">
        <v>150</v>
      </c>
      <c r="AS537" s="54" t="s">
        <v>150</v>
      </c>
      <c r="AT537" s="54" t="s">
        <v>150</v>
      </c>
      <c r="AU537" s="54" t="s">
        <v>150</v>
      </c>
      <c r="AV537" s="54" t="s">
        <v>150</v>
      </c>
      <c r="AX537" s="38"/>
      <c r="AZ537" s="52" t="str">
        <f t="shared" si="365"/>
        <v>FICO 660-699</v>
      </c>
      <c r="BA537" s="54" t="s">
        <v>150</v>
      </c>
      <c r="BB537" s="54" t="s">
        <v>150</v>
      </c>
      <c r="BC537" s="54" t="s">
        <v>150</v>
      </c>
      <c r="BD537" s="54" t="s">
        <v>150</v>
      </c>
      <c r="BE537" s="54" t="s">
        <v>150</v>
      </c>
      <c r="BF537" s="54" t="s">
        <v>150</v>
      </c>
    </row>
    <row r="538" spans="2:58" s="37" customFormat="1" ht="12.75" customHeight="1" x14ac:dyDescent="0.45">
      <c r="B538" s="52" t="s">
        <v>153</v>
      </c>
      <c r="C538" s="54" t="s">
        <v>150</v>
      </c>
      <c r="D538" s="54" t="s">
        <v>150</v>
      </c>
      <c r="E538" s="54" t="s">
        <v>150</v>
      </c>
      <c r="F538" s="54" t="s">
        <v>150</v>
      </c>
      <c r="G538" s="54" t="s">
        <v>150</v>
      </c>
      <c r="H538" s="54" t="s">
        <v>150</v>
      </c>
      <c r="J538" s="38"/>
      <c r="L538" s="52" t="s">
        <v>153</v>
      </c>
      <c r="M538" s="54" t="s">
        <v>150</v>
      </c>
      <c r="N538" s="54" t="s">
        <v>150</v>
      </c>
      <c r="O538" s="54" t="s">
        <v>150</v>
      </c>
      <c r="P538" s="54" t="s">
        <v>150</v>
      </c>
      <c r="Q538" s="54" t="s">
        <v>150</v>
      </c>
      <c r="R538" s="54" t="s">
        <v>150</v>
      </c>
      <c r="S538" s="55"/>
      <c r="T538" s="56"/>
      <c r="U538" s="41"/>
      <c r="V538" s="52" t="str">
        <f t="shared" si="362"/>
        <v>FICO 640-659</v>
      </c>
      <c r="W538" s="54" t="s">
        <v>150</v>
      </c>
      <c r="X538" s="54" t="s">
        <v>150</v>
      </c>
      <c r="Y538" s="54" t="s">
        <v>150</v>
      </c>
      <c r="Z538" s="54" t="s">
        <v>150</v>
      </c>
      <c r="AA538" s="54" t="s">
        <v>150</v>
      </c>
      <c r="AB538" s="54" t="s">
        <v>150</v>
      </c>
      <c r="AD538" s="38"/>
      <c r="AF538" s="52" t="str">
        <f t="shared" si="363"/>
        <v>FICO 640-659</v>
      </c>
      <c r="AG538" s="54" t="s">
        <v>150</v>
      </c>
      <c r="AH538" s="54" t="s">
        <v>150</v>
      </c>
      <c r="AI538" s="54" t="s">
        <v>150</v>
      </c>
      <c r="AJ538" s="54" t="s">
        <v>150</v>
      </c>
      <c r="AK538" s="54" t="s">
        <v>150</v>
      </c>
      <c r="AL538" s="54" t="s">
        <v>150</v>
      </c>
      <c r="AM538" s="55"/>
      <c r="AN538" s="56"/>
      <c r="AO538" s="41"/>
      <c r="AP538" s="52" t="str">
        <f t="shared" si="364"/>
        <v>FICO 640-659</v>
      </c>
      <c r="AQ538" s="54" t="s">
        <v>150</v>
      </c>
      <c r="AR538" s="54" t="s">
        <v>150</v>
      </c>
      <c r="AS538" s="54" t="s">
        <v>150</v>
      </c>
      <c r="AT538" s="54" t="s">
        <v>150</v>
      </c>
      <c r="AU538" s="54" t="s">
        <v>150</v>
      </c>
      <c r="AV538" s="54" t="s">
        <v>150</v>
      </c>
      <c r="AX538" s="38"/>
      <c r="AZ538" s="52" t="str">
        <f t="shared" si="365"/>
        <v>FICO 640-659</v>
      </c>
      <c r="BA538" s="54" t="s">
        <v>150</v>
      </c>
      <c r="BB538" s="54" t="s">
        <v>150</v>
      </c>
      <c r="BC538" s="54" t="s">
        <v>150</v>
      </c>
      <c r="BD538" s="54" t="s">
        <v>150</v>
      </c>
      <c r="BE538" s="54" t="s">
        <v>150</v>
      </c>
      <c r="BF538" s="54" t="s">
        <v>150</v>
      </c>
    </row>
    <row r="539" spans="2:58" s="37" customFormat="1" ht="12.75" customHeight="1" x14ac:dyDescent="0.45">
      <c r="C539" s="63"/>
      <c r="D539" s="63"/>
      <c r="E539" s="63"/>
      <c r="F539" s="63"/>
      <c r="G539" s="63"/>
      <c r="H539" s="63"/>
      <c r="J539" s="38"/>
      <c r="M539" s="63"/>
      <c r="N539" s="63"/>
      <c r="O539" s="63"/>
      <c r="P539" s="63"/>
      <c r="Q539" s="63"/>
      <c r="R539" s="63"/>
      <c r="S539" s="55"/>
      <c r="T539" s="56"/>
      <c r="U539" s="41"/>
      <c r="W539" s="63"/>
      <c r="X539" s="63"/>
      <c r="Y539" s="63"/>
      <c r="Z539" s="63"/>
      <c r="AA539" s="63"/>
      <c r="AB539" s="63"/>
      <c r="AD539" s="38"/>
      <c r="AG539" s="63"/>
      <c r="AH539" s="63"/>
      <c r="AI539" s="63"/>
      <c r="AJ539" s="63"/>
      <c r="AK539" s="63"/>
      <c r="AL539" s="63"/>
      <c r="AM539" s="55"/>
      <c r="AN539" s="56"/>
      <c r="AO539" s="41"/>
      <c r="AQ539" s="63"/>
      <c r="AR539" s="63"/>
      <c r="AS539" s="63"/>
      <c r="AT539" s="63"/>
      <c r="AU539" s="63"/>
      <c r="AV539" s="63"/>
      <c r="AX539" s="38"/>
      <c r="BA539" s="63"/>
      <c r="BB539" s="63"/>
      <c r="BC539" s="63"/>
      <c r="BD539" s="63"/>
      <c r="BE539" s="63"/>
      <c r="BF539" s="63"/>
    </row>
    <row r="540" spans="2:58" s="37" customFormat="1" ht="15.75" customHeight="1" x14ac:dyDescent="0.45">
      <c r="B540" s="94" t="s">
        <v>157</v>
      </c>
      <c r="C540" s="94"/>
      <c r="D540" s="94"/>
      <c r="E540" s="94"/>
      <c r="F540" s="94"/>
      <c r="G540" s="94"/>
      <c r="H540" s="94"/>
      <c r="J540" s="38"/>
      <c r="L540" s="94" t="s">
        <v>172</v>
      </c>
      <c r="M540" s="94"/>
      <c r="N540" s="94"/>
      <c r="O540" s="94"/>
      <c r="P540" s="94"/>
      <c r="Q540" s="94"/>
      <c r="R540" s="94"/>
      <c r="S540" s="39"/>
      <c r="T540" s="40"/>
      <c r="U540" s="41"/>
      <c r="V540" s="94" t="s">
        <v>172</v>
      </c>
      <c r="W540" s="94"/>
      <c r="X540" s="94"/>
      <c r="Y540" s="94"/>
      <c r="Z540" s="94"/>
      <c r="AA540" s="94"/>
      <c r="AB540" s="94"/>
      <c r="AD540" s="38"/>
      <c r="AF540" s="94" t="s">
        <v>172</v>
      </c>
      <c r="AG540" s="94"/>
      <c r="AH540" s="94"/>
      <c r="AI540" s="94"/>
      <c r="AJ540" s="94"/>
      <c r="AK540" s="94"/>
      <c r="AL540" s="94"/>
      <c r="AM540" s="39"/>
      <c r="AN540" s="40"/>
      <c r="AO540" s="41"/>
      <c r="AP540" s="94" t="s">
        <v>172</v>
      </c>
      <c r="AQ540" s="94"/>
      <c r="AR540" s="94"/>
      <c r="AS540" s="94"/>
      <c r="AT540" s="94"/>
      <c r="AU540" s="94"/>
      <c r="AV540" s="94"/>
      <c r="AX540" s="38"/>
      <c r="AZ540" s="94" t="s">
        <v>172</v>
      </c>
      <c r="BA540" s="94"/>
      <c r="BB540" s="94"/>
      <c r="BC540" s="94"/>
      <c r="BD540" s="94"/>
      <c r="BE540" s="94"/>
      <c r="BF540" s="94"/>
    </row>
    <row r="541" spans="2:58" s="37" customFormat="1" ht="12.75" customHeight="1" x14ac:dyDescent="0.45">
      <c r="B541" s="42"/>
      <c r="C541" s="95" t="s">
        <v>50</v>
      </c>
      <c r="D541" s="95"/>
      <c r="E541" s="95"/>
      <c r="F541" s="95"/>
      <c r="G541" s="95"/>
      <c r="H541" s="95"/>
      <c r="J541" s="38"/>
      <c r="L541" s="42"/>
      <c r="M541" s="95" t="s">
        <v>50</v>
      </c>
      <c r="N541" s="95"/>
      <c r="O541" s="95"/>
      <c r="P541" s="95"/>
      <c r="Q541" s="95"/>
      <c r="R541" s="95"/>
      <c r="S541" s="41"/>
      <c r="T541" s="43"/>
      <c r="U541" s="41"/>
      <c r="V541" s="42"/>
      <c r="W541" s="95" t="str">
        <f>C541</f>
        <v>LTC</v>
      </c>
      <c r="X541" s="95"/>
      <c r="Y541" s="95"/>
      <c r="Z541" s="95"/>
      <c r="AA541" s="95"/>
      <c r="AB541" s="95"/>
      <c r="AD541" s="38"/>
      <c r="AF541" s="42"/>
      <c r="AG541" s="95" t="str">
        <f>W541</f>
        <v>LTC</v>
      </c>
      <c r="AH541" s="95"/>
      <c r="AI541" s="95"/>
      <c r="AJ541" s="95"/>
      <c r="AK541" s="95"/>
      <c r="AL541" s="95"/>
      <c r="AM541" s="41"/>
      <c r="AN541" s="43"/>
      <c r="AO541" s="41"/>
      <c r="AP541" s="42"/>
      <c r="AQ541" s="95" t="str">
        <f>C541</f>
        <v>LTC</v>
      </c>
      <c r="AR541" s="95"/>
      <c r="AS541" s="95"/>
      <c r="AT541" s="95"/>
      <c r="AU541" s="95"/>
      <c r="AV541" s="95"/>
      <c r="AX541" s="38"/>
      <c r="AZ541" s="42"/>
      <c r="BA541" s="95" t="str">
        <f>C541</f>
        <v>LTC</v>
      </c>
      <c r="BB541" s="95"/>
      <c r="BC541" s="95"/>
      <c r="BD541" s="95"/>
      <c r="BE541" s="95"/>
      <c r="BF541" s="95"/>
    </row>
    <row r="542" spans="2:58" s="37" customFormat="1" ht="12.75" customHeight="1" x14ac:dyDescent="0.45">
      <c r="B542" s="44" t="s">
        <v>52</v>
      </c>
      <c r="C542" s="45" t="s">
        <v>143</v>
      </c>
      <c r="D542" s="45" t="s">
        <v>144</v>
      </c>
      <c r="E542" s="45" t="s">
        <v>145</v>
      </c>
      <c r="F542" s="45" t="s">
        <v>146</v>
      </c>
      <c r="G542" s="45" t="s">
        <v>147</v>
      </c>
      <c r="H542" s="45" t="s">
        <v>148</v>
      </c>
      <c r="J542" s="38"/>
      <c r="L542" s="44" t="s">
        <v>52</v>
      </c>
      <c r="M542" s="45" t="s">
        <v>143</v>
      </c>
      <c r="N542" s="45" t="s">
        <v>144</v>
      </c>
      <c r="O542" s="45" t="s">
        <v>145</v>
      </c>
      <c r="P542" s="45" t="s">
        <v>146</v>
      </c>
      <c r="Q542" s="45" t="s">
        <v>147</v>
      </c>
      <c r="R542" s="45" t="s">
        <v>148</v>
      </c>
      <c r="S542" s="41"/>
      <c r="T542" s="43"/>
      <c r="U542" s="41"/>
      <c r="V542" s="44" t="str">
        <f t="shared" ref="V542:V554" si="366">B542</f>
        <v>AR-LTV</v>
      </c>
      <c r="W542" s="45" t="str">
        <f>C542</f>
        <v>&lt;74.99%</v>
      </c>
      <c r="X542" s="45" t="str">
        <f>D542</f>
        <v>75.00%-80.00%</v>
      </c>
      <c r="Y542" s="45" t="str">
        <f>E542</f>
        <v>80.01%-85.00%</v>
      </c>
      <c r="Z542" s="45" t="str">
        <f>F542</f>
        <v>85.01%-87.50%</v>
      </c>
      <c r="AA542" s="45" t="str">
        <f>G542</f>
        <v>87.51%-89.99%</v>
      </c>
      <c r="AB542" s="45" t="str">
        <f>H542</f>
        <v>90.00%-92.50%</v>
      </c>
      <c r="AD542" s="38"/>
      <c r="AF542" s="44" t="str">
        <f t="shared" ref="AF542:AF554" si="367">V542</f>
        <v>AR-LTV</v>
      </c>
      <c r="AG542" s="45" t="str">
        <f>W542</f>
        <v>&lt;74.99%</v>
      </c>
      <c r="AH542" s="45" t="str">
        <f>X542</f>
        <v>75.00%-80.00%</v>
      </c>
      <c r="AI542" s="45" t="str">
        <f>Y542</f>
        <v>80.01%-85.00%</v>
      </c>
      <c r="AJ542" s="45" t="str">
        <f>Z542</f>
        <v>85.01%-87.50%</v>
      </c>
      <c r="AK542" s="45" t="str">
        <f>AA542</f>
        <v>87.51%-89.99%</v>
      </c>
      <c r="AL542" s="45" t="str">
        <f>AB542</f>
        <v>90.00%-92.50%</v>
      </c>
      <c r="AM542" s="41"/>
      <c r="AN542" s="43"/>
      <c r="AO542" s="41"/>
      <c r="AP542" s="44" t="str">
        <f t="shared" ref="AP542:AP554" si="368">B542</f>
        <v>AR-LTV</v>
      </c>
      <c r="AQ542" s="45" t="str">
        <f>C542</f>
        <v>&lt;74.99%</v>
      </c>
      <c r="AR542" s="45" t="str">
        <f>D542</f>
        <v>75.00%-80.00%</v>
      </c>
      <c r="AS542" s="45" t="str">
        <f>E542</f>
        <v>80.01%-85.00%</v>
      </c>
      <c r="AT542" s="45" t="str">
        <f>F542</f>
        <v>85.01%-87.50%</v>
      </c>
      <c r="AU542" s="45" t="str">
        <f>G542</f>
        <v>87.51%-89.99%</v>
      </c>
      <c r="AV542" s="45" t="str">
        <f>H542</f>
        <v>90.00%-92.50%</v>
      </c>
      <c r="AX542" s="38"/>
      <c r="AZ542" s="44" t="str">
        <f t="shared" ref="AZ542:AZ554" si="369">B542</f>
        <v>AR-LTV</v>
      </c>
      <c r="BA542" s="45" t="str">
        <f>C542</f>
        <v>&lt;74.99%</v>
      </c>
      <c r="BB542" s="45" t="str">
        <f>D542</f>
        <v>75.00%-80.00%</v>
      </c>
      <c r="BC542" s="45" t="str">
        <f>E542</f>
        <v>80.01%-85.00%</v>
      </c>
      <c r="BD542" s="45" t="str">
        <f>F542</f>
        <v>85.01%-87.50%</v>
      </c>
      <c r="BE542" s="45" t="str">
        <f>G542</f>
        <v>87.51%-89.99%</v>
      </c>
      <c r="BF542" s="45" t="str">
        <f>H542</f>
        <v>90.00%-92.50%</v>
      </c>
    </row>
    <row r="543" spans="2:58" s="37" customFormat="1" ht="12.75" customHeight="1" x14ac:dyDescent="0.45">
      <c r="B543" s="46" t="s">
        <v>149</v>
      </c>
      <c r="C543" s="49" t="s">
        <v>150</v>
      </c>
      <c r="D543" s="49" t="s">
        <v>150</v>
      </c>
      <c r="E543" s="49" t="s">
        <v>150</v>
      </c>
      <c r="F543" s="49" t="s">
        <v>150</v>
      </c>
      <c r="G543" s="49" t="s">
        <v>150</v>
      </c>
      <c r="H543" s="49" t="s">
        <v>150</v>
      </c>
      <c r="J543" s="38"/>
      <c r="L543" s="46" t="s">
        <v>149</v>
      </c>
      <c r="M543" s="49" t="s">
        <v>150</v>
      </c>
      <c r="N543" s="49" t="s">
        <v>150</v>
      </c>
      <c r="O543" s="49" t="s">
        <v>150</v>
      </c>
      <c r="P543" s="49" t="s">
        <v>150</v>
      </c>
      <c r="Q543" s="49" t="s">
        <v>150</v>
      </c>
      <c r="R543" s="49" t="s">
        <v>150</v>
      </c>
      <c r="S543" s="50"/>
      <c r="T543" s="51"/>
      <c r="U543" s="41"/>
      <c r="V543" s="46" t="str">
        <f t="shared" si="366"/>
        <v>70.01%-75.00%</v>
      </c>
      <c r="W543" s="49" t="s">
        <v>150</v>
      </c>
      <c r="X543" s="49" t="s">
        <v>150</v>
      </c>
      <c r="Y543" s="49" t="s">
        <v>150</v>
      </c>
      <c r="Z543" s="49" t="s">
        <v>150</v>
      </c>
      <c r="AA543" s="49" t="s">
        <v>150</v>
      </c>
      <c r="AB543" s="49" t="s">
        <v>150</v>
      </c>
      <c r="AD543" s="38"/>
      <c r="AF543" s="46" t="str">
        <f t="shared" si="367"/>
        <v>70.01%-75.00%</v>
      </c>
      <c r="AG543" s="49" t="s">
        <v>150</v>
      </c>
      <c r="AH543" s="49" t="s">
        <v>150</v>
      </c>
      <c r="AI543" s="49" t="s">
        <v>150</v>
      </c>
      <c r="AJ543" s="49" t="s">
        <v>150</v>
      </c>
      <c r="AK543" s="49" t="s">
        <v>150</v>
      </c>
      <c r="AL543" s="49" t="s">
        <v>150</v>
      </c>
      <c r="AM543" s="50"/>
      <c r="AN543" s="51"/>
      <c r="AO543" s="41"/>
      <c r="AP543" s="46" t="str">
        <f t="shared" si="368"/>
        <v>70.01%-75.00%</v>
      </c>
      <c r="AQ543" s="49" t="s">
        <v>150</v>
      </c>
      <c r="AR543" s="49" t="s">
        <v>150</v>
      </c>
      <c r="AS543" s="49" t="s">
        <v>150</v>
      </c>
      <c r="AT543" s="49" t="s">
        <v>150</v>
      </c>
      <c r="AU543" s="49" t="s">
        <v>150</v>
      </c>
      <c r="AV543" s="49" t="s">
        <v>150</v>
      </c>
      <c r="AX543" s="38"/>
      <c r="AZ543" s="46" t="str">
        <f t="shared" si="369"/>
        <v>70.01%-75.00%</v>
      </c>
      <c r="BA543" s="49" t="s">
        <v>150</v>
      </c>
      <c r="BB543" s="49" t="s">
        <v>150</v>
      </c>
      <c r="BC543" s="49" t="s">
        <v>150</v>
      </c>
      <c r="BD543" s="49" t="s">
        <v>150</v>
      </c>
      <c r="BE543" s="49" t="s">
        <v>150</v>
      </c>
      <c r="BF543" s="49" t="s">
        <v>150</v>
      </c>
    </row>
    <row r="544" spans="2:58" s="37" customFormat="1" ht="12.75" customHeight="1" x14ac:dyDescent="0.45">
      <c r="B544" s="52" t="s">
        <v>151</v>
      </c>
      <c r="C544" s="54" t="s">
        <v>150</v>
      </c>
      <c r="D544" s="54" t="s">
        <v>150</v>
      </c>
      <c r="E544" s="54" t="s">
        <v>150</v>
      </c>
      <c r="F544" s="54" t="s">
        <v>150</v>
      </c>
      <c r="G544" s="54" t="s">
        <v>150</v>
      </c>
      <c r="H544" s="54" t="s">
        <v>150</v>
      </c>
      <c r="J544" s="38"/>
      <c r="L544" s="52" t="s">
        <v>151</v>
      </c>
      <c r="M544" s="54" t="s">
        <v>150</v>
      </c>
      <c r="N544" s="54" t="s">
        <v>150</v>
      </c>
      <c r="O544" s="54" t="s">
        <v>150</v>
      </c>
      <c r="P544" s="54" t="s">
        <v>150</v>
      </c>
      <c r="Q544" s="54" t="s">
        <v>150</v>
      </c>
      <c r="R544" s="54" t="s">
        <v>150</v>
      </c>
      <c r="S544" s="55"/>
      <c r="T544" s="56"/>
      <c r="U544" s="41"/>
      <c r="V544" s="52" t="str">
        <f t="shared" si="366"/>
        <v>FICO 700+</v>
      </c>
      <c r="W544" s="54" t="s">
        <v>150</v>
      </c>
      <c r="X544" s="54" t="s">
        <v>150</v>
      </c>
      <c r="Y544" s="54" t="s">
        <v>150</v>
      </c>
      <c r="Z544" s="54" t="s">
        <v>150</v>
      </c>
      <c r="AA544" s="54" t="s">
        <v>150</v>
      </c>
      <c r="AB544" s="54" t="s">
        <v>150</v>
      </c>
      <c r="AD544" s="38"/>
      <c r="AF544" s="52" t="str">
        <f t="shared" si="367"/>
        <v>FICO 700+</v>
      </c>
      <c r="AG544" s="54" t="s">
        <v>150</v>
      </c>
      <c r="AH544" s="54" t="s">
        <v>150</v>
      </c>
      <c r="AI544" s="54" t="s">
        <v>150</v>
      </c>
      <c r="AJ544" s="54" t="s">
        <v>150</v>
      </c>
      <c r="AK544" s="54" t="s">
        <v>150</v>
      </c>
      <c r="AL544" s="54" t="s">
        <v>150</v>
      </c>
      <c r="AM544" s="55"/>
      <c r="AN544" s="56"/>
      <c r="AO544" s="41"/>
      <c r="AP544" s="52" t="str">
        <f t="shared" si="368"/>
        <v>FICO 700+</v>
      </c>
      <c r="AQ544" s="54" t="s">
        <v>150</v>
      </c>
      <c r="AR544" s="54" t="s">
        <v>150</v>
      </c>
      <c r="AS544" s="54" t="s">
        <v>150</v>
      </c>
      <c r="AT544" s="54" t="s">
        <v>150</v>
      </c>
      <c r="AU544" s="54" t="s">
        <v>150</v>
      </c>
      <c r="AV544" s="54" t="s">
        <v>150</v>
      </c>
      <c r="AX544" s="38"/>
      <c r="AZ544" s="52" t="str">
        <f t="shared" si="369"/>
        <v>FICO 700+</v>
      </c>
      <c r="BA544" s="54" t="s">
        <v>150</v>
      </c>
      <c r="BB544" s="54" t="s">
        <v>150</v>
      </c>
      <c r="BC544" s="54" t="s">
        <v>150</v>
      </c>
      <c r="BD544" s="54" t="s">
        <v>150</v>
      </c>
      <c r="BE544" s="54" t="s">
        <v>150</v>
      </c>
      <c r="BF544" s="54" t="s">
        <v>150</v>
      </c>
    </row>
    <row r="545" spans="2:58" s="37" customFormat="1" ht="12.75" customHeight="1" x14ac:dyDescent="0.45">
      <c r="B545" s="52" t="s">
        <v>158</v>
      </c>
      <c r="C545" s="54" t="s">
        <v>150</v>
      </c>
      <c r="D545" s="54" t="s">
        <v>150</v>
      </c>
      <c r="E545" s="54" t="s">
        <v>150</v>
      </c>
      <c r="F545" s="54" t="s">
        <v>150</v>
      </c>
      <c r="G545" s="54" t="s">
        <v>150</v>
      </c>
      <c r="H545" s="54" t="s">
        <v>150</v>
      </c>
      <c r="J545" s="38"/>
      <c r="L545" s="52" t="s">
        <v>158</v>
      </c>
      <c r="M545" s="54" t="s">
        <v>150</v>
      </c>
      <c r="N545" s="54" t="s">
        <v>150</v>
      </c>
      <c r="O545" s="54" t="s">
        <v>150</v>
      </c>
      <c r="P545" s="54" t="s">
        <v>150</v>
      </c>
      <c r="Q545" s="54" t="s">
        <v>150</v>
      </c>
      <c r="R545" s="54" t="s">
        <v>150</v>
      </c>
      <c r="S545" s="55"/>
      <c r="T545" s="56"/>
      <c r="U545" s="41"/>
      <c r="V545" s="52" t="str">
        <f t="shared" si="366"/>
        <v>FICO 680-699</v>
      </c>
      <c r="W545" s="54" t="s">
        <v>150</v>
      </c>
      <c r="X545" s="54" t="s">
        <v>150</v>
      </c>
      <c r="Y545" s="54" t="s">
        <v>150</v>
      </c>
      <c r="Z545" s="54" t="s">
        <v>150</v>
      </c>
      <c r="AA545" s="54" t="s">
        <v>150</v>
      </c>
      <c r="AB545" s="54" t="s">
        <v>150</v>
      </c>
      <c r="AD545" s="38"/>
      <c r="AF545" s="52" t="str">
        <f t="shared" si="367"/>
        <v>FICO 680-699</v>
      </c>
      <c r="AG545" s="54" t="s">
        <v>150</v>
      </c>
      <c r="AH545" s="54" t="s">
        <v>150</v>
      </c>
      <c r="AI545" s="54" t="s">
        <v>150</v>
      </c>
      <c r="AJ545" s="54" t="s">
        <v>150</v>
      </c>
      <c r="AK545" s="54" t="s">
        <v>150</v>
      </c>
      <c r="AL545" s="54" t="s">
        <v>150</v>
      </c>
      <c r="AM545" s="55"/>
      <c r="AN545" s="56"/>
      <c r="AO545" s="41"/>
      <c r="AP545" s="52" t="str">
        <f t="shared" si="368"/>
        <v>FICO 680-699</v>
      </c>
      <c r="AQ545" s="54" t="s">
        <v>150</v>
      </c>
      <c r="AR545" s="54" t="s">
        <v>150</v>
      </c>
      <c r="AS545" s="54" t="s">
        <v>150</v>
      </c>
      <c r="AT545" s="54" t="s">
        <v>150</v>
      </c>
      <c r="AU545" s="54" t="s">
        <v>150</v>
      </c>
      <c r="AV545" s="54" t="s">
        <v>150</v>
      </c>
      <c r="AX545" s="38"/>
      <c r="AZ545" s="52" t="str">
        <f t="shared" si="369"/>
        <v>FICO 680-699</v>
      </c>
      <c r="BA545" s="54" t="s">
        <v>150</v>
      </c>
      <c r="BB545" s="54" t="s">
        <v>150</v>
      </c>
      <c r="BC545" s="54" t="s">
        <v>150</v>
      </c>
      <c r="BD545" s="54" t="s">
        <v>150</v>
      </c>
      <c r="BE545" s="54" t="s">
        <v>150</v>
      </c>
      <c r="BF545" s="54" t="s">
        <v>150</v>
      </c>
    </row>
    <row r="546" spans="2:58" s="37" customFormat="1" ht="12.75" customHeight="1" x14ac:dyDescent="0.45">
      <c r="B546" s="57" t="s">
        <v>159</v>
      </c>
      <c r="C546" s="59" t="s">
        <v>150</v>
      </c>
      <c r="D546" s="59" t="s">
        <v>150</v>
      </c>
      <c r="E546" s="59" t="s">
        <v>150</v>
      </c>
      <c r="F546" s="59" t="s">
        <v>150</v>
      </c>
      <c r="G546" s="59" t="s">
        <v>150</v>
      </c>
      <c r="H546" s="59" t="s">
        <v>150</v>
      </c>
      <c r="J546" s="38"/>
      <c r="L546" s="57" t="s">
        <v>159</v>
      </c>
      <c r="M546" s="59" t="s">
        <v>150</v>
      </c>
      <c r="N546" s="59" t="s">
        <v>150</v>
      </c>
      <c r="O546" s="59" t="s">
        <v>150</v>
      </c>
      <c r="P546" s="59" t="s">
        <v>150</v>
      </c>
      <c r="Q546" s="59" t="s">
        <v>150</v>
      </c>
      <c r="R546" s="59" t="s">
        <v>150</v>
      </c>
      <c r="S546" s="55"/>
      <c r="T546" s="56"/>
      <c r="U546" s="41"/>
      <c r="V546" s="57" t="str">
        <f t="shared" si="366"/>
        <v>FICO 640-679</v>
      </c>
      <c r="W546" s="59" t="s">
        <v>150</v>
      </c>
      <c r="X546" s="59" t="s">
        <v>150</v>
      </c>
      <c r="Y546" s="59" t="s">
        <v>150</v>
      </c>
      <c r="Z546" s="59" t="s">
        <v>150</v>
      </c>
      <c r="AA546" s="59" t="s">
        <v>150</v>
      </c>
      <c r="AB546" s="59" t="s">
        <v>150</v>
      </c>
      <c r="AD546" s="38"/>
      <c r="AF546" s="57" t="str">
        <f t="shared" si="367"/>
        <v>FICO 640-679</v>
      </c>
      <c r="AG546" s="59" t="s">
        <v>150</v>
      </c>
      <c r="AH546" s="59" t="s">
        <v>150</v>
      </c>
      <c r="AI546" s="59" t="s">
        <v>150</v>
      </c>
      <c r="AJ546" s="59" t="s">
        <v>150</v>
      </c>
      <c r="AK546" s="59" t="s">
        <v>150</v>
      </c>
      <c r="AL546" s="59" t="s">
        <v>150</v>
      </c>
      <c r="AM546" s="55"/>
      <c r="AN546" s="56"/>
      <c r="AO546" s="41"/>
      <c r="AP546" s="57" t="str">
        <f t="shared" si="368"/>
        <v>FICO 640-679</v>
      </c>
      <c r="AQ546" s="59" t="s">
        <v>150</v>
      </c>
      <c r="AR546" s="59" t="s">
        <v>150</v>
      </c>
      <c r="AS546" s="59" t="s">
        <v>150</v>
      </c>
      <c r="AT546" s="59" t="s">
        <v>150</v>
      </c>
      <c r="AU546" s="59" t="s">
        <v>150</v>
      </c>
      <c r="AV546" s="59" t="s">
        <v>150</v>
      </c>
      <c r="AX546" s="38"/>
      <c r="AZ546" s="57" t="str">
        <f t="shared" si="369"/>
        <v>FICO 640-679</v>
      </c>
      <c r="BA546" s="59" t="s">
        <v>150</v>
      </c>
      <c r="BB546" s="59" t="s">
        <v>150</v>
      </c>
      <c r="BC546" s="59" t="s">
        <v>150</v>
      </c>
      <c r="BD546" s="59" t="s">
        <v>150</v>
      </c>
      <c r="BE546" s="59" t="s">
        <v>150</v>
      </c>
      <c r="BF546" s="59" t="s">
        <v>150</v>
      </c>
    </row>
    <row r="547" spans="2:58" s="37" customFormat="1" ht="12.75" customHeight="1" x14ac:dyDescent="0.45">
      <c r="B547" s="60" t="s">
        <v>154</v>
      </c>
      <c r="C547" s="64" t="s">
        <v>150</v>
      </c>
      <c r="D547" s="64" t="s">
        <v>150</v>
      </c>
      <c r="E547" s="64" t="s">
        <v>150</v>
      </c>
      <c r="F547" s="64" t="s">
        <v>150</v>
      </c>
      <c r="G547" s="64" t="s">
        <v>150</v>
      </c>
      <c r="H547" s="64" t="s">
        <v>150</v>
      </c>
      <c r="J547" s="38"/>
      <c r="L547" s="60" t="s">
        <v>154</v>
      </c>
      <c r="M547" s="64" t="s">
        <v>150</v>
      </c>
      <c r="N547" s="64" t="s">
        <v>150</v>
      </c>
      <c r="O547" s="64" t="s">
        <v>150</v>
      </c>
      <c r="P547" s="64" t="s">
        <v>150</v>
      </c>
      <c r="Q547" s="64" t="s">
        <v>150</v>
      </c>
      <c r="R547" s="64" t="s">
        <v>150</v>
      </c>
      <c r="S547" s="50"/>
      <c r="T547" s="51"/>
      <c r="U547" s="41"/>
      <c r="V547" s="60" t="str">
        <f t="shared" si="366"/>
        <v>65.00%-70.00%</v>
      </c>
      <c r="W547" s="64" t="s">
        <v>150</v>
      </c>
      <c r="X547" s="64" t="s">
        <v>150</v>
      </c>
      <c r="Y547" s="64" t="s">
        <v>150</v>
      </c>
      <c r="Z547" s="64" t="s">
        <v>150</v>
      </c>
      <c r="AA547" s="64" t="s">
        <v>150</v>
      </c>
      <c r="AB547" s="64" t="s">
        <v>150</v>
      </c>
      <c r="AD547" s="38"/>
      <c r="AF547" s="60" t="str">
        <f t="shared" si="367"/>
        <v>65.00%-70.00%</v>
      </c>
      <c r="AG547" s="64" t="s">
        <v>150</v>
      </c>
      <c r="AH547" s="64" t="s">
        <v>150</v>
      </c>
      <c r="AI547" s="64" t="s">
        <v>150</v>
      </c>
      <c r="AJ547" s="64" t="s">
        <v>150</v>
      </c>
      <c r="AK547" s="64" t="s">
        <v>150</v>
      </c>
      <c r="AL547" s="64" t="s">
        <v>150</v>
      </c>
      <c r="AM547" s="50"/>
      <c r="AN547" s="51"/>
      <c r="AO547" s="41"/>
      <c r="AP547" s="60" t="str">
        <f t="shared" si="368"/>
        <v>65.00%-70.00%</v>
      </c>
      <c r="AQ547" s="64" t="s">
        <v>150</v>
      </c>
      <c r="AR547" s="64" t="s">
        <v>150</v>
      </c>
      <c r="AS547" s="64" t="s">
        <v>150</v>
      </c>
      <c r="AT547" s="64" t="s">
        <v>150</v>
      </c>
      <c r="AU547" s="64" t="s">
        <v>150</v>
      </c>
      <c r="AV547" s="64" t="s">
        <v>150</v>
      </c>
      <c r="AX547" s="38"/>
      <c r="AZ547" s="60" t="str">
        <f t="shared" si="369"/>
        <v>65.00%-70.00%</v>
      </c>
      <c r="BA547" s="64" t="s">
        <v>150</v>
      </c>
      <c r="BB547" s="64" t="s">
        <v>150</v>
      </c>
      <c r="BC547" s="64" t="s">
        <v>150</v>
      </c>
      <c r="BD547" s="64" t="s">
        <v>150</v>
      </c>
      <c r="BE547" s="64" t="s">
        <v>150</v>
      </c>
      <c r="BF547" s="64" t="s">
        <v>150</v>
      </c>
    </row>
    <row r="548" spans="2:58" s="37" customFormat="1" ht="12.75" customHeight="1" x14ac:dyDescent="0.45">
      <c r="B548" s="52" t="s">
        <v>151</v>
      </c>
      <c r="C548" s="54" t="s">
        <v>150</v>
      </c>
      <c r="D548" s="54" t="s">
        <v>150</v>
      </c>
      <c r="E548" s="54" t="s">
        <v>150</v>
      </c>
      <c r="F548" s="54" t="s">
        <v>150</v>
      </c>
      <c r="G548" s="54" t="s">
        <v>150</v>
      </c>
      <c r="H548" s="54" t="s">
        <v>150</v>
      </c>
      <c r="J548" s="38"/>
      <c r="L548" s="52" t="s">
        <v>151</v>
      </c>
      <c r="M548" s="54" t="s">
        <v>150</v>
      </c>
      <c r="N548" s="54" t="s">
        <v>150</v>
      </c>
      <c r="O548" s="54" t="s">
        <v>150</v>
      </c>
      <c r="P548" s="54" t="s">
        <v>150</v>
      </c>
      <c r="Q548" s="54" t="s">
        <v>150</v>
      </c>
      <c r="R548" s="54" t="s">
        <v>150</v>
      </c>
      <c r="S548" s="55"/>
      <c r="T548" s="56"/>
      <c r="U548" s="41"/>
      <c r="V548" s="52" t="str">
        <f t="shared" si="366"/>
        <v>FICO 700+</v>
      </c>
      <c r="W548" s="54" t="s">
        <v>150</v>
      </c>
      <c r="X548" s="54" t="s">
        <v>150</v>
      </c>
      <c r="Y548" s="54" t="s">
        <v>150</v>
      </c>
      <c r="Z548" s="54" t="s">
        <v>150</v>
      </c>
      <c r="AA548" s="54" t="s">
        <v>150</v>
      </c>
      <c r="AB548" s="54" t="s">
        <v>150</v>
      </c>
      <c r="AD548" s="38"/>
      <c r="AF548" s="52" t="str">
        <f t="shared" si="367"/>
        <v>FICO 700+</v>
      </c>
      <c r="AG548" s="54" t="s">
        <v>150</v>
      </c>
      <c r="AH548" s="54" t="s">
        <v>150</v>
      </c>
      <c r="AI548" s="54" t="s">
        <v>150</v>
      </c>
      <c r="AJ548" s="54" t="s">
        <v>150</v>
      </c>
      <c r="AK548" s="54" t="s">
        <v>150</v>
      </c>
      <c r="AL548" s="54" t="s">
        <v>150</v>
      </c>
      <c r="AM548" s="55"/>
      <c r="AN548" s="56"/>
      <c r="AO548" s="41"/>
      <c r="AP548" s="52" t="str">
        <f t="shared" si="368"/>
        <v>FICO 700+</v>
      </c>
      <c r="AQ548" s="54" t="s">
        <v>150</v>
      </c>
      <c r="AR548" s="54" t="s">
        <v>150</v>
      </c>
      <c r="AS548" s="54" t="s">
        <v>150</v>
      </c>
      <c r="AT548" s="54" t="s">
        <v>150</v>
      </c>
      <c r="AU548" s="54" t="s">
        <v>150</v>
      </c>
      <c r="AV548" s="54" t="s">
        <v>150</v>
      </c>
      <c r="AX548" s="38"/>
      <c r="AZ548" s="52" t="str">
        <f t="shared" si="369"/>
        <v>FICO 700+</v>
      </c>
      <c r="BA548" s="54" t="s">
        <v>150</v>
      </c>
      <c r="BB548" s="54" t="s">
        <v>150</v>
      </c>
      <c r="BC548" s="54" t="s">
        <v>150</v>
      </c>
      <c r="BD548" s="54" t="s">
        <v>150</v>
      </c>
      <c r="BE548" s="54" t="s">
        <v>150</v>
      </c>
      <c r="BF548" s="54" t="s">
        <v>150</v>
      </c>
    </row>
    <row r="549" spans="2:58" s="37" customFormat="1" ht="12.75" customHeight="1" x14ac:dyDescent="0.45">
      <c r="B549" s="52" t="s">
        <v>158</v>
      </c>
      <c r="C549" s="54" t="s">
        <v>150</v>
      </c>
      <c r="D549" s="54" t="s">
        <v>150</v>
      </c>
      <c r="E549" s="54" t="s">
        <v>150</v>
      </c>
      <c r="F549" s="54" t="s">
        <v>150</v>
      </c>
      <c r="G549" s="54" t="s">
        <v>150</v>
      </c>
      <c r="H549" s="54" t="s">
        <v>150</v>
      </c>
      <c r="J549" s="38"/>
      <c r="L549" s="52" t="s">
        <v>158</v>
      </c>
      <c r="M549" s="54" t="s">
        <v>150</v>
      </c>
      <c r="N549" s="54" t="s">
        <v>150</v>
      </c>
      <c r="O549" s="54" t="s">
        <v>150</v>
      </c>
      <c r="P549" s="54" t="s">
        <v>150</v>
      </c>
      <c r="Q549" s="54" t="s">
        <v>150</v>
      </c>
      <c r="R549" s="54" t="s">
        <v>150</v>
      </c>
      <c r="S549" s="55"/>
      <c r="T549" s="56"/>
      <c r="U549" s="41"/>
      <c r="V549" s="52" t="str">
        <f t="shared" si="366"/>
        <v>FICO 680-699</v>
      </c>
      <c r="W549" s="54" t="s">
        <v>150</v>
      </c>
      <c r="X549" s="54" t="s">
        <v>150</v>
      </c>
      <c r="Y549" s="54" t="s">
        <v>150</v>
      </c>
      <c r="Z549" s="54" t="s">
        <v>150</v>
      </c>
      <c r="AA549" s="54" t="s">
        <v>150</v>
      </c>
      <c r="AB549" s="54" t="s">
        <v>150</v>
      </c>
      <c r="AD549" s="38"/>
      <c r="AF549" s="52" t="str">
        <f t="shared" si="367"/>
        <v>FICO 680-699</v>
      </c>
      <c r="AG549" s="54" t="s">
        <v>150</v>
      </c>
      <c r="AH549" s="54" t="s">
        <v>150</v>
      </c>
      <c r="AI549" s="54" t="s">
        <v>150</v>
      </c>
      <c r="AJ549" s="54" t="s">
        <v>150</v>
      </c>
      <c r="AK549" s="54" t="s">
        <v>150</v>
      </c>
      <c r="AL549" s="54" t="s">
        <v>150</v>
      </c>
      <c r="AM549" s="55"/>
      <c r="AN549" s="56"/>
      <c r="AO549" s="41"/>
      <c r="AP549" s="52" t="str">
        <f t="shared" si="368"/>
        <v>FICO 680-699</v>
      </c>
      <c r="AQ549" s="54" t="s">
        <v>150</v>
      </c>
      <c r="AR549" s="54" t="s">
        <v>150</v>
      </c>
      <c r="AS549" s="54" t="s">
        <v>150</v>
      </c>
      <c r="AT549" s="54" t="s">
        <v>150</v>
      </c>
      <c r="AU549" s="54" t="s">
        <v>150</v>
      </c>
      <c r="AV549" s="54" t="s">
        <v>150</v>
      </c>
      <c r="AX549" s="38"/>
      <c r="AZ549" s="52" t="str">
        <f t="shared" si="369"/>
        <v>FICO 680-699</v>
      </c>
      <c r="BA549" s="54" t="s">
        <v>150</v>
      </c>
      <c r="BB549" s="54" t="s">
        <v>150</v>
      </c>
      <c r="BC549" s="54" t="s">
        <v>150</v>
      </c>
      <c r="BD549" s="54" t="s">
        <v>150</v>
      </c>
      <c r="BE549" s="54" t="s">
        <v>150</v>
      </c>
      <c r="BF549" s="54" t="s">
        <v>150</v>
      </c>
    </row>
    <row r="550" spans="2:58" s="37" customFormat="1" ht="12.75" customHeight="1" x14ac:dyDescent="0.45">
      <c r="B550" s="57" t="s">
        <v>159</v>
      </c>
      <c r="C550" s="59" t="s">
        <v>150</v>
      </c>
      <c r="D550" s="59" t="s">
        <v>150</v>
      </c>
      <c r="E550" s="59" t="s">
        <v>150</v>
      </c>
      <c r="F550" s="59" t="s">
        <v>150</v>
      </c>
      <c r="G550" s="59" t="s">
        <v>150</v>
      </c>
      <c r="H550" s="59" t="s">
        <v>150</v>
      </c>
      <c r="J550" s="38"/>
      <c r="L550" s="57" t="s">
        <v>159</v>
      </c>
      <c r="M550" s="59" t="s">
        <v>150</v>
      </c>
      <c r="N550" s="59" t="s">
        <v>150</v>
      </c>
      <c r="O550" s="59" t="s">
        <v>150</v>
      </c>
      <c r="P550" s="59" t="s">
        <v>150</v>
      </c>
      <c r="Q550" s="59" t="s">
        <v>150</v>
      </c>
      <c r="R550" s="59" t="s">
        <v>150</v>
      </c>
      <c r="S550" s="55"/>
      <c r="T550" s="56"/>
      <c r="U550" s="41"/>
      <c r="V550" s="57" t="str">
        <f t="shared" si="366"/>
        <v>FICO 640-679</v>
      </c>
      <c r="W550" s="59" t="s">
        <v>150</v>
      </c>
      <c r="X550" s="59" t="s">
        <v>150</v>
      </c>
      <c r="Y550" s="59" t="s">
        <v>150</v>
      </c>
      <c r="Z550" s="59" t="s">
        <v>150</v>
      </c>
      <c r="AA550" s="59" t="s">
        <v>150</v>
      </c>
      <c r="AB550" s="59" t="s">
        <v>150</v>
      </c>
      <c r="AD550" s="38"/>
      <c r="AF550" s="57" t="str">
        <f t="shared" si="367"/>
        <v>FICO 640-679</v>
      </c>
      <c r="AG550" s="59" t="s">
        <v>150</v>
      </c>
      <c r="AH550" s="59" t="s">
        <v>150</v>
      </c>
      <c r="AI550" s="59" t="s">
        <v>150</v>
      </c>
      <c r="AJ550" s="59" t="s">
        <v>150</v>
      </c>
      <c r="AK550" s="59" t="s">
        <v>150</v>
      </c>
      <c r="AL550" s="59" t="s">
        <v>150</v>
      </c>
      <c r="AM550" s="55"/>
      <c r="AN550" s="56"/>
      <c r="AO550" s="41"/>
      <c r="AP550" s="57" t="str">
        <f t="shared" si="368"/>
        <v>FICO 640-679</v>
      </c>
      <c r="AQ550" s="59" t="s">
        <v>150</v>
      </c>
      <c r="AR550" s="59" t="s">
        <v>150</v>
      </c>
      <c r="AS550" s="59" t="s">
        <v>150</v>
      </c>
      <c r="AT550" s="59" t="s">
        <v>150</v>
      </c>
      <c r="AU550" s="59" t="s">
        <v>150</v>
      </c>
      <c r="AV550" s="59" t="s">
        <v>150</v>
      </c>
      <c r="AX550" s="38"/>
      <c r="AZ550" s="57" t="str">
        <f t="shared" si="369"/>
        <v>FICO 640-679</v>
      </c>
      <c r="BA550" s="59" t="s">
        <v>150</v>
      </c>
      <c r="BB550" s="59" t="s">
        <v>150</v>
      </c>
      <c r="BC550" s="59" t="s">
        <v>150</v>
      </c>
      <c r="BD550" s="59" t="s">
        <v>150</v>
      </c>
      <c r="BE550" s="59" t="s">
        <v>150</v>
      </c>
      <c r="BF550" s="59" t="s">
        <v>150</v>
      </c>
    </row>
    <row r="551" spans="2:58" s="37" customFormat="1" ht="12.75" customHeight="1" x14ac:dyDescent="0.45">
      <c r="B551" s="46" t="s">
        <v>155</v>
      </c>
      <c r="C551" s="64" t="s">
        <v>150</v>
      </c>
      <c r="D551" s="64" t="s">
        <v>150</v>
      </c>
      <c r="E551" s="64" t="s">
        <v>150</v>
      </c>
      <c r="F551" s="64" t="s">
        <v>150</v>
      </c>
      <c r="G551" s="64" t="s">
        <v>150</v>
      </c>
      <c r="H551" s="64" t="s">
        <v>150</v>
      </c>
      <c r="J551" s="38"/>
      <c r="L551" s="60" t="s">
        <v>155</v>
      </c>
      <c r="M551" s="49" t="s">
        <v>150</v>
      </c>
      <c r="N551" s="49" t="s">
        <v>150</v>
      </c>
      <c r="O551" s="49" t="s">
        <v>150</v>
      </c>
      <c r="P551" s="49" t="s">
        <v>150</v>
      </c>
      <c r="Q551" s="49" t="s">
        <v>150</v>
      </c>
      <c r="R551" s="49" t="s">
        <v>150</v>
      </c>
      <c r="S551" s="50"/>
      <c r="T551" s="51"/>
      <c r="U551" s="41"/>
      <c r="V551" s="60" t="str">
        <f t="shared" si="366"/>
        <v>&lt;64.99%</v>
      </c>
      <c r="W551" s="64" t="s">
        <v>150</v>
      </c>
      <c r="X551" s="64" t="s">
        <v>150</v>
      </c>
      <c r="Y551" s="64" t="s">
        <v>150</v>
      </c>
      <c r="Z551" s="64" t="s">
        <v>150</v>
      </c>
      <c r="AA551" s="64" t="s">
        <v>150</v>
      </c>
      <c r="AB551" s="64" t="s">
        <v>150</v>
      </c>
      <c r="AD551" s="38"/>
      <c r="AF551" s="60" t="str">
        <f t="shared" si="367"/>
        <v>&lt;64.99%</v>
      </c>
      <c r="AG551" s="64" t="s">
        <v>150</v>
      </c>
      <c r="AH551" s="64" t="s">
        <v>150</v>
      </c>
      <c r="AI551" s="64" t="s">
        <v>150</v>
      </c>
      <c r="AJ551" s="64" t="s">
        <v>150</v>
      </c>
      <c r="AK551" s="64" t="s">
        <v>150</v>
      </c>
      <c r="AL551" s="64" t="s">
        <v>150</v>
      </c>
      <c r="AM551" s="50"/>
      <c r="AN551" s="51"/>
      <c r="AO551" s="41"/>
      <c r="AP551" s="60" t="str">
        <f t="shared" si="368"/>
        <v>&lt;64.99%</v>
      </c>
      <c r="AQ551" s="64" t="s">
        <v>150</v>
      </c>
      <c r="AR551" s="64" t="s">
        <v>150</v>
      </c>
      <c r="AS551" s="64" t="s">
        <v>150</v>
      </c>
      <c r="AT551" s="64" t="s">
        <v>150</v>
      </c>
      <c r="AU551" s="64" t="s">
        <v>150</v>
      </c>
      <c r="AV551" s="64" t="s">
        <v>150</v>
      </c>
      <c r="AX551" s="38"/>
      <c r="AZ551" s="60" t="str">
        <f t="shared" si="369"/>
        <v>&lt;64.99%</v>
      </c>
      <c r="BA551" s="49" t="s">
        <v>150</v>
      </c>
      <c r="BB551" s="49" t="s">
        <v>150</v>
      </c>
      <c r="BC551" s="49" t="s">
        <v>150</v>
      </c>
      <c r="BD551" s="49" t="s">
        <v>150</v>
      </c>
      <c r="BE551" s="49" t="s">
        <v>150</v>
      </c>
      <c r="BF551" s="49" t="s">
        <v>150</v>
      </c>
    </row>
    <row r="552" spans="2:58" s="37" customFormat="1" ht="12.75" customHeight="1" x14ac:dyDescent="0.45">
      <c r="B552" s="52" t="s">
        <v>151</v>
      </c>
      <c r="C552" s="54" t="s">
        <v>150</v>
      </c>
      <c r="D552" s="54" t="s">
        <v>150</v>
      </c>
      <c r="E552" s="54" t="s">
        <v>150</v>
      </c>
      <c r="F552" s="54" t="s">
        <v>150</v>
      </c>
      <c r="G552" s="54" t="s">
        <v>150</v>
      </c>
      <c r="H552" s="54" t="s">
        <v>150</v>
      </c>
      <c r="J552" s="38"/>
      <c r="L552" s="52" t="s">
        <v>151</v>
      </c>
      <c r="M552" s="54" t="s">
        <v>150</v>
      </c>
      <c r="N552" s="54" t="s">
        <v>150</v>
      </c>
      <c r="O552" s="54" t="s">
        <v>150</v>
      </c>
      <c r="P552" s="54" t="s">
        <v>150</v>
      </c>
      <c r="Q552" s="54" t="s">
        <v>150</v>
      </c>
      <c r="R552" s="54" t="s">
        <v>150</v>
      </c>
      <c r="S552" s="55"/>
      <c r="T552" s="56"/>
      <c r="U552" s="41"/>
      <c r="V552" s="52" t="str">
        <f t="shared" si="366"/>
        <v>FICO 700+</v>
      </c>
      <c r="W552" s="54" t="s">
        <v>150</v>
      </c>
      <c r="X552" s="54" t="s">
        <v>150</v>
      </c>
      <c r="Y552" s="54" t="s">
        <v>150</v>
      </c>
      <c r="Z552" s="54" t="s">
        <v>150</v>
      </c>
      <c r="AA552" s="54" t="s">
        <v>150</v>
      </c>
      <c r="AB552" s="54" t="s">
        <v>150</v>
      </c>
      <c r="AD552" s="38"/>
      <c r="AF552" s="52" t="str">
        <f t="shared" si="367"/>
        <v>FICO 700+</v>
      </c>
      <c r="AG552" s="54" t="s">
        <v>150</v>
      </c>
      <c r="AH552" s="54" t="s">
        <v>150</v>
      </c>
      <c r="AI552" s="54" t="s">
        <v>150</v>
      </c>
      <c r="AJ552" s="54" t="s">
        <v>150</v>
      </c>
      <c r="AK552" s="54" t="s">
        <v>150</v>
      </c>
      <c r="AL552" s="54" t="s">
        <v>150</v>
      </c>
      <c r="AM552" s="55"/>
      <c r="AN552" s="56"/>
      <c r="AO552" s="41"/>
      <c r="AP552" s="52" t="str">
        <f t="shared" si="368"/>
        <v>FICO 700+</v>
      </c>
      <c r="AQ552" s="54" t="s">
        <v>150</v>
      </c>
      <c r="AR552" s="54" t="s">
        <v>150</v>
      </c>
      <c r="AS552" s="54" t="s">
        <v>150</v>
      </c>
      <c r="AT552" s="54" t="s">
        <v>150</v>
      </c>
      <c r="AU552" s="54" t="s">
        <v>150</v>
      </c>
      <c r="AV552" s="54" t="s">
        <v>150</v>
      </c>
      <c r="AX552" s="38"/>
      <c r="AZ552" s="52" t="str">
        <f t="shared" si="369"/>
        <v>FICO 700+</v>
      </c>
      <c r="BA552" s="54" t="s">
        <v>150</v>
      </c>
      <c r="BB552" s="54" t="s">
        <v>150</v>
      </c>
      <c r="BC552" s="54" t="s">
        <v>150</v>
      </c>
      <c r="BD552" s="54" t="s">
        <v>150</v>
      </c>
      <c r="BE552" s="54" t="s">
        <v>150</v>
      </c>
      <c r="BF552" s="54" t="s">
        <v>150</v>
      </c>
    </row>
    <row r="553" spans="2:58" s="37" customFormat="1" ht="12.75" customHeight="1" x14ac:dyDescent="0.45">
      <c r="B553" s="52" t="s">
        <v>158</v>
      </c>
      <c r="C553" s="54" t="s">
        <v>150</v>
      </c>
      <c r="D553" s="54" t="s">
        <v>150</v>
      </c>
      <c r="E553" s="54" t="s">
        <v>150</v>
      </c>
      <c r="F553" s="54" t="s">
        <v>150</v>
      </c>
      <c r="G553" s="54" t="s">
        <v>150</v>
      </c>
      <c r="H553" s="54" t="s">
        <v>150</v>
      </c>
      <c r="J553" s="38"/>
      <c r="L553" s="52" t="s">
        <v>158</v>
      </c>
      <c r="M553" s="54" t="s">
        <v>150</v>
      </c>
      <c r="N553" s="54" t="s">
        <v>150</v>
      </c>
      <c r="O553" s="54" t="s">
        <v>150</v>
      </c>
      <c r="P553" s="54" t="s">
        <v>150</v>
      </c>
      <c r="Q553" s="54" t="s">
        <v>150</v>
      </c>
      <c r="R553" s="54" t="s">
        <v>150</v>
      </c>
      <c r="S553" s="55"/>
      <c r="T553" s="56"/>
      <c r="U553" s="41"/>
      <c r="V553" s="52" t="str">
        <f t="shared" si="366"/>
        <v>FICO 680-699</v>
      </c>
      <c r="W553" s="54" t="s">
        <v>150</v>
      </c>
      <c r="X553" s="54" t="s">
        <v>150</v>
      </c>
      <c r="Y553" s="54" t="s">
        <v>150</v>
      </c>
      <c r="Z553" s="54" t="s">
        <v>150</v>
      </c>
      <c r="AA553" s="54" t="s">
        <v>150</v>
      </c>
      <c r="AB553" s="54" t="s">
        <v>150</v>
      </c>
      <c r="AD553" s="38"/>
      <c r="AF553" s="52" t="str">
        <f t="shared" si="367"/>
        <v>FICO 680-699</v>
      </c>
      <c r="AG553" s="54" t="s">
        <v>150</v>
      </c>
      <c r="AH553" s="54" t="s">
        <v>150</v>
      </c>
      <c r="AI553" s="54" t="s">
        <v>150</v>
      </c>
      <c r="AJ553" s="54" t="s">
        <v>150</v>
      </c>
      <c r="AK553" s="54" t="s">
        <v>150</v>
      </c>
      <c r="AL553" s="54" t="s">
        <v>150</v>
      </c>
      <c r="AM553" s="55"/>
      <c r="AN553" s="56"/>
      <c r="AO553" s="41"/>
      <c r="AP553" s="52" t="str">
        <f t="shared" si="368"/>
        <v>FICO 680-699</v>
      </c>
      <c r="AQ553" s="54" t="s">
        <v>150</v>
      </c>
      <c r="AR553" s="54" t="s">
        <v>150</v>
      </c>
      <c r="AS553" s="54" t="s">
        <v>150</v>
      </c>
      <c r="AT553" s="54" t="s">
        <v>150</v>
      </c>
      <c r="AU553" s="54" t="s">
        <v>150</v>
      </c>
      <c r="AV553" s="54" t="s">
        <v>150</v>
      </c>
      <c r="AX553" s="38"/>
      <c r="AZ553" s="52" t="str">
        <f t="shared" si="369"/>
        <v>FICO 680-699</v>
      </c>
      <c r="BA553" s="54" t="s">
        <v>150</v>
      </c>
      <c r="BB553" s="54" t="s">
        <v>150</v>
      </c>
      <c r="BC553" s="54" t="s">
        <v>150</v>
      </c>
      <c r="BD553" s="54" t="s">
        <v>150</v>
      </c>
      <c r="BE553" s="54" t="s">
        <v>150</v>
      </c>
      <c r="BF553" s="54" t="s">
        <v>150</v>
      </c>
    </row>
    <row r="554" spans="2:58" s="37" customFormat="1" ht="12.75" customHeight="1" x14ac:dyDescent="0.45">
      <c r="B554" s="52" t="s">
        <v>159</v>
      </c>
      <c r="C554" s="54" t="s">
        <v>150</v>
      </c>
      <c r="D554" s="54" t="s">
        <v>150</v>
      </c>
      <c r="E554" s="54" t="s">
        <v>150</v>
      </c>
      <c r="F554" s="54" t="s">
        <v>150</v>
      </c>
      <c r="G554" s="54" t="s">
        <v>150</v>
      </c>
      <c r="H554" s="54" t="s">
        <v>150</v>
      </c>
      <c r="J554" s="38"/>
      <c r="L554" s="52" t="s">
        <v>159</v>
      </c>
      <c r="M554" s="54" t="s">
        <v>150</v>
      </c>
      <c r="N554" s="54" t="s">
        <v>150</v>
      </c>
      <c r="O554" s="54" t="s">
        <v>150</v>
      </c>
      <c r="P554" s="54" t="s">
        <v>150</v>
      </c>
      <c r="Q554" s="54" t="s">
        <v>150</v>
      </c>
      <c r="R554" s="54" t="s">
        <v>150</v>
      </c>
      <c r="S554" s="55"/>
      <c r="T554" s="56"/>
      <c r="U554" s="41"/>
      <c r="V554" s="52" t="str">
        <f t="shared" si="366"/>
        <v>FICO 640-679</v>
      </c>
      <c r="W554" s="54" t="s">
        <v>150</v>
      </c>
      <c r="X554" s="54" t="s">
        <v>150</v>
      </c>
      <c r="Y554" s="54" t="s">
        <v>150</v>
      </c>
      <c r="Z554" s="54" t="s">
        <v>150</v>
      </c>
      <c r="AA554" s="54" t="s">
        <v>150</v>
      </c>
      <c r="AB554" s="54" t="s">
        <v>150</v>
      </c>
      <c r="AD554" s="38"/>
      <c r="AF554" s="52" t="str">
        <f t="shared" si="367"/>
        <v>FICO 640-679</v>
      </c>
      <c r="AG554" s="54" t="s">
        <v>150</v>
      </c>
      <c r="AH554" s="54" t="s">
        <v>150</v>
      </c>
      <c r="AI554" s="54" t="s">
        <v>150</v>
      </c>
      <c r="AJ554" s="54" t="s">
        <v>150</v>
      </c>
      <c r="AK554" s="54" t="s">
        <v>150</v>
      </c>
      <c r="AL554" s="54" t="s">
        <v>150</v>
      </c>
      <c r="AM554" s="55"/>
      <c r="AN554" s="56"/>
      <c r="AO554" s="41"/>
      <c r="AP554" s="52" t="str">
        <f t="shared" si="368"/>
        <v>FICO 640-679</v>
      </c>
      <c r="AQ554" s="54" t="s">
        <v>150</v>
      </c>
      <c r="AR554" s="54" t="s">
        <v>150</v>
      </c>
      <c r="AS554" s="54" t="s">
        <v>150</v>
      </c>
      <c r="AT554" s="54" t="s">
        <v>150</v>
      </c>
      <c r="AU554" s="54" t="s">
        <v>150</v>
      </c>
      <c r="AV554" s="54" t="s">
        <v>150</v>
      </c>
      <c r="AX554" s="38"/>
      <c r="AZ554" s="52" t="str">
        <f t="shared" si="369"/>
        <v>FICO 640-679</v>
      </c>
      <c r="BA554" s="54" t="s">
        <v>150</v>
      </c>
      <c r="BB554" s="54" t="s">
        <v>150</v>
      </c>
      <c r="BC554" s="54" t="s">
        <v>150</v>
      </c>
      <c r="BD554" s="54" t="s">
        <v>150</v>
      </c>
      <c r="BE554" s="54" t="s">
        <v>150</v>
      </c>
      <c r="BF554" s="54" t="s">
        <v>150</v>
      </c>
    </row>
    <row r="555" spans="2:58" s="37" customFormat="1" ht="12.75" customHeight="1" x14ac:dyDescent="0.45">
      <c r="C555" s="63"/>
      <c r="D555" s="63"/>
      <c r="E555" s="63"/>
      <c r="F555" s="63"/>
      <c r="G555" s="63"/>
      <c r="H555" s="63"/>
      <c r="J555" s="38"/>
      <c r="S555" s="41"/>
      <c r="T555" s="43"/>
      <c r="U555" s="41"/>
      <c r="W555" s="63"/>
      <c r="X555" s="63"/>
      <c r="Y555" s="63"/>
      <c r="Z555" s="63"/>
      <c r="AA555" s="63"/>
      <c r="AB555" s="63"/>
      <c r="AD555" s="38"/>
      <c r="AM555" s="41"/>
      <c r="AN555" s="43"/>
      <c r="AO555" s="41"/>
      <c r="AQ555" s="63"/>
      <c r="AR555" s="63"/>
      <c r="AS555" s="63"/>
      <c r="AT555" s="63"/>
      <c r="AU555" s="63"/>
      <c r="AV555" s="63"/>
      <c r="AX555" s="38"/>
    </row>
    <row r="556" spans="2:58" s="38" customFormat="1" ht="4.5" customHeight="1" x14ac:dyDescent="0.45">
      <c r="C556" s="65"/>
      <c r="D556" s="65"/>
      <c r="E556" s="65"/>
      <c r="F556" s="65"/>
      <c r="G556" s="65"/>
      <c r="H556" s="65"/>
      <c r="S556" s="41"/>
      <c r="T556" s="43"/>
      <c r="U556" s="41"/>
      <c r="W556" s="65"/>
      <c r="X556" s="65"/>
      <c r="Y556" s="65"/>
      <c r="Z556" s="65"/>
      <c r="AA556" s="65"/>
      <c r="AB556" s="65"/>
      <c r="AM556" s="41"/>
      <c r="AN556" s="43"/>
      <c r="AO556" s="41"/>
      <c r="AQ556" s="65"/>
      <c r="AR556" s="65"/>
      <c r="AS556" s="65"/>
      <c r="AT556" s="65"/>
      <c r="AU556" s="65"/>
      <c r="AV556" s="65"/>
    </row>
    <row r="558" spans="2:58" ht="15" customHeight="1" x14ac:dyDescent="0.45">
      <c r="B558" s="96" t="s">
        <v>160</v>
      </c>
      <c r="C558" s="96"/>
      <c r="D558" s="96"/>
      <c r="E558" s="96"/>
      <c r="F558" s="96"/>
      <c r="G558" s="96"/>
      <c r="H558" s="96"/>
      <c r="L558" s="96" t="s">
        <v>161</v>
      </c>
      <c r="M558" s="96"/>
      <c r="N558" s="96"/>
      <c r="O558" s="96"/>
      <c r="P558" s="96"/>
      <c r="Q558" s="96"/>
      <c r="R558" s="96"/>
      <c r="S558" s="35"/>
      <c r="T558" s="36"/>
      <c r="V558" s="96" t="s">
        <v>160</v>
      </c>
      <c r="W558" s="96"/>
      <c r="X558" s="96"/>
      <c r="Y558" s="96"/>
      <c r="Z558" s="96"/>
      <c r="AA558" s="96"/>
      <c r="AB558" s="96"/>
      <c r="AF558" s="96" t="s">
        <v>161</v>
      </c>
      <c r="AG558" s="96"/>
      <c r="AH558" s="96"/>
      <c r="AI558" s="96"/>
      <c r="AJ558" s="96"/>
      <c r="AK558" s="96"/>
      <c r="AL558" s="96"/>
      <c r="AM558" s="35"/>
      <c r="AN558" s="36"/>
      <c r="AP558" s="96" t="s">
        <v>160</v>
      </c>
      <c r="AQ558" s="96"/>
      <c r="AR558" s="96"/>
      <c r="AS558" s="96"/>
      <c r="AT558" s="96"/>
      <c r="AU558" s="96"/>
      <c r="AV558" s="96"/>
      <c r="AZ558" s="96" t="s">
        <v>161</v>
      </c>
      <c r="BA558" s="96"/>
      <c r="BB558" s="96"/>
      <c r="BC558" s="96"/>
      <c r="BD558" s="96"/>
      <c r="BE558" s="96"/>
      <c r="BF558" s="96"/>
    </row>
    <row r="559" spans="2:58" ht="15.75" customHeight="1" x14ac:dyDescent="0.45">
      <c r="B559" s="94" t="s">
        <v>142</v>
      </c>
      <c r="C559" s="94"/>
      <c r="D559" s="94"/>
      <c r="E559" s="94"/>
      <c r="F559" s="94"/>
      <c r="G559" s="94"/>
      <c r="H559" s="94"/>
      <c r="L559" s="94" t="s">
        <v>142</v>
      </c>
      <c r="M559" s="94"/>
      <c r="N559" s="94"/>
      <c r="O559" s="94"/>
      <c r="P559" s="94"/>
      <c r="Q559" s="94"/>
      <c r="R559" s="94"/>
      <c r="S559" s="39"/>
      <c r="T559" s="40"/>
      <c r="V559" s="94" t="s">
        <v>142</v>
      </c>
      <c r="W559" s="94"/>
      <c r="X559" s="94"/>
      <c r="Y559" s="94"/>
      <c r="Z559" s="94"/>
      <c r="AA559" s="94"/>
      <c r="AB559" s="94"/>
      <c r="AF559" s="94" t="s">
        <v>142</v>
      </c>
      <c r="AG559" s="94"/>
      <c r="AH559" s="94"/>
      <c r="AI559" s="94"/>
      <c r="AJ559" s="94"/>
      <c r="AK559" s="94"/>
      <c r="AL559" s="94"/>
      <c r="AM559" s="39"/>
      <c r="AN559" s="40"/>
      <c r="AP559" s="94" t="s">
        <v>142</v>
      </c>
      <c r="AQ559" s="94"/>
      <c r="AR559" s="94"/>
      <c r="AS559" s="94"/>
      <c r="AT559" s="94"/>
      <c r="AU559" s="94"/>
      <c r="AV559" s="94"/>
      <c r="AZ559" s="94" t="s">
        <v>142</v>
      </c>
      <c r="BA559" s="94"/>
      <c r="BB559" s="94"/>
      <c r="BC559" s="94"/>
      <c r="BD559" s="94"/>
      <c r="BE559" s="94"/>
      <c r="BF559" s="94"/>
    </row>
    <row r="560" spans="2:58" ht="15" customHeight="1" x14ac:dyDescent="0.45">
      <c r="B560" s="42"/>
      <c r="C560" s="95" t="s">
        <v>50</v>
      </c>
      <c r="D560" s="95"/>
      <c r="E560" s="95"/>
      <c r="F560" s="95"/>
      <c r="G560" s="95"/>
      <c r="H560" s="95"/>
      <c r="L560" s="42"/>
      <c r="M560" s="95" t="s">
        <v>50</v>
      </c>
      <c r="N560" s="95"/>
      <c r="O560" s="95"/>
      <c r="P560" s="95"/>
      <c r="Q560" s="95"/>
      <c r="R560" s="95"/>
      <c r="S560" s="41"/>
      <c r="T560" s="43"/>
      <c r="V560" s="42"/>
      <c r="W560" s="95" t="str">
        <f>C560</f>
        <v>LTC</v>
      </c>
      <c r="X560" s="95"/>
      <c r="Y560" s="95"/>
      <c r="Z560" s="95"/>
      <c r="AA560" s="95"/>
      <c r="AB560" s="95"/>
      <c r="AF560" s="42"/>
      <c r="AG560" s="95" t="str">
        <f>W560</f>
        <v>LTC</v>
      </c>
      <c r="AH560" s="95"/>
      <c r="AI560" s="95"/>
      <c r="AJ560" s="95"/>
      <c r="AK560" s="95"/>
      <c r="AL560" s="95"/>
      <c r="AM560" s="41"/>
      <c r="AN560" s="43"/>
      <c r="AP560" s="42"/>
      <c r="AQ560" s="95" t="str">
        <f>C560</f>
        <v>LTC</v>
      </c>
      <c r="AR560" s="95"/>
      <c r="AS560" s="95"/>
      <c r="AT560" s="95"/>
      <c r="AU560" s="95"/>
      <c r="AV560" s="95"/>
      <c r="AZ560" s="42"/>
      <c r="BA560" s="95" t="str">
        <f>C560</f>
        <v>LTC</v>
      </c>
      <c r="BB560" s="95"/>
      <c r="BC560" s="95"/>
      <c r="BD560" s="95"/>
      <c r="BE560" s="95"/>
      <c r="BF560" s="95"/>
    </row>
    <row r="561" spans="2:58" ht="15" customHeight="1" x14ac:dyDescent="0.45">
      <c r="B561" s="44" t="s">
        <v>52</v>
      </c>
      <c r="C561" s="45" t="s">
        <v>143</v>
      </c>
      <c r="D561" s="45" t="s">
        <v>144</v>
      </c>
      <c r="E561" s="45" t="s">
        <v>145</v>
      </c>
      <c r="F561" s="45" t="s">
        <v>146</v>
      </c>
      <c r="G561" s="45" t="s">
        <v>147</v>
      </c>
      <c r="H561" s="45" t="s">
        <v>148</v>
      </c>
      <c r="L561" s="44" t="s">
        <v>52</v>
      </c>
      <c r="M561" s="45" t="s">
        <v>143</v>
      </c>
      <c r="N561" s="45" t="s">
        <v>144</v>
      </c>
      <c r="O561" s="45" t="s">
        <v>145</v>
      </c>
      <c r="P561" s="45" t="s">
        <v>146</v>
      </c>
      <c r="Q561" s="45" t="s">
        <v>147</v>
      </c>
      <c r="R561" s="45" t="s">
        <v>148</v>
      </c>
      <c r="S561" s="41"/>
      <c r="T561" s="43"/>
      <c r="V561" s="44" t="str">
        <f t="shared" ref="V561:V573" si="370">B561</f>
        <v>AR-LTV</v>
      </c>
      <c r="W561" s="45" t="str">
        <f>C561</f>
        <v>&lt;74.99%</v>
      </c>
      <c r="X561" s="45" t="str">
        <f>D561</f>
        <v>75.00%-80.00%</v>
      </c>
      <c r="Y561" s="45" t="str">
        <f>E561</f>
        <v>80.01%-85.00%</v>
      </c>
      <c r="Z561" s="45" t="str">
        <f>F561</f>
        <v>85.01%-87.50%</v>
      </c>
      <c r="AA561" s="45" t="str">
        <f>G561</f>
        <v>87.51%-89.99%</v>
      </c>
      <c r="AB561" s="45" t="str">
        <f>H561</f>
        <v>90.00%-92.50%</v>
      </c>
      <c r="AF561" s="44" t="str">
        <f t="shared" ref="AF561:AF573" si="371">V561</f>
        <v>AR-LTV</v>
      </c>
      <c r="AG561" s="45" t="str">
        <f>W561</f>
        <v>&lt;74.99%</v>
      </c>
      <c r="AH561" s="45" t="str">
        <f>X561</f>
        <v>75.00%-80.00%</v>
      </c>
      <c r="AI561" s="45" t="str">
        <f>Y561</f>
        <v>80.01%-85.00%</v>
      </c>
      <c r="AJ561" s="45" t="str">
        <f>Z561</f>
        <v>85.01%-87.50%</v>
      </c>
      <c r="AK561" s="45" t="str">
        <f>AA561</f>
        <v>87.51%-89.99%</v>
      </c>
      <c r="AL561" s="45" t="str">
        <f>AB561</f>
        <v>90.00%-92.50%</v>
      </c>
      <c r="AM561" s="41"/>
      <c r="AN561" s="43"/>
      <c r="AP561" s="44" t="str">
        <f t="shared" ref="AP561:AP573" si="372">B561</f>
        <v>AR-LTV</v>
      </c>
      <c r="AQ561" s="45" t="str">
        <f>C561</f>
        <v>&lt;74.99%</v>
      </c>
      <c r="AR561" s="45" t="str">
        <f>D561</f>
        <v>75.00%-80.00%</v>
      </c>
      <c r="AS561" s="45" t="str">
        <f>E561</f>
        <v>80.01%-85.00%</v>
      </c>
      <c r="AT561" s="45" t="str">
        <f>F561</f>
        <v>85.01%-87.50%</v>
      </c>
      <c r="AU561" s="45" t="str">
        <f>G561</f>
        <v>87.51%-89.99%</v>
      </c>
      <c r="AV561" s="45" t="str">
        <f>H561</f>
        <v>90.00%-92.50%</v>
      </c>
      <c r="AZ561" s="44" t="str">
        <f t="shared" ref="AZ561:AZ573" si="373">B561</f>
        <v>AR-LTV</v>
      </c>
      <c r="BA561" s="45" t="str">
        <f>C561</f>
        <v>&lt;74.99%</v>
      </c>
      <c r="BB561" s="45" t="str">
        <f>D561</f>
        <v>75.00%-80.00%</v>
      </c>
      <c r="BC561" s="45" t="str">
        <f>E561</f>
        <v>80.01%-85.00%</v>
      </c>
      <c r="BD561" s="45" t="str">
        <f>F561</f>
        <v>85.01%-87.50%</v>
      </c>
      <c r="BE561" s="45" t="str">
        <f>G561</f>
        <v>87.51%-89.99%</v>
      </c>
      <c r="BF561" s="45" t="str">
        <f>H561</f>
        <v>90.00%-92.50%</v>
      </c>
    </row>
    <row r="562" spans="2:58" ht="15" customHeight="1" x14ac:dyDescent="0.45">
      <c r="B562" s="46" t="s">
        <v>149</v>
      </c>
      <c r="C562" s="49" t="s">
        <v>150</v>
      </c>
      <c r="D562" s="49" t="s">
        <v>150</v>
      </c>
      <c r="E562" s="49" t="s">
        <v>150</v>
      </c>
      <c r="F562" s="49" t="s">
        <v>150</v>
      </c>
      <c r="G562" s="49" t="s">
        <v>150</v>
      </c>
      <c r="H562" s="49" t="s">
        <v>150</v>
      </c>
      <c r="L562" s="46" t="s">
        <v>149</v>
      </c>
      <c r="M562" s="49" t="s">
        <v>150</v>
      </c>
      <c r="N562" s="49" t="s">
        <v>150</v>
      </c>
      <c r="O562" s="49" t="s">
        <v>150</v>
      </c>
      <c r="P562" s="49" t="s">
        <v>150</v>
      </c>
      <c r="Q562" s="49" t="s">
        <v>150</v>
      </c>
      <c r="R562" s="49" t="s">
        <v>150</v>
      </c>
      <c r="S562" s="66"/>
      <c r="T562" s="67"/>
      <c r="V562" s="46" t="str">
        <f t="shared" si="370"/>
        <v>70.01%-75.00%</v>
      </c>
      <c r="W562" s="49" t="s">
        <v>150</v>
      </c>
      <c r="X562" s="49" t="s">
        <v>150</v>
      </c>
      <c r="Y562" s="49" t="s">
        <v>150</v>
      </c>
      <c r="Z562" s="49" t="s">
        <v>150</v>
      </c>
      <c r="AA562" s="49" t="s">
        <v>150</v>
      </c>
      <c r="AB562" s="49" t="s">
        <v>150</v>
      </c>
      <c r="AF562" s="46" t="str">
        <f t="shared" si="371"/>
        <v>70.01%-75.00%</v>
      </c>
      <c r="AG562" s="49" t="s">
        <v>150</v>
      </c>
      <c r="AH562" s="49" t="s">
        <v>150</v>
      </c>
      <c r="AI562" s="49" t="s">
        <v>150</v>
      </c>
      <c r="AJ562" s="49" t="s">
        <v>150</v>
      </c>
      <c r="AK562" s="49" t="s">
        <v>150</v>
      </c>
      <c r="AL562" s="49" t="s">
        <v>150</v>
      </c>
      <c r="AM562" s="66"/>
      <c r="AN562" s="67"/>
      <c r="AP562" s="46" t="str">
        <f t="shared" si="372"/>
        <v>70.01%-75.00%</v>
      </c>
      <c r="AQ562" s="49" t="s">
        <v>150</v>
      </c>
      <c r="AR562" s="49" t="s">
        <v>150</v>
      </c>
      <c r="AS562" s="49" t="s">
        <v>150</v>
      </c>
      <c r="AT562" s="49" t="s">
        <v>150</v>
      </c>
      <c r="AU562" s="49" t="s">
        <v>150</v>
      </c>
      <c r="AV562" s="49" t="s">
        <v>150</v>
      </c>
      <c r="AZ562" s="46" t="str">
        <f t="shared" si="373"/>
        <v>70.01%-75.00%</v>
      </c>
      <c r="BA562" s="49" t="s">
        <v>150</v>
      </c>
      <c r="BB562" s="49" t="s">
        <v>150</v>
      </c>
      <c r="BC562" s="49" t="s">
        <v>150</v>
      </c>
      <c r="BD562" s="49" t="s">
        <v>150</v>
      </c>
      <c r="BE562" s="49" t="s">
        <v>150</v>
      </c>
      <c r="BF562" s="49" t="s">
        <v>150</v>
      </c>
    </row>
    <row r="563" spans="2:58" ht="15" customHeight="1" x14ac:dyDescent="0.45">
      <c r="B563" s="52" t="s">
        <v>151</v>
      </c>
      <c r="C563" s="54" t="s">
        <v>150</v>
      </c>
      <c r="D563" s="54" t="s">
        <v>150</v>
      </c>
      <c r="E563" s="54" t="s">
        <v>150</v>
      </c>
      <c r="F563" s="54" t="s">
        <v>150</v>
      </c>
      <c r="G563" s="54" t="s">
        <v>150</v>
      </c>
      <c r="H563" s="54" t="s">
        <v>150</v>
      </c>
      <c r="L563" s="52" t="s">
        <v>151</v>
      </c>
      <c r="M563" s="54" t="s">
        <v>150</v>
      </c>
      <c r="N563" s="54" t="s">
        <v>150</v>
      </c>
      <c r="O563" s="54" t="s">
        <v>150</v>
      </c>
      <c r="P563" s="54" t="s">
        <v>150</v>
      </c>
      <c r="Q563" s="54" t="s">
        <v>150</v>
      </c>
      <c r="R563" s="54" t="s">
        <v>150</v>
      </c>
      <c r="S563" s="68"/>
      <c r="T563" s="69"/>
      <c r="V563" s="52" t="str">
        <f t="shared" si="370"/>
        <v>FICO 700+</v>
      </c>
      <c r="W563" s="54" t="s">
        <v>150</v>
      </c>
      <c r="X563" s="54" t="s">
        <v>150</v>
      </c>
      <c r="Y563" s="54" t="s">
        <v>150</v>
      </c>
      <c r="Z563" s="54" t="s">
        <v>150</v>
      </c>
      <c r="AA563" s="54" t="s">
        <v>150</v>
      </c>
      <c r="AB563" s="54" t="s">
        <v>150</v>
      </c>
      <c r="AF563" s="52" t="str">
        <f t="shared" si="371"/>
        <v>FICO 700+</v>
      </c>
      <c r="AG563" s="54" t="s">
        <v>150</v>
      </c>
      <c r="AH563" s="54" t="s">
        <v>150</v>
      </c>
      <c r="AI563" s="54" t="s">
        <v>150</v>
      </c>
      <c r="AJ563" s="54" t="s">
        <v>150</v>
      </c>
      <c r="AK563" s="54" t="s">
        <v>150</v>
      </c>
      <c r="AL563" s="54" t="s">
        <v>150</v>
      </c>
      <c r="AM563" s="68"/>
      <c r="AN563" s="69"/>
      <c r="AP563" s="52" t="str">
        <f t="shared" si="372"/>
        <v>FICO 700+</v>
      </c>
      <c r="AQ563" s="54" t="s">
        <v>150</v>
      </c>
      <c r="AR563" s="54" t="s">
        <v>150</v>
      </c>
      <c r="AS563" s="54" t="s">
        <v>150</v>
      </c>
      <c r="AT563" s="54" t="s">
        <v>150</v>
      </c>
      <c r="AU563" s="54" t="s">
        <v>150</v>
      </c>
      <c r="AV563" s="54" t="s">
        <v>150</v>
      </c>
      <c r="AZ563" s="52" t="str">
        <f t="shared" si="373"/>
        <v>FICO 700+</v>
      </c>
      <c r="BA563" s="54" t="s">
        <v>150</v>
      </c>
      <c r="BB563" s="54" t="s">
        <v>150</v>
      </c>
      <c r="BC563" s="54" t="s">
        <v>150</v>
      </c>
      <c r="BD563" s="54" t="s">
        <v>150</v>
      </c>
      <c r="BE563" s="54" t="s">
        <v>150</v>
      </c>
      <c r="BF563" s="54" t="s">
        <v>150</v>
      </c>
    </row>
    <row r="564" spans="2:58" ht="15" customHeight="1" x14ac:dyDescent="0.45">
      <c r="B564" s="52" t="s">
        <v>152</v>
      </c>
      <c r="C564" s="54" t="s">
        <v>150</v>
      </c>
      <c r="D564" s="54" t="s">
        <v>150</v>
      </c>
      <c r="E564" s="54" t="s">
        <v>150</v>
      </c>
      <c r="F564" s="54" t="s">
        <v>150</v>
      </c>
      <c r="G564" s="54" t="s">
        <v>150</v>
      </c>
      <c r="H564" s="54" t="s">
        <v>150</v>
      </c>
      <c r="L564" s="52" t="s">
        <v>152</v>
      </c>
      <c r="M564" s="54" t="s">
        <v>150</v>
      </c>
      <c r="N564" s="54" t="s">
        <v>150</v>
      </c>
      <c r="O564" s="54" t="s">
        <v>150</v>
      </c>
      <c r="P564" s="54" t="s">
        <v>150</v>
      </c>
      <c r="Q564" s="54" t="s">
        <v>150</v>
      </c>
      <c r="R564" s="54" t="s">
        <v>150</v>
      </c>
      <c r="S564" s="68"/>
      <c r="T564" s="69"/>
      <c r="V564" s="52" t="str">
        <f t="shared" si="370"/>
        <v>FICO 660-699</v>
      </c>
      <c r="W564" s="54" t="s">
        <v>150</v>
      </c>
      <c r="X564" s="54" t="s">
        <v>150</v>
      </c>
      <c r="Y564" s="54" t="s">
        <v>150</v>
      </c>
      <c r="Z564" s="54" t="s">
        <v>150</v>
      </c>
      <c r="AA564" s="54" t="s">
        <v>150</v>
      </c>
      <c r="AB564" s="54" t="s">
        <v>150</v>
      </c>
      <c r="AF564" s="52" t="str">
        <f t="shared" si="371"/>
        <v>FICO 660-699</v>
      </c>
      <c r="AG564" s="54" t="s">
        <v>150</v>
      </c>
      <c r="AH564" s="54" t="s">
        <v>150</v>
      </c>
      <c r="AI564" s="54" t="s">
        <v>150</v>
      </c>
      <c r="AJ564" s="54" t="s">
        <v>150</v>
      </c>
      <c r="AK564" s="54" t="s">
        <v>150</v>
      </c>
      <c r="AL564" s="54" t="s">
        <v>150</v>
      </c>
      <c r="AM564" s="68"/>
      <c r="AN564" s="69"/>
      <c r="AP564" s="52" t="str">
        <f t="shared" si="372"/>
        <v>FICO 660-699</v>
      </c>
      <c r="AQ564" s="54" t="s">
        <v>150</v>
      </c>
      <c r="AR564" s="54" t="s">
        <v>150</v>
      </c>
      <c r="AS564" s="54" t="s">
        <v>150</v>
      </c>
      <c r="AT564" s="54" t="s">
        <v>150</v>
      </c>
      <c r="AU564" s="54" t="s">
        <v>150</v>
      </c>
      <c r="AV564" s="54" t="s">
        <v>150</v>
      </c>
      <c r="AZ564" s="52" t="str">
        <f t="shared" si="373"/>
        <v>FICO 660-699</v>
      </c>
      <c r="BA564" s="54" t="s">
        <v>150</v>
      </c>
      <c r="BB564" s="54" t="s">
        <v>150</v>
      </c>
      <c r="BC564" s="54" t="s">
        <v>150</v>
      </c>
      <c r="BD564" s="54" t="s">
        <v>150</v>
      </c>
      <c r="BE564" s="54" t="s">
        <v>150</v>
      </c>
      <c r="BF564" s="54" t="s">
        <v>150</v>
      </c>
    </row>
    <row r="565" spans="2:58" ht="15" customHeight="1" x14ac:dyDescent="0.45">
      <c r="B565" s="57" t="s">
        <v>153</v>
      </c>
      <c r="C565" s="59" t="s">
        <v>150</v>
      </c>
      <c r="D565" s="59" t="s">
        <v>150</v>
      </c>
      <c r="E565" s="59" t="s">
        <v>150</v>
      </c>
      <c r="F565" s="59" t="s">
        <v>150</v>
      </c>
      <c r="G565" s="59" t="s">
        <v>150</v>
      </c>
      <c r="H565" s="59" t="s">
        <v>150</v>
      </c>
      <c r="L565" s="57" t="s">
        <v>153</v>
      </c>
      <c r="M565" s="59" t="s">
        <v>150</v>
      </c>
      <c r="N565" s="59" t="s">
        <v>150</v>
      </c>
      <c r="O565" s="59" t="s">
        <v>150</v>
      </c>
      <c r="P565" s="59" t="s">
        <v>150</v>
      </c>
      <c r="Q565" s="59" t="s">
        <v>150</v>
      </c>
      <c r="R565" s="59" t="s">
        <v>150</v>
      </c>
      <c r="S565" s="68"/>
      <c r="T565" s="69"/>
      <c r="V565" s="57" t="str">
        <f t="shared" si="370"/>
        <v>FICO 640-659</v>
      </c>
      <c r="W565" s="59" t="s">
        <v>150</v>
      </c>
      <c r="X565" s="59" t="s">
        <v>150</v>
      </c>
      <c r="Y565" s="59" t="s">
        <v>150</v>
      </c>
      <c r="Z565" s="59" t="s">
        <v>150</v>
      </c>
      <c r="AA565" s="59" t="s">
        <v>150</v>
      </c>
      <c r="AB565" s="59" t="s">
        <v>150</v>
      </c>
      <c r="AF565" s="57" t="str">
        <f t="shared" si="371"/>
        <v>FICO 640-659</v>
      </c>
      <c r="AG565" s="59" t="s">
        <v>150</v>
      </c>
      <c r="AH565" s="59" t="s">
        <v>150</v>
      </c>
      <c r="AI565" s="59" t="s">
        <v>150</v>
      </c>
      <c r="AJ565" s="59" t="s">
        <v>150</v>
      </c>
      <c r="AK565" s="59" t="s">
        <v>150</v>
      </c>
      <c r="AL565" s="59" t="s">
        <v>150</v>
      </c>
      <c r="AM565" s="68"/>
      <c r="AN565" s="69"/>
      <c r="AP565" s="57" t="str">
        <f t="shared" si="372"/>
        <v>FICO 640-659</v>
      </c>
      <c r="AQ565" s="59" t="s">
        <v>150</v>
      </c>
      <c r="AR565" s="59" t="s">
        <v>150</v>
      </c>
      <c r="AS565" s="59" t="s">
        <v>150</v>
      </c>
      <c r="AT565" s="59" t="s">
        <v>150</v>
      </c>
      <c r="AU565" s="59" t="s">
        <v>150</v>
      </c>
      <c r="AV565" s="59" t="s">
        <v>150</v>
      </c>
      <c r="AZ565" s="57" t="str">
        <f t="shared" si="373"/>
        <v>FICO 640-659</v>
      </c>
      <c r="BA565" s="59" t="s">
        <v>150</v>
      </c>
      <c r="BB565" s="59" t="s">
        <v>150</v>
      </c>
      <c r="BC565" s="59" t="s">
        <v>150</v>
      </c>
      <c r="BD565" s="59" t="s">
        <v>150</v>
      </c>
      <c r="BE565" s="59" t="s">
        <v>150</v>
      </c>
      <c r="BF565" s="59" t="s">
        <v>150</v>
      </c>
    </row>
    <row r="566" spans="2:58" ht="15" customHeight="1" x14ac:dyDescent="0.45">
      <c r="B566" s="60" t="s">
        <v>154</v>
      </c>
      <c r="C566" s="64" t="s">
        <v>150</v>
      </c>
      <c r="D566" s="64" t="s">
        <v>150</v>
      </c>
      <c r="E566" s="64" t="s">
        <v>150</v>
      </c>
      <c r="F566" s="64" t="s">
        <v>150</v>
      </c>
      <c r="G566" s="64" t="s">
        <v>150</v>
      </c>
      <c r="H566" s="64" t="s">
        <v>150</v>
      </c>
      <c r="L566" s="60" t="s">
        <v>154</v>
      </c>
      <c r="M566" s="64" t="s">
        <v>150</v>
      </c>
      <c r="N566" s="64" t="s">
        <v>150</v>
      </c>
      <c r="O566" s="64" t="s">
        <v>150</v>
      </c>
      <c r="P566" s="64" t="s">
        <v>150</v>
      </c>
      <c r="Q566" s="64" t="s">
        <v>150</v>
      </c>
      <c r="R566" s="64" t="s">
        <v>150</v>
      </c>
      <c r="S566" s="66"/>
      <c r="T566" s="67"/>
      <c r="V566" s="60" t="str">
        <f t="shared" si="370"/>
        <v>65.00%-70.00%</v>
      </c>
      <c r="W566" s="64" t="s">
        <v>150</v>
      </c>
      <c r="X566" s="64" t="s">
        <v>150</v>
      </c>
      <c r="Y566" s="64" t="s">
        <v>150</v>
      </c>
      <c r="Z566" s="64" t="s">
        <v>150</v>
      </c>
      <c r="AA566" s="64" t="s">
        <v>150</v>
      </c>
      <c r="AB566" s="64" t="s">
        <v>150</v>
      </c>
      <c r="AF566" s="60" t="str">
        <f t="shared" si="371"/>
        <v>65.00%-70.00%</v>
      </c>
      <c r="AG566" s="64" t="s">
        <v>150</v>
      </c>
      <c r="AH566" s="64" t="s">
        <v>150</v>
      </c>
      <c r="AI566" s="64" t="s">
        <v>150</v>
      </c>
      <c r="AJ566" s="64" t="s">
        <v>150</v>
      </c>
      <c r="AK566" s="64" t="s">
        <v>150</v>
      </c>
      <c r="AL566" s="64" t="s">
        <v>150</v>
      </c>
      <c r="AM566" s="66"/>
      <c r="AN566" s="67"/>
      <c r="AP566" s="60" t="str">
        <f t="shared" si="372"/>
        <v>65.00%-70.00%</v>
      </c>
      <c r="AQ566" s="64" t="s">
        <v>150</v>
      </c>
      <c r="AR566" s="64" t="s">
        <v>150</v>
      </c>
      <c r="AS566" s="64" t="s">
        <v>150</v>
      </c>
      <c r="AT566" s="64" t="s">
        <v>150</v>
      </c>
      <c r="AU566" s="64" t="s">
        <v>150</v>
      </c>
      <c r="AV566" s="64" t="s">
        <v>150</v>
      </c>
      <c r="AZ566" s="60" t="str">
        <f t="shared" si="373"/>
        <v>65.00%-70.00%</v>
      </c>
      <c r="BA566" s="64" t="s">
        <v>150</v>
      </c>
      <c r="BB566" s="64" t="s">
        <v>150</v>
      </c>
      <c r="BC566" s="64" t="s">
        <v>150</v>
      </c>
      <c r="BD566" s="64" t="s">
        <v>150</v>
      </c>
      <c r="BE566" s="64" t="s">
        <v>150</v>
      </c>
      <c r="BF566" s="64" t="s">
        <v>150</v>
      </c>
    </row>
    <row r="567" spans="2:58" ht="15" customHeight="1" x14ac:dyDescent="0.45">
      <c r="B567" s="52" t="s">
        <v>151</v>
      </c>
      <c r="C567" s="54" t="s">
        <v>150</v>
      </c>
      <c r="D567" s="54" t="s">
        <v>150</v>
      </c>
      <c r="E567" s="54" t="s">
        <v>150</v>
      </c>
      <c r="F567" s="54" t="s">
        <v>150</v>
      </c>
      <c r="G567" s="54" t="s">
        <v>150</v>
      </c>
      <c r="H567" s="54" t="s">
        <v>150</v>
      </c>
      <c r="L567" s="52" t="s">
        <v>151</v>
      </c>
      <c r="M567" s="54" t="s">
        <v>150</v>
      </c>
      <c r="N567" s="54" t="s">
        <v>150</v>
      </c>
      <c r="O567" s="54" t="s">
        <v>150</v>
      </c>
      <c r="P567" s="54" t="s">
        <v>150</v>
      </c>
      <c r="Q567" s="54" t="s">
        <v>150</v>
      </c>
      <c r="R567" s="54" t="s">
        <v>150</v>
      </c>
      <c r="S567" s="68"/>
      <c r="T567" s="69"/>
      <c r="V567" s="52" t="str">
        <f t="shared" si="370"/>
        <v>FICO 700+</v>
      </c>
      <c r="W567" s="54" t="s">
        <v>150</v>
      </c>
      <c r="X567" s="54" t="s">
        <v>150</v>
      </c>
      <c r="Y567" s="54" t="s">
        <v>150</v>
      </c>
      <c r="Z567" s="54" t="s">
        <v>150</v>
      </c>
      <c r="AA567" s="54" t="s">
        <v>150</v>
      </c>
      <c r="AB567" s="54" t="s">
        <v>150</v>
      </c>
      <c r="AF567" s="52" t="str">
        <f t="shared" si="371"/>
        <v>FICO 700+</v>
      </c>
      <c r="AG567" s="54" t="s">
        <v>150</v>
      </c>
      <c r="AH567" s="54" t="s">
        <v>150</v>
      </c>
      <c r="AI567" s="54" t="s">
        <v>150</v>
      </c>
      <c r="AJ567" s="54" t="s">
        <v>150</v>
      </c>
      <c r="AK567" s="54" t="s">
        <v>150</v>
      </c>
      <c r="AL567" s="54" t="s">
        <v>150</v>
      </c>
      <c r="AM567" s="68"/>
      <c r="AN567" s="69"/>
      <c r="AP567" s="52" t="str">
        <f t="shared" si="372"/>
        <v>FICO 700+</v>
      </c>
      <c r="AQ567" s="54" t="s">
        <v>150</v>
      </c>
      <c r="AR567" s="54" t="s">
        <v>150</v>
      </c>
      <c r="AS567" s="54" t="s">
        <v>150</v>
      </c>
      <c r="AT567" s="54" t="s">
        <v>150</v>
      </c>
      <c r="AU567" s="54" t="s">
        <v>150</v>
      </c>
      <c r="AV567" s="54" t="s">
        <v>150</v>
      </c>
      <c r="AZ567" s="52" t="str">
        <f t="shared" si="373"/>
        <v>FICO 700+</v>
      </c>
      <c r="BA567" s="54" t="s">
        <v>150</v>
      </c>
      <c r="BB567" s="54" t="s">
        <v>150</v>
      </c>
      <c r="BC567" s="54" t="s">
        <v>150</v>
      </c>
      <c r="BD567" s="54" t="s">
        <v>150</v>
      </c>
      <c r="BE567" s="54" t="s">
        <v>150</v>
      </c>
      <c r="BF567" s="54" t="s">
        <v>150</v>
      </c>
    </row>
    <row r="568" spans="2:58" ht="15" customHeight="1" x14ac:dyDescent="0.45">
      <c r="B568" s="52" t="s">
        <v>152</v>
      </c>
      <c r="C568" s="54" t="s">
        <v>150</v>
      </c>
      <c r="D568" s="54" t="s">
        <v>150</v>
      </c>
      <c r="E568" s="54" t="s">
        <v>150</v>
      </c>
      <c r="F568" s="54" t="s">
        <v>150</v>
      </c>
      <c r="G568" s="54" t="s">
        <v>150</v>
      </c>
      <c r="H568" s="54" t="s">
        <v>150</v>
      </c>
      <c r="L568" s="52" t="s">
        <v>152</v>
      </c>
      <c r="M568" s="54" t="s">
        <v>150</v>
      </c>
      <c r="N568" s="54" t="s">
        <v>150</v>
      </c>
      <c r="O568" s="54" t="s">
        <v>150</v>
      </c>
      <c r="P568" s="54" t="s">
        <v>150</v>
      </c>
      <c r="Q568" s="54" t="s">
        <v>150</v>
      </c>
      <c r="R568" s="54" t="s">
        <v>150</v>
      </c>
      <c r="S568" s="68"/>
      <c r="T568" s="69"/>
      <c r="V568" s="52" t="str">
        <f t="shared" si="370"/>
        <v>FICO 660-699</v>
      </c>
      <c r="W568" s="54" t="s">
        <v>150</v>
      </c>
      <c r="X568" s="54" t="s">
        <v>150</v>
      </c>
      <c r="Y568" s="54" t="s">
        <v>150</v>
      </c>
      <c r="Z568" s="54" t="s">
        <v>150</v>
      </c>
      <c r="AA568" s="54" t="s">
        <v>150</v>
      </c>
      <c r="AB568" s="54" t="s">
        <v>150</v>
      </c>
      <c r="AF568" s="52" t="str">
        <f t="shared" si="371"/>
        <v>FICO 660-699</v>
      </c>
      <c r="AG568" s="54" t="s">
        <v>150</v>
      </c>
      <c r="AH568" s="54" t="s">
        <v>150</v>
      </c>
      <c r="AI568" s="54" t="s">
        <v>150</v>
      </c>
      <c r="AJ568" s="54" t="s">
        <v>150</v>
      </c>
      <c r="AK568" s="54" t="s">
        <v>150</v>
      </c>
      <c r="AL568" s="54" t="s">
        <v>150</v>
      </c>
      <c r="AM568" s="68"/>
      <c r="AN568" s="69"/>
      <c r="AP568" s="52" t="str">
        <f t="shared" si="372"/>
        <v>FICO 660-699</v>
      </c>
      <c r="AQ568" s="54" t="s">
        <v>150</v>
      </c>
      <c r="AR568" s="54" t="s">
        <v>150</v>
      </c>
      <c r="AS568" s="54" t="s">
        <v>150</v>
      </c>
      <c r="AT568" s="54" t="s">
        <v>150</v>
      </c>
      <c r="AU568" s="54" t="s">
        <v>150</v>
      </c>
      <c r="AV568" s="54" t="s">
        <v>150</v>
      </c>
      <c r="AZ568" s="52" t="str">
        <f t="shared" si="373"/>
        <v>FICO 660-699</v>
      </c>
      <c r="BA568" s="54" t="s">
        <v>150</v>
      </c>
      <c r="BB568" s="54" t="s">
        <v>150</v>
      </c>
      <c r="BC568" s="54" t="s">
        <v>150</v>
      </c>
      <c r="BD568" s="54" t="s">
        <v>150</v>
      </c>
      <c r="BE568" s="54" t="s">
        <v>150</v>
      </c>
      <c r="BF568" s="54" t="s">
        <v>150</v>
      </c>
    </row>
    <row r="569" spans="2:58" ht="15" customHeight="1" x14ac:dyDescent="0.45">
      <c r="B569" s="57" t="s">
        <v>153</v>
      </c>
      <c r="C569" s="59" t="s">
        <v>150</v>
      </c>
      <c r="D569" s="59" t="s">
        <v>150</v>
      </c>
      <c r="E569" s="59" t="s">
        <v>150</v>
      </c>
      <c r="F569" s="59" t="s">
        <v>150</v>
      </c>
      <c r="G569" s="59" t="s">
        <v>150</v>
      </c>
      <c r="H569" s="59" t="s">
        <v>150</v>
      </c>
      <c r="L569" s="57" t="s">
        <v>153</v>
      </c>
      <c r="M569" s="59" t="s">
        <v>150</v>
      </c>
      <c r="N569" s="59" t="s">
        <v>150</v>
      </c>
      <c r="O569" s="59" t="s">
        <v>150</v>
      </c>
      <c r="P569" s="59" t="s">
        <v>150</v>
      </c>
      <c r="Q569" s="59" t="s">
        <v>150</v>
      </c>
      <c r="R569" s="59" t="s">
        <v>150</v>
      </c>
      <c r="S569" s="68"/>
      <c r="T569" s="69"/>
      <c r="V569" s="57" t="str">
        <f t="shared" si="370"/>
        <v>FICO 640-659</v>
      </c>
      <c r="W569" s="59" t="s">
        <v>150</v>
      </c>
      <c r="X569" s="59" t="s">
        <v>150</v>
      </c>
      <c r="Y569" s="59" t="s">
        <v>150</v>
      </c>
      <c r="Z569" s="59" t="s">
        <v>150</v>
      </c>
      <c r="AA569" s="59" t="s">
        <v>150</v>
      </c>
      <c r="AB569" s="59" t="s">
        <v>150</v>
      </c>
      <c r="AF569" s="57" t="str">
        <f t="shared" si="371"/>
        <v>FICO 640-659</v>
      </c>
      <c r="AG569" s="59" t="s">
        <v>150</v>
      </c>
      <c r="AH569" s="59" t="s">
        <v>150</v>
      </c>
      <c r="AI569" s="59" t="s">
        <v>150</v>
      </c>
      <c r="AJ569" s="59" t="s">
        <v>150</v>
      </c>
      <c r="AK569" s="59" t="s">
        <v>150</v>
      </c>
      <c r="AL569" s="59" t="s">
        <v>150</v>
      </c>
      <c r="AM569" s="68"/>
      <c r="AN569" s="69"/>
      <c r="AP569" s="57" t="str">
        <f t="shared" si="372"/>
        <v>FICO 640-659</v>
      </c>
      <c r="AQ569" s="59" t="s">
        <v>150</v>
      </c>
      <c r="AR569" s="59" t="s">
        <v>150</v>
      </c>
      <c r="AS569" s="59" t="s">
        <v>150</v>
      </c>
      <c r="AT569" s="59" t="s">
        <v>150</v>
      </c>
      <c r="AU569" s="59" t="s">
        <v>150</v>
      </c>
      <c r="AV569" s="59" t="s">
        <v>150</v>
      </c>
      <c r="AZ569" s="57" t="str">
        <f t="shared" si="373"/>
        <v>FICO 640-659</v>
      </c>
      <c r="BA569" s="59" t="s">
        <v>150</v>
      </c>
      <c r="BB569" s="59" t="s">
        <v>150</v>
      </c>
      <c r="BC569" s="59" t="s">
        <v>150</v>
      </c>
      <c r="BD569" s="59" t="s">
        <v>150</v>
      </c>
      <c r="BE569" s="59" t="s">
        <v>150</v>
      </c>
      <c r="BF569" s="59" t="s">
        <v>150</v>
      </c>
    </row>
    <row r="570" spans="2:58" ht="15" customHeight="1" x14ac:dyDescent="0.45">
      <c r="B570" s="46" t="s">
        <v>155</v>
      </c>
      <c r="C570" s="64" t="s">
        <v>150</v>
      </c>
      <c r="D570" s="64" t="s">
        <v>150</v>
      </c>
      <c r="E570" s="64" t="s">
        <v>150</v>
      </c>
      <c r="F570" s="64" t="s">
        <v>150</v>
      </c>
      <c r="G570" s="64" t="s">
        <v>150</v>
      </c>
      <c r="H570" s="64" t="s">
        <v>150</v>
      </c>
      <c r="L570" s="60" t="s">
        <v>155</v>
      </c>
      <c r="M570" s="64" t="s">
        <v>150</v>
      </c>
      <c r="N570" s="64" t="s">
        <v>150</v>
      </c>
      <c r="O570" s="64" t="s">
        <v>150</v>
      </c>
      <c r="P570" s="64" t="s">
        <v>150</v>
      </c>
      <c r="Q570" s="64" t="s">
        <v>150</v>
      </c>
      <c r="R570" s="64" t="s">
        <v>150</v>
      </c>
      <c r="S570" s="66"/>
      <c r="T570" s="67"/>
      <c r="V570" s="60" t="str">
        <f t="shared" si="370"/>
        <v>&lt;64.99%</v>
      </c>
      <c r="W570" s="64" t="s">
        <v>150</v>
      </c>
      <c r="X570" s="64" t="s">
        <v>150</v>
      </c>
      <c r="Y570" s="64" t="s">
        <v>150</v>
      </c>
      <c r="Z570" s="64" t="s">
        <v>150</v>
      </c>
      <c r="AA570" s="64" t="s">
        <v>150</v>
      </c>
      <c r="AB570" s="64" t="s">
        <v>150</v>
      </c>
      <c r="AF570" s="60" t="str">
        <f t="shared" si="371"/>
        <v>&lt;64.99%</v>
      </c>
      <c r="AG570" s="64" t="s">
        <v>150</v>
      </c>
      <c r="AH570" s="64" t="s">
        <v>150</v>
      </c>
      <c r="AI570" s="64" t="s">
        <v>150</v>
      </c>
      <c r="AJ570" s="64" t="s">
        <v>150</v>
      </c>
      <c r="AK570" s="64" t="s">
        <v>150</v>
      </c>
      <c r="AL570" s="64" t="s">
        <v>150</v>
      </c>
      <c r="AM570" s="66"/>
      <c r="AN570" s="67"/>
      <c r="AP570" s="60" t="str">
        <f t="shared" si="372"/>
        <v>&lt;64.99%</v>
      </c>
      <c r="AQ570" s="64" t="s">
        <v>150</v>
      </c>
      <c r="AR570" s="64" t="s">
        <v>150</v>
      </c>
      <c r="AS570" s="64" t="s">
        <v>150</v>
      </c>
      <c r="AT570" s="64" t="s">
        <v>150</v>
      </c>
      <c r="AU570" s="64" t="s">
        <v>150</v>
      </c>
      <c r="AV570" s="64" t="s">
        <v>150</v>
      </c>
      <c r="AZ570" s="60" t="str">
        <f t="shared" si="373"/>
        <v>&lt;64.99%</v>
      </c>
      <c r="BA570" s="64" t="s">
        <v>150</v>
      </c>
      <c r="BB570" s="64" t="s">
        <v>150</v>
      </c>
      <c r="BC570" s="64" t="s">
        <v>150</v>
      </c>
      <c r="BD570" s="64" t="s">
        <v>150</v>
      </c>
      <c r="BE570" s="64" t="s">
        <v>150</v>
      </c>
      <c r="BF570" s="64" t="s">
        <v>150</v>
      </c>
    </row>
    <row r="571" spans="2:58" ht="15" customHeight="1" x14ac:dyDescent="0.45">
      <c r="B571" s="52" t="s">
        <v>151</v>
      </c>
      <c r="C571" s="54" t="s">
        <v>150</v>
      </c>
      <c r="D571" s="54" t="s">
        <v>150</v>
      </c>
      <c r="E571" s="54" t="s">
        <v>150</v>
      </c>
      <c r="F571" s="54" t="s">
        <v>150</v>
      </c>
      <c r="G571" s="54" t="s">
        <v>150</v>
      </c>
      <c r="H571" s="54" t="s">
        <v>150</v>
      </c>
      <c r="L571" s="52" t="s">
        <v>151</v>
      </c>
      <c r="M571" s="54" t="s">
        <v>150</v>
      </c>
      <c r="N571" s="54" t="s">
        <v>150</v>
      </c>
      <c r="O571" s="54" t="s">
        <v>150</v>
      </c>
      <c r="P571" s="54" t="s">
        <v>150</v>
      </c>
      <c r="Q571" s="54" t="s">
        <v>150</v>
      </c>
      <c r="R571" s="54" t="s">
        <v>150</v>
      </c>
      <c r="S571" s="68"/>
      <c r="T571" s="69"/>
      <c r="V571" s="52" t="str">
        <f t="shared" si="370"/>
        <v>FICO 700+</v>
      </c>
      <c r="W571" s="54" t="s">
        <v>150</v>
      </c>
      <c r="X571" s="54" t="s">
        <v>150</v>
      </c>
      <c r="Y571" s="54" t="s">
        <v>150</v>
      </c>
      <c r="Z571" s="54" t="s">
        <v>150</v>
      </c>
      <c r="AA571" s="54" t="s">
        <v>150</v>
      </c>
      <c r="AB571" s="54" t="s">
        <v>150</v>
      </c>
      <c r="AF571" s="52" t="str">
        <f t="shared" si="371"/>
        <v>FICO 700+</v>
      </c>
      <c r="AG571" s="54" t="s">
        <v>150</v>
      </c>
      <c r="AH571" s="54" t="s">
        <v>150</v>
      </c>
      <c r="AI571" s="54" t="s">
        <v>150</v>
      </c>
      <c r="AJ571" s="54" t="s">
        <v>150</v>
      </c>
      <c r="AK571" s="54" t="s">
        <v>150</v>
      </c>
      <c r="AL571" s="54" t="s">
        <v>150</v>
      </c>
      <c r="AM571" s="68"/>
      <c r="AN571" s="69"/>
      <c r="AP571" s="52" t="str">
        <f t="shared" si="372"/>
        <v>FICO 700+</v>
      </c>
      <c r="AQ571" s="54" t="s">
        <v>150</v>
      </c>
      <c r="AR571" s="54" t="s">
        <v>150</v>
      </c>
      <c r="AS571" s="54" t="s">
        <v>150</v>
      </c>
      <c r="AT571" s="54" t="s">
        <v>150</v>
      </c>
      <c r="AU571" s="54" t="s">
        <v>150</v>
      </c>
      <c r="AV571" s="54" t="s">
        <v>150</v>
      </c>
      <c r="AZ571" s="52" t="str">
        <f t="shared" si="373"/>
        <v>FICO 700+</v>
      </c>
      <c r="BA571" s="54" t="s">
        <v>150</v>
      </c>
      <c r="BB571" s="54" t="s">
        <v>150</v>
      </c>
      <c r="BC571" s="54" t="s">
        <v>150</v>
      </c>
      <c r="BD571" s="54" t="s">
        <v>150</v>
      </c>
      <c r="BE571" s="54" t="s">
        <v>150</v>
      </c>
      <c r="BF571" s="54" t="s">
        <v>150</v>
      </c>
    </row>
    <row r="572" spans="2:58" ht="15" customHeight="1" x14ac:dyDescent="0.45">
      <c r="B572" s="52" t="s">
        <v>152</v>
      </c>
      <c r="C572" s="54" t="s">
        <v>150</v>
      </c>
      <c r="D572" s="54" t="s">
        <v>150</v>
      </c>
      <c r="E572" s="54" t="s">
        <v>150</v>
      </c>
      <c r="F572" s="54" t="s">
        <v>150</v>
      </c>
      <c r="G572" s="54" t="s">
        <v>150</v>
      </c>
      <c r="H572" s="54" t="s">
        <v>150</v>
      </c>
      <c r="L572" s="52" t="s">
        <v>152</v>
      </c>
      <c r="M572" s="54" t="s">
        <v>150</v>
      </c>
      <c r="N572" s="54" t="s">
        <v>150</v>
      </c>
      <c r="O572" s="54" t="s">
        <v>150</v>
      </c>
      <c r="P572" s="54" t="s">
        <v>150</v>
      </c>
      <c r="Q572" s="54" t="s">
        <v>150</v>
      </c>
      <c r="R572" s="54" t="s">
        <v>150</v>
      </c>
      <c r="S572" s="68"/>
      <c r="T572" s="69"/>
      <c r="V572" s="52" t="str">
        <f t="shared" si="370"/>
        <v>FICO 660-699</v>
      </c>
      <c r="W572" s="54" t="s">
        <v>150</v>
      </c>
      <c r="X572" s="54" t="s">
        <v>150</v>
      </c>
      <c r="Y572" s="54" t="s">
        <v>150</v>
      </c>
      <c r="Z572" s="54" t="s">
        <v>150</v>
      </c>
      <c r="AA572" s="54" t="s">
        <v>150</v>
      </c>
      <c r="AB572" s="54" t="s">
        <v>150</v>
      </c>
      <c r="AF572" s="52" t="str">
        <f t="shared" si="371"/>
        <v>FICO 660-699</v>
      </c>
      <c r="AG572" s="54" t="s">
        <v>150</v>
      </c>
      <c r="AH572" s="54" t="s">
        <v>150</v>
      </c>
      <c r="AI572" s="54" t="s">
        <v>150</v>
      </c>
      <c r="AJ572" s="54" t="s">
        <v>150</v>
      </c>
      <c r="AK572" s="54" t="s">
        <v>150</v>
      </c>
      <c r="AL572" s="54" t="s">
        <v>150</v>
      </c>
      <c r="AM572" s="68"/>
      <c r="AN572" s="69"/>
      <c r="AP572" s="52" t="str">
        <f t="shared" si="372"/>
        <v>FICO 660-699</v>
      </c>
      <c r="AQ572" s="54" t="s">
        <v>150</v>
      </c>
      <c r="AR572" s="54" t="s">
        <v>150</v>
      </c>
      <c r="AS572" s="54" t="s">
        <v>150</v>
      </c>
      <c r="AT572" s="54" t="s">
        <v>150</v>
      </c>
      <c r="AU572" s="54" t="s">
        <v>150</v>
      </c>
      <c r="AV572" s="54" t="s">
        <v>150</v>
      </c>
      <c r="AZ572" s="52" t="str">
        <f t="shared" si="373"/>
        <v>FICO 660-699</v>
      </c>
      <c r="BA572" s="54" t="s">
        <v>150</v>
      </c>
      <c r="BB572" s="54" t="s">
        <v>150</v>
      </c>
      <c r="BC572" s="54" t="s">
        <v>150</v>
      </c>
      <c r="BD572" s="54" t="s">
        <v>150</v>
      </c>
      <c r="BE572" s="54" t="s">
        <v>150</v>
      </c>
      <c r="BF572" s="54" t="s">
        <v>150</v>
      </c>
    </row>
    <row r="573" spans="2:58" ht="15" customHeight="1" x14ac:dyDescent="0.45">
      <c r="B573" s="52" t="s">
        <v>153</v>
      </c>
      <c r="C573" s="54" t="s">
        <v>150</v>
      </c>
      <c r="D573" s="54" t="s">
        <v>150</v>
      </c>
      <c r="E573" s="54" t="s">
        <v>150</v>
      </c>
      <c r="F573" s="54" t="s">
        <v>150</v>
      </c>
      <c r="G573" s="54" t="s">
        <v>150</v>
      </c>
      <c r="H573" s="54" t="s">
        <v>150</v>
      </c>
      <c r="L573" s="52" t="s">
        <v>153</v>
      </c>
      <c r="M573" s="54" t="s">
        <v>150</v>
      </c>
      <c r="N573" s="54" t="s">
        <v>150</v>
      </c>
      <c r="O573" s="54" t="s">
        <v>150</v>
      </c>
      <c r="P573" s="54" t="s">
        <v>150</v>
      </c>
      <c r="Q573" s="54" t="s">
        <v>150</v>
      </c>
      <c r="R573" s="54" t="s">
        <v>150</v>
      </c>
      <c r="S573" s="68"/>
      <c r="T573" s="69"/>
      <c r="V573" s="52" t="str">
        <f t="shared" si="370"/>
        <v>FICO 640-659</v>
      </c>
      <c r="W573" s="54" t="s">
        <v>150</v>
      </c>
      <c r="X573" s="54" t="s">
        <v>150</v>
      </c>
      <c r="Y573" s="54" t="s">
        <v>150</v>
      </c>
      <c r="Z573" s="54" t="s">
        <v>150</v>
      </c>
      <c r="AA573" s="54" t="s">
        <v>150</v>
      </c>
      <c r="AB573" s="54" t="s">
        <v>150</v>
      </c>
      <c r="AF573" s="52" t="str">
        <f t="shared" si="371"/>
        <v>FICO 640-659</v>
      </c>
      <c r="AG573" s="54" t="s">
        <v>150</v>
      </c>
      <c r="AH573" s="54" t="s">
        <v>150</v>
      </c>
      <c r="AI573" s="54" t="s">
        <v>150</v>
      </c>
      <c r="AJ573" s="54" t="s">
        <v>150</v>
      </c>
      <c r="AK573" s="54" t="s">
        <v>150</v>
      </c>
      <c r="AL573" s="54" t="s">
        <v>150</v>
      </c>
      <c r="AM573" s="68"/>
      <c r="AN573" s="69"/>
      <c r="AP573" s="52" t="str">
        <f t="shared" si="372"/>
        <v>FICO 640-659</v>
      </c>
      <c r="AQ573" s="54" t="s">
        <v>150</v>
      </c>
      <c r="AR573" s="54" t="s">
        <v>150</v>
      </c>
      <c r="AS573" s="54" t="s">
        <v>150</v>
      </c>
      <c r="AT573" s="54" t="s">
        <v>150</v>
      </c>
      <c r="AU573" s="54" t="s">
        <v>150</v>
      </c>
      <c r="AV573" s="54" t="s">
        <v>150</v>
      </c>
      <c r="AZ573" s="52" t="str">
        <f t="shared" si="373"/>
        <v>FICO 640-659</v>
      </c>
      <c r="BA573" s="54" t="s">
        <v>150</v>
      </c>
      <c r="BB573" s="54" t="s">
        <v>150</v>
      </c>
      <c r="BC573" s="54" t="s">
        <v>150</v>
      </c>
      <c r="BD573" s="54" t="s">
        <v>150</v>
      </c>
      <c r="BE573" s="54" t="s">
        <v>150</v>
      </c>
      <c r="BF573" s="54" t="s">
        <v>150</v>
      </c>
    </row>
    <row r="574" spans="2:58" ht="15" customHeight="1" x14ac:dyDescent="0.45">
      <c r="B574" s="37"/>
      <c r="C574" s="63"/>
      <c r="D574" s="63"/>
      <c r="E574" s="63"/>
      <c r="F574" s="63"/>
      <c r="G574" s="63"/>
      <c r="H574" s="63"/>
      <c r="L574" s="37"/>
      <c r="M574" s="63"/>
      <c r="N574" s="63"/>
      <c r="O574" s="63"/>
      <c r="P574" s="63"/>
      <c r="Q574" s="63"/>
      <c r="R574" s="63"/>
      <c r="S574" s="55"/>
      <c r="T574" s="56"/>
      <c r="V574" s="37"/>
      <c r="W574" s="63"/>
      <c r="X574" s="63"/>
      <c r="Y574" s="63"/>
      <c r="Z574" s="63"/>
      <c r="AA574" s="63"/>
      <c r="AB574" s="63"/>
      <c r="AF574" s="37"/>
      <c r="AG574" s="63"/>
      <c r="AH574" s="63"/>
      <c r="AI574" s="63"/>
      <c r="AJ574" s="63"/>
      <c r="AK574" s="63"/>
      <c r="AL574" s="63"/>
      <c r="AM574" s="55"/>
      <c r="AN574" s="56"/>
      <c r="AP574" s="37"/>
      <c r="AQ574" s="63"/>
      <c r="AR574" s="63"/>
      <c r="AS574" s="63"/>
      <c r="AT574" s="63"/>
      <c r="AU574" s="63"/>
      <c r="AV574" s="63"/>
      <c r="AZ574" s="37"/>
      <c r="BA574" s="63"/>
      <c r="BB574" s="63"/>
      <c r="BC574" s="63"/>
      <c r="BD574" s="63"/>
      <c r="BE574" s="63"/>
      <c r="BF574" s="63"/>
    </row>
    <row r="575" spans="2:58" ht="15.75" customHeight="1" x14ac:dyDescent="0.45">
      <c r="B575" s="94" t="s">
        <v>156</v>
      </c>
      <c r="C575" s="94"/>
      <c r="D575" s="94"/>
      <c r="E575" s="94"/>
      <c r="F575" s="94"/>
      <c r="G575" s="94"/>
      <c r="H575" s="94"/>
      <c r="L575" s="94" t="s">
        <v>156</v>
      </c>
      <c r="M575" s="94"/>
      <c r="N575" s="94"/>
      <c r="O575" s="94"/>
      <c r="P575" s="94"/>
      <c r="Q575" s="94"/>
      <c r="R575" s="94"/>
      <c r="S575" s="39"/>
      <c r="T575" s="40"/>
      <c r="V575" s="94" t="s">
        <v>156</v>
      </c>
      <c r="W575" s="94"/>
      <c r="X575" s="94"/>
      <c r="Y575" s="94"/>
      <c r="Z575" s="94"/>
      <c r="AA575" s="94"/>
      <c r="AB575" s="94"/>
      <c r="AF575" s="94" t="s">
        <v>156</v>
      </c>
      <c r="AG575" s="94"/>
      <c r="AH575" s="94"/>
      <c r="AI575" s="94"/>
      <c r="AJ575" s="94"/>
      <c r="AK575" s="94"/>
      <c r="AL575" s="94"/>
      <c r="AM575" s="39"/>
      <c r="AN575" s="40"/>
      <c r="AP575" s="94" t="s">
        <v>156</v>
      </c>
      <c r="AQ575" s="94"/>
      <c r="AR575" s="94"/>
      <c r="AS575" s="94"/>
      <c r="AT575" s="94"/>
      <c r="AU575" s="94"/>
      <c r="AV575" s="94"/>
      <c r="AZ575" s="94" t="s">
        <v>156</v>
      </c>
      <c r="BA575" s="94"/>
      <c r="BB575" s="94"/>
      <c r="BC575" s="94"/>
      <c r="BD575" s="94"/>
      <c r="BE575" s="94"/>
      <c r="BF575" s="94"/>
    </row>
    <row r="576" spans="2:58" ht="15" customHeight="1" x14ac:dyDescent="0.45">
      <c r="B576" s="42"/>
      <c r="C576" s="95" t="s">
        <v>50</v>
      </c>
      <c r="D576" s="95"/>
      <c r="E576" s="95"/>
      <c r="F576" s="95"/>
      <c r="G576" s="95"/>
      <c r="H576" s="95"/>
      <c r="L576" s="42"/>
      <c r="M576" s="95" t="s">
        <v>50</v>
      </c>
      <c r="N576" s="95"/>
      <c r="O576" s="95"/>
      <c r="P576" s="95"/>
      <c r="Q576" s="95"/>
      <c r="R576" s="95"/>
      <c r="S576" s="41"/>
      <c r="T576" s="43"/>
      <c r="V576" s="42"/>
      <c r="W576" s="95" t="str">
        <f>C576</f>
        <v>LTC</v>
      </c>
      <c r="X576" s="95"/>
      <c r="Y576" s="95"/>
      <c r="Z576" s="95"/>
      <c r="AA576" s="95"/>
      <c r="AB576" s="95"/>
      <c r="AF576" s="42"/>
      <c r="AG576" s="95" t="str">
        <f>W576</f>
        <v>LTC</v>
      </c>
      <c r="AH576" s="95"/>
      <c r="AI576" s="95"/>
      <c r="AJ576" s="95"/>
      <c r="AK576" s="95"/>
      <c r="AL576" s="95"/>
      <c r="AM576" s="41"/>
      <c r="AN576" s="43"/>
      <c r="AP576" s="42"/>
      <c r="AQ576" s="95" t="str">
        <f>C576</f>
        <v>LTC</v>
      </c>
      <c r="AR576" s="95"/>
      <c r="AS576" s="95"/>
      <c r="AT576" s="95"/>
      <c r="AU576" s="95"/>
      <c r="AV576" s="95"/>
      <c r="AZ576" s="42"/>
      <c r="BA576" s="95" t="str">
        <f>C576</f>
        <v>LTC</v>
      </c>
      <c r="BB576" s="95"/>
      <c r="BC576" s="95"/>
      <c r="BD576" s="95"/>
      <c r="BE576" s="95"/>
      <c r="BF576" s="95"/>
    </row>
    <row r="577" spans="2:58" ht="15" customHeight="1" x14ac:dyDescent="0.45">
      <c r="B577" s="44" t="s">
        <v>52</v>
      </c>
      <c r="C577" s="45" t="s">
        <v>143</v>
      </c>
      <c r="D577" s="45" t="s">
        <v>144</v>
      </c>
      <c r="E577" s="45" t="s">
        <v>145</v>
      </c>
      <c r="F577" s="45" t="s">
        <v>146</v>
      </c>
      <c r="G577" s="45" t="s">
        <v>147</v>
      </c>
      <c r="H577" s="45" t="s">
        <v>148</v>
      </c>
      <c r="L577" s="44" t="s">
        <v>52</v>
      </c>
      <c r="M577" s="70" t="s">
        <v>143</v>
      </c>
      <c r="N577" s="70" t="s">
        <v>144</v>
      </c>
      <c r="O577" s="70" t="s">
        <v>145</v>
      </c>
      <c r="P577" s="70" t="s">
        <v>146</v>
      </c>
      <c r="Q577" s="70" t="s">
        <v>147</v>
      </c>
      <c r="R577" s="70" t="s">
        <v>148</v>
      </c>
      <c r="S577" s="41"/>
      <c r="T577" s="43"/>
      <c r="V577" s="44" t="str">
        <f t="shared" ref="V577:V589" si="374">B577</f>
        <v>AR-LTV</v>
      </c>
      <c r="W577" s="45" t="str">
        <f>C577</f>
        <v>&lt;74.99%</v>
      </c>
      <c r="X577" s="45" t="str">
        <f>D577</f>
        <v>75.00%-80.00%</v>
      </c>
      <c r="Y577" s="45" t="str">
        <f>E577</f>
        <v>80.01%-85.00%</v>
      </c>
      <c r="Z577" s="45" t="str">
        <f>F577</f>
        <v>85.01%-87.50%</v>
      </c>
      <c r="AA577" s="45" t="str">
        <f>G577</f>
        <v>87.51%-89.99%</v>
      </c>
      <c r="AB577" s="45" t="str">
        <f>H577</f>
        <v>90.00%-92.50%</v>
      </c>
      <c r="AF577" s="44" t="str">
        <f t="shared" ref="AF577:AF589" si="375">V577</f>
        <v>AR-LTV</v>
      </c>
      <c r="AG577" s="45" t="str">
        <f>W577</f>
        <v>&lt;74.99%</v>
      </c>
      <c r="AH577" s="45" t="str">
        <f>X577</f>
        <v>75.00%-80.00%</v>
      </c>
      <c r="AI577" s="45" t="str">
        <f>Y577</f>
        <v>80.01%-85.00%</v>
      </c>
      <c r="AJ577" s="45" t="str">
        <f>Z577</f>
        <v>85.01%-87.50%</v>
      </c>
      <c r="AK577" s="45" t="str">
        <f>AA577</f>
        <v>87.51%-89.99%</v>
      </c>
      <c r="AL577" s="45" t="str">
        <f>AB577</f>
        <v>90.00%-92.50%</v>
      </c>
      <c r="AM577" s="41"/>
      <c r="AN577" s="43"/>
      <c r="AP577" s="44" t="str">
        <f t="shared" ref="AP577:AP589" si="376">B577</f>
        <v>AR-LTV</v>
      </c>
      <c r="AQ577" s="45" t="str">
        <f>C577</f>
        <v>&lt;74.99%</v>
      </c>
      <c r="AR577" s="45" t="str">
        <f>D577</f>
        <v>75.00%-80.00%</v>
      </c>
      <c r="AS577" s="45" t="str">
        <f>E577</f>
        <v>80.01%-85.00%</v>
      </c>
      <c r="AT577" s="45" t="str">
        <f>F577</f>
        <v>85.01%-87.50%</v>
      </c>
      <c r="AU577" s="45" t="str">
        <f>G577</f>
        <v>87.51%-89.99%</v>
      </c>
      <c r="AV577" s="45" t="str">
        <f>H577</f>
        <v>90.00%-92.50%</v>
      </c>
      <c r="AZ577" s="44" t="str">
        <f t="shared" ref="AZ577:AZ589" si="377">B577</f>
        <v>AR-LTV</v>
      </c>
      <c r="BA577" s="45" t="str">
        <f>C577</f>
        <v>&lt;74.99%</v>
      </c>
      <c r="BB577" s="45" t="str">
        <f>D577</f>
        <v>75.00%-80.00%</v>
      </c>
      <c r="BC577" s="45" t="str">
        <f>E577</f>
        <v>80.01%-85.00%</v>
      </c>
      <c r="BD577" s="45" t="str">
        <f>F577</f>
        <v>85.01%-87.50%</v>
      </c>
      <c r="BE577" s="45" t="str">
        <f>G577</f>
        <v>87.51%-89.99%</v>
      </c>
      <c r="BF577" s="45" t="str">
        <f>H577</f>
        <v>90.00%-92.50%</v>
      </c>
    </row>
    <row r="578" spans="2:58" ht="15" customHeight="1" x14ac:dyDescent="0.45">
      <c r="B578" s="46" t="s">
        <v>149</v>
      </c>
      <c r="C578" s="49" t="s">
        <v>150</v>
      </c>
      <c r="D578" s="49" t="s">
        <v>150</v>
      </c>
      <c r="E578" s="49" t="s">
        <v>150</v>
      </c>
      <c r="F578" s="49" t="s">
        <v>150</v>
      </c>
      <c r="G578" s="49" t="s">
        <v>150</v>
      </c>
      <c r="H578" s="49" t="s">
        <v>150</v>
      </c>
      <c r="L578" s="60" t="s">
        <v>149</v>
      </c>
      <c r="M578" s="49" t="s">
        <v>150</v>
      </c>
      <c r="N578" s="49" t="s">
        <v>150</v>
      </c>
      <c r="O578" s="49" t="s">
        <v>150</v>
      </c>
      <c r="P578" s="49" t="s">
        <v>150</v>
      </c>
      <c r="Q578" s="49" t="s">
        <v>150</v>
      </c>
      <c r="R578" s="49" t="s">
        <v>150</v>
      </c>
      <c r="S578" s="50"/>
      <c r="T578" s="51"/>
      <c r="V578" s="46" t="str">
        <f t="shared" si="374"/>
        <v>70.01%-75.00%</v>
      </c>
      <c r="W578" s="49" t="s">
        <v>150</v>
      </c>
      <c r="X578" s="49" t="s">
        <v>150</v>
      </c>
      <c r="Y578" s="49" t="s">
        <v>150</v>
      </c>
      <c r="Z578" s="49" t="s">
        <v>150</v>
      </c>
      <c r="AA578" s="49" t="s">
        <v>150</v>
      </c>
      <c r="AB578" s="49" t="s">
        <v>150</v>
      </c>
      <c r="AF578" s="46" t="str">
        <f t="shared" si="375"/>
        <v>70.01%-75.00%</v>
      </c>
      <c r="AG578" s="49" t="s">
        <v>150</v>
      </c>
      <c r="AH578" s="49" t="s">
        <v>150</v>
      </c>
      <c r="AI578" s="49" t="s">
        <v>150</v>
      </c>
      <c r="AJ578" s="49" t="s">
        <v>150</v>
      </c>
      <c r="AK578" s="49" t="s">
        <v>150</v>
      </c>
      <c r="AL578" s="49" t="s">
        <v>150</v>
      </c>
      <c r="AM578" s="50"/>
      <c r="AN578" s="51"/>
      <c r="AP578" s="46" t="str">
        <f t="shared" si="376"/>
        <v>70.01%-75.00%</v>
      </c>
      <c r="AQ578" s="49" t="s">
        <v>150</v>
      </c>
      <c r="AR578" s="49" t="s">
        <v>150</v>
      </c>
      <c r="AS578" s="49" t="s">
        <v>150</v>
      </c>
      <c r="AT578" s="49" t="s">
        <v>150</v>
      </c>
      <c r="AU578" s="49" t="s">
        <v>150</v>
      </c>
      <c r="AV578" s="49" t="s">
        <v>150</v>
      </c>
      <c r="AZ578" s="60" t="str">
        <f t="shared" si="377"/>
        <v>70.01%-75.00%</v>
      </c>
      <c r="BA578" s="49" t="s">
        <v>150</v>
      </c>
      <c r="BB578" s="49" t="s">
        <v>150</v>
      </c>
      <c r="BC578" s="49" t="s">
        <v>150</v>
      </c>
      <c r="BD578" s="49" t="s">
        <v>150</v>
      </c>
      <c r="BE578" s="49" t="s">
        <v>150</v>
      </c>
      <c r="BF578" s="49" t="s">
        <v>150</v>
      </c>
    </row>
    <row r="579" spans="2:58" ht="15" customHeight="1" x14ac:dyDescent="0.45">
      <c r="B579" s="52" t="s">
        <v>151</v>
      </c>
      <c r="C579" s="54" t="s">
        <v>150</v>
      </c>
      <c r="D579" s="54" t="s">
        <v>150</v>
      </c>
      <c r="E579" s="54" t="s">
        <v>150</v>
      </c>
      <c r="F579" s="54" t="s">
        <v>150</v>
      </c>
      <c r="G579" s="54" t="s">
        <v>150</v>
      </c>
      <c r="H579" s="54" t="s">
        <v>150</v>
      </c>
      <c r="L579" s="52" t="s">
        <v>151</v>
      </c>
      <c r="M579" s="54" t="s">
        <v>150</v>
      </c>
      <c r="N579" s="54" t="s">
        <v>150</v>
      </c>
      <c r="O579" s="54" t="s">
        <v>150</v>
      </c>
      <c r="P579" s="54" t="s">
        <v>150</v>
      </c>
      <c r="Q579" s="54" t="s">
        <v>150</v>
      </c>
      <c r="R579" s="54" t="s">
        <v>150</v>
      </c>
      <c r="S579" s="55"/>
      <c r="T579" s="56"/>
      <c r="V579" s="52" t="str">
        <f t="shared" si="374"/>
        <v>FICO 700+</v>
      </c>
      <c r="W579" s="54" t="s">
        <v>150</v>
      </c>
      <c r="X579" s="54" t="s">
        <v>150</v>
      </c>
      <c r="Y579" s="54" t="s">
        <v>150</v>
      </c>
      <c r="Z579" s="54" t="s">
        <v>150</v>
      </c>
      <c r="AA579" s="54" t="s">
        <v>150</v>
      </c>
      <c r="AB579" s="54" t="s">
        <v>150</v>
      </c>
      <c r="AF579" s="52" t="str">
        <f t="shared" si="375"/>
        <v>FICO 700+</v>
      </c>
      <c r="AG579" s="54" t="s">
        <v>150</v>
      </c>
      <c r="AH579" s="54" t="s">
        <v>150</v>
      </c>
      <c r="AI579" s="54" t="s">
        <v>150</v>
      </c>
      <c r="AJ579" s="54" t="s">
        <v>150</v>
      </c>
      <c r="AK579" s="54" t="s">
        <v>150</v>
      </c>
      <c r="AL579" s="54" t="s">
        <v>150</v>
      </c>
      <c r="AM579" s="55"/>
      <c r="AN579" s="56"/>
      <c r="AP579" s="52" t="str">
        <f t="shared" si="376"/>
        <v>FICO 700+</v>
      </c>
      <c r="AQ579" s="54" t="s">
        <v>150</v>
      </c>
      <c r="AR579" s="54" t="s">
        <v>150</v>
      </c>
      <c r="AS579" s="54" t="s">
        <v>150</v>
      </c>
      <c r="AT579" s="54" t="s">
        <v>150</v>
      </c>
      <c r="AU579" s="54" t="s">
        <v>150</v>
      </c>
      <c r="AV579" s="54" t="s">
        <v>150</v>
      </c>
      <c r="AZ579" s="52" t="str">
        <f t="shared" si="377"/>
        <v>FICO 700+</v>
      </c>
      <c r="BA579" s="54" t="s">
        <v>150</v>
      </c>
      <c r="BB579" s="54" t="s">
        <v>150</v>
      </c>
      <c r="BC579" s="54" t="s">
        <v>150</v>
      </c>
      <c r="BD579" s="54" t="s">
        <v>150</v>
      </c>
      <c r="BE579" s="54" t="s">
        <v>150</v>
      </c>
      <c r="BF579" s="54" t="s">
        <v>150</v>
      </c>
    </row>
    <row r="580" spans="2:58" ht="15" customHeight="1" x14ac:dyDescent="0.45">
      <c r="B580" s="52" t="s">
        <v>152</v>
      </c>
      <c r="C580" s="54" t="s">
        <v>150</v>
      </c>
      <c r="D580" s="54" t="s">
        <v>150</v>
      </c>
      <c r="E580" s="54" t="s">
        <v>150</v>
      </c>
      <c r="F580" s="54" t="s">
        <v>150</v>
      </c>
      <c r="G580" s="54" t="s">
        <v>150</v>
      </c>
      <c r="H580" s="54" t="s">
        <v>150</v>
      </c>
      <c r="L580" s="52" t="s">
        <v>152</v>
      </c>
      <c r="M580" s="54" t="s">
        <v>150</v>
      </c>
      <c r="N580" s="54" t="s">
        <v>150</v>
      </c>
      <c r="O580" s="54" t="s">
        <v>150</v>
      </c>
      <c r="P580" s="54" t="s">
        <v>150</v>
      </c>
      <c r="Q580" s="54" t="s">
        <v>150</v>
      </c>
      <c r="R580" s="54" t="s">
        <v>150</v>
      </c>
      <c r="S580" s="55"/>
      <c r="T580" s="56"/>
      <c r="V580" s="52" t="str">
        <f t="shared" si="374"/>
        <v>FICO 660-699</v>
      </c>
      <c r="W580" s="54" t="s">
        <v>150</v>
      </c>
      <c r="X580" s="54" t="s">
        <v>150</v>
      </c>
      <c r="Y580" s="54" t="s">
        <v>150</v>
      </c>
      <c r="Z580" s="54" t="s">
        <v>150</v>
      </c>
      <c r="AA580" s="54" t="s">
        <v>150</v>
      </c>
      <c r="AB580" s="54" t="s">
        <v>150</v>
      </c>
      <c r="AF580" s="52" t="str">
        <f t="shared" si="375"/>
        <v>FICO 660-699</v>
      </c>
      <c r="AG580" s="54" t="s">
        <v>150</v>
      </c>
      <c r="AH580" s="54" t="s">
        <v>150</v>
      </c>
      <c r="AI580" s="54" t="s">
        <v>150</v>
      </c>
      <c r="AJ580" s="54" t="s">
        <v>150</v>
      </c>
      <c r="AK580" s="54" t="s">
        <v>150</v>
      </c>
      <c r="AL580" s="54" t="s">
        <v>150</v>
      </c>
      <c r="AM580" s="55"/>
      <c r="AN580" s="56"/>
      <c r="AP580" s="52" t="str">
        <f t="shared" si="376"/>
        <v>FICO 660-699</v>
      </c>
      <c r="AQ580" s="54" t="s">
        <v>150</v>
      </c>
      <c r="AR580" s="54" t="s">
        <v>150</v>
      </c>
      <c r="AS580" s="54" t="s">
        <v>150</v>
      </c>
      <c r="AT580" s="54" t="s">
        <v>150</v>
      </c>
      <c r="AU580" s="54" t="s">
        <v>150</v>
      </c>
      <c r="AV580" s="54" t="s">
        <v>150</v>
      </c>
      <c r="AZ580" s="52" t="str">
        <f t="shared" si="377"/>
        <v>FICO 660-699</v>
      </c>
      <c r="BA580" s="54" t="s">
        <v>150</v>
      </c>
      <c r="BB580" s="54" t="s">
        <v>150</v>
      </c>
      <c r="BC580" s="54" t="s">
        <v>150</v>
      </c>
      <c r="BD580" s="54" t="s">
        <v>150</v>
      </c>
      <c r="BE580" s="54" t="s">
        <v>150</v>
      </c>
      <c r="BF580" s="54" t="s">
        <v>150</v>
      </c>
    </row>
    <row r="581" spans="2:58" ht="15" customHeight="1" x14ac:dyDescent="0.45">
      <c r="B581" s="57" t="s">
        <v>153</v>
      </c>
      <c r="C581" s="59" t="s">
        <v>150</v>
      </c>
      <c r="D581" s="59" t="s">
        <v>150</v>
      </c>
      <c r="E581" s="59" t="s">
        <v>150</v>
      </c>
      <c r="F581" s="59" t="s">
        <v>150</v>
      </c>
      <c r="G581" s="59" t="s">
        <v>150</v>
      </c>
      <c r="H581" s="59" t="s">
        <v>150</v>
      </c>
      <c r="L581" s="57" t="s">
        <v>153</v>
      </c>
      <c r="M581" s="59" t="s">
        <v>150</v>
      </c>
      <c r="N581" s="59" t="s">
        <v>150</v>
      </c>
      <c r="O581" s="59" t="s">
        <v>150</v>
      </c>
      <c r="P581" s="59" t="s">
        <v>150</v>
      </c>
      <c r="Q581" s="59" t="s">
        <v>150</v>
      </c>
      <c r="R581" s="59" t="s">
        <v>150</v>
      </c>
      <c r="S581" s="55"/>
      <c r="T581" s="56"/>
      <c r="V581" s="57" t="str">
        <f t="shared" si="374"/>
        <v>FICO 640-659</v>
      </c>
      <c r="W581" s="59" t="s">
        <v>150</v>
      </c>
      <c r="X581" s="59" t="s">
        <v>150</v>
      </c>
      <c r="Y581" s="59" t="s">
        <v>150</v>
      </c>
      <c r="Z581" s="59" t="s">
        <v>150</v>
      </c>
      <c r="AA581" s="59" t="s">
        <v>150</v>
      </c>
      <c r="AB581" s="59" t="s">
        <v>150</v>
      </c>
      <c r="AF581" s="57" t="str">
        <f t="shared" si="375"/>
        <v>FICO 640-659</v>
      </c>
      <c r="AG581" s="59" t="s">
        <v>150</v>
      </c>
      <c r="AH581" s="59" t="s">
        <v>150</v>
      </c>
      <c r="AI581" s="59" t="s">
        <v>150</v>
      </c>
      <c r="AJ581" s="59" t="s">
        <v>150</v>
      </c>
      <c r="AK581" s="59" t="s">
        <v>150</v>
      </c>
      <c r="AL581" s="59" t="s">
        <v>150</v>
      </c>
      <c r="AM581" s="55"/>
      <c r="AN581" s="56"/>
      <c r="AP581" s="57" t="str">
        <f t="shared" si="376"/>
        <v>FICO 640-659</v>
      </c>
      <c r="AQ581" s="59" t="s">
        <v>150</v>
      </c>
      <c r="AR581" s="59" t="s">
        <v>150</v>
      </c>
      <c r="AS581" s="59" t="s">
        <v>150</v>
      </c>
      <c r="AT581" s="59" t="s">
        <v>150</v>
      </c>
      <c r="AU581" s="59" t="s">
        <v>150</v>
      </c>
      <c r="AV581" s="59" t="s">
        <v>150</v>
      </c>
      <c r="AZ581" s="57" t="str">
        <f t="shared" si="377"/>
        <v>FICO 640-659</v>
      </c>
      <c r="BA581" s="59" t="s">
        <v>150</v>
      </c>
      <c r="BB581" s="59" t="s">
        <v>150</v>
      </c>
      <c r="BC581" s="59" t="s">
        <v>150</v>
      </c>
      <c r="BD581" s="59" t="s">
        <v>150</v>
      </c>
      <c r="BE581" s="59" t="s">
        <v>150</v>
      </c>
      <c r="BF581" s="59" t="s">
        <v>150</v>
      </c>
    </row>
    <row r="582" spans="2:58" ht="15" customHeight="1" x14ac:dyDescent="0.45">
      <c r="B582" s="60" t="s">
        <v>154</v>
      </c>
      <c r="C582" s="64" t="s">
        <v>150</v>
      </c>
      <c r="D582" s="64" t="s">
        <v>150</v>
      </c>
      <c r="E582" s="64" t="s">
        <v>150</v>
      </c>
      <c r="F582" s="64" t="s">
        <v>150</v>
      </c>
      <c r="G582" s="64" t="s">
        <v>150</v>
      </c>
      <c r="H582" s="64" t="s">
        <v>150</v>
      </c>
      <c r="L582" s="60" t="s">
        <v>154</v>
      </c>
      <c r="M582" s="64" t="s">
        <v>150</v>
      </c>
      <c r="N582" s="64" t="s">
        <v>150</v>
      </c>
      <c r="O582" s="64" t="s">
        <v>150</v>
      </c>
      <c r="P582" s="64" t="s">
        <v>150</v>
      </c>
      <c r="Q582" s="64" t="s">
        <v>150</v>
      </c>
      <c r="R582" s="64" t="s">
        <v>150</v>
      </c>
      <c r="S582" s="50"/>
      <c r="T582" s="51"/>
      <c r="V582" s="60" t="str">
        <f t="shared" si="374"/>
        <v>65.00%-70.00%</v>
      </c>
      <c r="W582" s="64" t="s">
        <v>150</v>
      </c>
      <c r="X582" s="64" t="s">
        <v>150</v>
      </c>
      <c r="Y582" s="64" t="s">
        <v>150</v>
      </c>
      <c r="Z582" s="64" t="s">
        <v>150</v>
      </c>
      <c r="AA582" s="64" t="s">
        <v>150</v>
      </c>
      <c r="AB582" s="64" t="s">
        <v>150</v>
      </c>
      <c r="AF582" s="60" t="str">
        <f t="shared" si="375"/>
        <v>65.00%-70.00%</v>
      </c>
      <c r="AG582" s="64" t="s">
        <v>150</v>
      </c>
      <c r="AH582" s="64" t="s">
        <v>150</v>
      </c>
      <c r="AI582" s="64" t="s">
        <v>150</v>
      </c>
      <c r="AJ582" s="64" t="s">
        <v>150</v>
      </c>
      <c r="AK582" s="64" t="s">
        <v>150</v>
      </c>
      <c r="AL582" s="64" t="s">
        <v>150</v>
      </c>
      <c r="AM582" s="50"/>
      <c r="AN582" s="51"/>
      <c r="AP582" s="60" t="str">
        <f t="shared" si="376"/>
        <v>65.00%-70.00%</v>
      </c>
      <c r="AQ582" s="64" t="s">
        <v>150</v>
      </c>
      <c r="AR582" s="64" t="s">
        <v>150</v>
      </c>
      <c r="AS582" s="64" t="s">
        <v>150</v>
      </c>
      <c r="AT582" s="64" t="s">
        <v>150</v>
      </c>
      <c r="AU582" s="64" t="s">
        <v>150</v>
      </c>
      <c r="AV582" s="64" t="s">
        <v>150</v>
      </c>
      <c r="AZ582" s="60" t="str">
        <f t="shared" si="377"/>
        <v>65.00%-70.00%</v>
      </c>
      <c r="BA582" s="64" t="s">
        <v>150</v>
      </c>
      <c r="BB582" s="64" t="s">
        <v>150</v>
      </c>
      <c r="BC582" s="64" t="s">
        <v>150</v>
      </c>
      <c r="BD582" s="64" t="s">
        <v>150</v>
      </c>
      <c r="BE582" s="64" t="s">
        <v>150</v>
      </c>
      <c r="BF582" s="64" t="s">
        <v>150</v>
      </c>
    </row>
    <row r="583" spans="2:58" ht="15" customHeight="1" x14ac:dyDescent="0.45">
      <c r="B583" s="52" t="s">
        <v>151</v>
      </c>
      <c r="C583" s="54" t="s">
        <v>150</v>
      </c>
      <c r="D583" s="54" t="s">
        <v>150</v>
      </c>
      <c r="E583" s="54" t="s">
        <v>150</v>
      </c>
      <c r="F583" s="54" t="s">
        <v>150</v>
      </c>
      <c r="G583" s="54" t="s">
        <v>150</v>
      </c>
      <c r="H583" s="54" t="s">
        <v>150</v>
      </c>
      <c r="L583" s="52" t="s">
        <v>151</v>
      </c>
      <c r="M583" s="54" t="s">
        <v>150</v>
      </c>
      <c r="N583" s="54" t="s">
        <v>150</v>
      </c>
      <c r="O583" s="54" t="s">
        <v>150</v>
      </c>
      <c r="P583" s="54" t="s">
        <v>150</v>
      </c>
      <c r="Q583" s="54" t="s">
        <v>150</v>
      </c>
      <c r="R583" s="54" t="s">
        <v>150</v>
      </c>
      <c r="S583" s="55"/>
      <c r="T583" s="56"/>
      <c r="V583" s="52" t="str">
        <f t="shared" si="374"/>
        <v>FICO 700+</v>
      </c>
      <c r="W583" s="54" t="s">
        <v>150</v>
      </c>
      <c r="X583" s="54" t="s">
        <v>150</v>
      </c>
      <c r="Y583" s="54" t="s">
        <v>150</v>
      </c>
      <c r="Z583" s="54" t="s">
        <v>150</v>
      </c>
      <c r="AA583" s="54" t="s">
        <v>150</v>
      </c>
      <c r="AB583" s="54" t="s">
        <v>150</v>
      </c>
      <c r="AF583" s="52" t="str">
        <f t="shared" si="375"/>
        <v>FICO 700+</v>
      </c>
      <c r="AG583" s="54" t="s">
        <v>150</v>
      </c>
      <c r="AH583" s="54" t="s">
        <v>150</v>
      </c>
      <c r="AI583" s="54" t="s">
        <v>150</v>
      </c>
      <c r="AJ583" s="54" t="s">
        <v>150</v>
      </c>
      <c r="AK583" s="54" t="s">
        <v>150</v>
      </c>
      <c r="AL583" s="54" t="s">
        <v>150</v>
      </c>
      <c r="AM583" s="55"/>
      <c r="AN583" s="56"/>
      <c r="AP583" s="52" t="str">
        <f t="shared" si="376"/>
        <v>FICO 700+</v>
      </c>
      <c r="AQ583" s="54" t="s">
        <v>150</v>
      </c>
      <c r="AR583" s="54" t="s">
        <v>150</v>
      </c>
      <c r="AS583" s="54" t="s">
        <v>150</v>
      </c>
      <c r="AT583" s="54" t="s">
        <v>150</v>
      </c>
      <c r="AU583" s="54" t="s">
        <v>150</v>
      </c>
      <c r="AV583" s="54" t="s">
        <v>150</v>
      </c>
      <c r="AZ583" s="52" t="str">
        <f t="shared" si="377"/>
        <v>FICO 700+</v>
      </c>
      <c r="BA583" s="54" t="s">
        <v>150</v>
      </c>
      <c r="BB583" s="54" t="s">
        <v>150</v>
      </c>
      <c r="BC583" s="54" t="s">
        <v>150</v>
      </c>
      <c r="BD583" s="54" t="s">
        <v>150</v>
      </c>
      <c r="BE583" s="54" t="s">
        <v>150</v>
      </c>
      <c r="BF583" s="54" t="s">
        <v>150</v>
      </c>
    </row>
    <row r="584" spans="2:58" ht="15" customHeight="1" x14ac:dyDescent="0.45">
      <c r="B584" s="52" t="s">
        <v>152</v>
      </c>
      <c r="C584" s="54" t="s">
        <v>150</v>
      </c>
      <c r="D584" s="54" t="s">
        <v>150</v>
      </c>
      <c r="E584" s="54" t="s">
        <v>150</v>
      </c>
      <c r="F584" s="54" t="s">
        <v>150</v>
      </c>
      <c r="G584" s="54" t="s">
        <v>150</v>
      </c>
      <c r="H584" s="54" t="s">
        <v>150</v>
      </c>
      <c r="L584" s="52" t="s">
        <v>152</v>
      </c>
      <c r="M584" s="54" t="s">
        <v>150</v>
      </c>
      <c r="N584" s="54" t="s">
        <v>150</v>
      </c>
      <c r="O584" s="54" t="s">
        <v>150</v>
      </c>
      <c r="P584" s="54" t="s">
        <v>150</v>
      </c>
      <c r="Q584" s="54" t="s">
        <v>150</v>
      </c>
      <c r="R584" s="54" t="s">
        <v>150</v>
      </c>
      <c r="S584" s="55"/>
      <c r="T584" s="56"/>
      <c r="V584" s="52" t="str">
        <f t="shared" si="374"/>
        <v>FICO 660-699</v>
      </c>
      <c r="W584" s="54" t="s">
        <v>150</v>
      </c>
      <c r="X584" s="54" t="s">
        <v>150</v>
      </c>
      <c r="Y584" s="54" t="s">
        <v>150</v>
      </c>
      <c r="Z584" s="54" t="s">
        <v>150</v>
      </c>
      <c r="AA584" s="54" t="s">
        <v>150</v>
      </c>
      <c r="AB584" s="54" t="s">
        <v>150</v>
      </c>
      <c r="AF584" s="52" t="str">
        <f t="shared" si="375"/>
        <v>FICO 660-699</v>
      </c>
      <c r="AG584" s="54" t="s">
        <v>150</v>
      </c>
      <c r="AH584" s="54" t="s">
        <v>150</v>
      </c>
      <c r="AI584" s="54" t="s">
        <v>150</v>
      </c>
      <c r="AJ584" s="54" t="s">
        <v>150</v>
      </c>
      <c r="AK584" s="54" t="s">
        <v>150</v>
      </c>
      <c r="AL584" s="54" t="s">
        <v>150</v>
      </c>
      <c r="AM584" s="55"/>
      <c r="AN584" s="56"/>
      <c r="AP584" s="52" t="str">
        <f t="shared" si="376"/>
        <v>FICO 660-699</v>
      </c>
      <c r="AQ584" s="54" t="s">
        <v>150</v>
      </c>
      <c r="AR584" s="54" t="s">
        <v>150</v>
      </c>
      <c r="AS584" s="54" t="s">
        <v>150</v>
      </c>
      <c r="AT584" s="54" t="s">
        <v>150</v>
      </c>
      <c r="AU584" s="54" t="s">
        <v>150</v>
      </c>
      <c r="AV584" s="54" t="s">
        <v>150</v>
      </c>
      <c r="AZ584" s="52" t="str">
        <f t="shared" si="377"/>
        <v>FICO 660-699</v>
      </c>
      <c r="BA584" s="54" t="s">
        <v>150</v>
      </c>
      <c r="BB584" s="54" t="s">
        <v>150</v>
      </c>
      <c r="BC584" s="54" t="s">
        <v>150</v>
      </c>
      <c r="BD584" s="54" t="s">
        <v>150</v>
      </c>
      <c r="BE584" s="54" t="s">
        <v>150</v>
      </c>
      <c r="BF584" s="54" t="s">
        <v>150</v>
      </c>
    </row>
    <row r="585" spans="2:58" ht="15" customHeight="1" x14ac:dyDescent="0.45">
      <c r="B585" s="57" t="s">
        <v>153</v>
      </c>
      <c r="C585" s="59" t="s">
        <v>150</v>
      </c>
      <c r="D585" s="59" t="s">
        <v>150</v>
      </c>
      <c r="E585" s="59" t="s">
        <v>150</v>
      </c>
      <c r="F585" s="59" t="s">
        <v>150</v>
      </c>
      <c r="G585" s="59" t="s">
        <v>150</v>
      </c>
      <c r="H585" s="59" t="s">
        <v>150</v>
      </c>
      <c r="L585" s="57" t="s">
        <v>153</v>
      </c>
      <c r="M585" s="59" t="s">
        <v>150</v>
      </c>
      <c r="N585" s="59" t="s">
        <v>150</v>
      </c>
      <c r="O585" s="59" t="s">
        <v>150</v>
      </c>
      <c r="P585" s="59" t="s">
        <v>150</v>
      </c>
      <c r="Q585" s="59" t="s">
        <v>150</v>
      </c>
      <c r="R585" s="59" t="s">
        <v>150</v>
      </c>
      <c r="S585" s="55"/>
      <c r="T585" s="56"/>
      <c r="V585" s="57" t="str">
        <f t="shared" si="374"/>
        <v>FICO 640-659</v>
      </c>
      <c r="W585" s="59" t="s">
        <v>150</v>
      </c>
      <c r="X585" s="59" t="s">
        <v>150</v>
      </c>
      <c r="Y585" s="59" t="s">
        <v>150</v>
      </c>
      <c r="Z585" s="59" t="s">
        <v>150</v>
      </c>
      <c r="AA585" s="59" t="s">
        <v>150</v>
      </c>
      <c r="AB585" s="59" t="s">
        <v>150</v>
      </c>
      <c r="AF585" s="57" t="str">
        <f t="shared" si="375"/>
        <v>FICO 640-659</v>
      </c>
      <c r="AG585" s="59" t="s">
        <v>150</v>
      </c>
      <c r="AH585" s="59" t="s">
        <v>150</v>
      </c>
      <c r="AI585" s="59" t="s">
        <v>150</v>
      </c>
      <c r="AJ585" s="59" t="s">
        <v>150</v>
      </c>
      <c r="AK585" s="59" t="s">
        <v>150</v>
      </c>
      <c r="AL585" s="59" t="s">
        <v>150</v>
      </c>
      <c r="AM585" s="55"/>
      <c r="AN585" s="56"/>
      <c r="AP585" s="57" t="str">
        <f t="shared" si="376"/>
        <v>FICO 640-659</v>
      </c>
      <c r="AQ585" s="59" t="s">
        <v>150</v>
      </c>
      <c r="AR585" s="59" t="s">
        <v>150</v>
      </c>
      <c r="AS585" s="59" t="s">
        <v>150</v>
      </c>
      <c r="AT585" s="59" t="s">
        <v>150</v>
      </c>
      <c r="AU585" s="59" t="s">
        <v>150</v>
      </c>
      <c r="AV585" s="59" t="s">
        <v>150</v>
      </c>
      <c r="AZ585" s="57" t="str">
        <f t="shared" si="377"/>
        <v>FICO 640-659</v>
      </c>
      <c r="BA585" s="59" t="s">
        <v>150</v>
      </c>
      <c r="BB585" s="59" t="s">
        <v>150</v>
      </c>
      <c r="BC585" s="59" t="s">
        <v>150</v>
      </c>
      <c r="BD585" s="59" t="s">
        <v>150</v>
      </c>
      <c r="BE585" s="59" t="s">
        <v>150</v>
      </c>
      <c r="BF585" s="59" t="s">
        <v>150</v>
      </c>
    </row>
    <row r="586" spans="2:58" ht="15" customHeight="1" x14ac:dyDescent="0.45">
      <c r="B586" s="60" t="s">
        <v>155</v>
      </c>
      <c r="C586" s="64" t="s">
        <v>150</v>
      </c>
      <c r="D586" s="64" t="s">
        <v>150</v>
      </c>
      <c r="E586" s="64" t="s">
        <v>150</v>
      </c>
      <c r="F586" s="64" t="s">
        <v>150</v>
      </c>
      <c r="G586" s="64" t="s">
        <v>150</v>
      </c>
      <c r="H586" s="64" t="s">
        <v>150</v>
      </c>
      <c r="L586" s="60" t="s">
        <v>155</v>
      </c>
      <c r="M586" s="64" t="s">
        <v>150</v>
      </c>
      <c r="N586" s="64" t="s">
        <v>150</v>
      </c>
      <c r="O586" s="64" t="s">
        <v>150</v>
      </c>
      <c r="P586" s="64" t="s">
        <v>150</v>
      </c>
      <c r="Q586" s="64" t="s">
        <v>150</v>
      </c>
      <c r="R586" s="64" t="s">
        <v>150</v>
      </c>
      <c r="S586" s="50"/>
      <c r="T586" s="51"/>
      <c r="V586" s="60" t="str">
        <f t="shared" si="374"/>
        <v>&lt;64.99%</v>
      </c>
      <c r="W586" s="64" t="s">
        <v>150</v>
      </c>
      <c r="X586" s="64" t="s">
        <v>150</v>
      </c>
      <c r="Y586" s="64" t="s">
        <v>150</v>
      </c>
      <c r="Z586" s="64" t="s">
        <v>150</v>
      </c>
      <c r="AA586" s="64" t="s">
        <v>150</v>
      </c>
      <c r="AB586" s="64" t="s">
        <v>150</v>
      </c>
      <c r="AF586" s="60" t="str">
        <f t="shared" si="375"/>
        <v>&lt;64.99%</v>
      </c>
      <c r="AG586" s="64" t="s">
        <v>150</v>
      </c>
      <c r="AH586" s="64" t="s">
        <v>150</v>
      </c>
      <c r="AI586" s="64" t="s">
        <v>150</v>
      </c>
      <c r="AJ586" s="64" t="s">
        <v>150</v>
      </c>
      <c r="AK586" s="64" t="s">
        <v>150</v>
      </c>
      <c r="AL586" s="64" t="s">
        <v>150</v>
      </c>
      <c r="AM586" s="50"/>
      <c r="AN586" s="51"/>
      <c r="AP586" s="60" t="str">
        <f t="shared" si="376"/>
        <v>&lt;64.99%</v>
      </c>
      <c r="AQ586" s="64" t="s">
        <v>150</v>
      </c>
      <c r="AR586" s="64" t="s">
        <v>150</v>
      </c>
      <c r="AS586" s="64" t="s">
        <v>150</v>
      </c>
      <c r="AT586" s="64" t="s">
        <v>150</v>
      </c>
      <c r="AU586" s="64" t="s">
        <v>150</v>
      </c>
      <c r="AV586" s="64" t="s">
        <v>150</v>
      </c>
      <c r="AZ586" s="60" t="str">
        <f t="shared" si="377"/>
        <v>&lt;64.99%</v>
      </c>
      <c r="BA586" s="64" t="s">
        <v>150</v>
      </c>
      <c r="BB586" s="64" t="s">
        <v>150</v>
      </c>
      <c r="BC586" s="64" t="s">
        <v>150</v>
      </c>
      <c r="BD586" s="64" t="s">
        <v>150</v>
      </c>
      <c r="BE586" s="64" t="s">
        <v>150</v>
      </c>
      <c r="BF586" s="64" t="s">
        <v>150</v>
      </c>
    </row>
    <row r="587" spans="2:58" ht="15" customHeight="1" x14ac:dyDescent="0.45">
      <c r="B587" s="52" t="s">
        <v>151</v>
      </c>
      <c r="C587" s="54" t="s">
        <v>150</v>
      </c>
      <c r="D587" s="54" t="s">
        <v>150</v>
      </c>
      <c r="E587" s="54" t="s">
        <v>150</v>
      </c>
      <c r="F587" s="54" t="s">
        <v>150</v>
      </c>
      <c r="G587" s="54" t="s">
        <v>150</v>
      </c>
      <c r="H587" s="54" t="s">
        <v>150</v>
      </c>
      <c r="L587" s="52" t="s">
        <v>151</v>
      </c>
      <c r="M587" s="54" t="s">
        <v>150</v>
      </c>
      <c r="N587" s="54" t="s">
        <v>150</v>
      </c>
      <c r="O587" s="54" t="s">
        <v>150</v>
      </c>
      <c r="P587" s="54" t="s">
        <v>150</v>
      </c>
      <c r="Q587" s="54" t="s">
        <v>150</v>
      </c>
      <c r="R587" s="54" t="s">
        <v>150</v>
      </c>
      <c r="S587" s="55"/>
      <c r="T587" s="56"/>
      <c r="V587" s="52" t="str">
        <f t="shared" si="374"/>
        <v>FICO 700+</v>
      </c>
      <c r="W587" s="54" t="s">
        <v>150</v>
      </c>
      <c r="X587" s="54" t="s">
        <v>150</v>
      </c>
      <c r="Y587" s="54" t="s">
        <v>150</v>
      </c>
      <c r="Z587" s="54" t="s">
        <v>150</v>
      </c>
      <c r="AA587" s="54" t="s">
        <v>150</v>
      </c>
      <c r="AB587" s="54" t="s">
        <v>150</v>
      </c>
      <c r="AF587" s="52" t="str">
        <f t="shared" si="375"/>
        <v>FICO 700+</v>
      </c>
      <c r="AG587" s="54" t="s">
        <v>150</v>
      </c>
      <c r="AH587" s="54" t="s">
        <v>150</v>
      </c>
      <c r="AI587" s="54" t="s">
        <v>150</v>
      </c>
      <c r="AJ587" s="54" t="s">
        <v>150</v>
      </c>
      <c r="AK587" s="54" t="s">
        <v>150</v>
      </c>
      <c r="AL587" s="54" t="s">
        <v>150</v>
      </c>
      <c r="AM587" s="55"/>
      <c r="AN587" s="56"/>
      <c r="AP587" s="52" t="str">
        <f t="shared" si="376"/>
        <v>FICO 700+</v>
      </c>
      <c r="AQ587" s="54" t="s">
        <v>150</v>
      </c>
      <c r="AR587" s="54" t="s">
        <v>150</v>
      </c>
      <c r="AS587" s="54" t="s">
        <v>150</v>
      </c>
      <c r="AT587" s="54" t="s">
        <v>150</v>
      </c>
      <c r="AU587" s="54" t="s">
        <v>150</v>
      </c>
      <c r="AV587" s="54" t="s">
        <v>150</v>
      </c>
      <c r="AZ587" s="52" t="str">
        <f t="shared" si="377"/>
        <v>FICO 700+</v>
      </c>
      <c r="BA587" s="54" t="s">
        <v>150</v>
      </c>
      <c r="BB587" s="54" t="s">
        <v>150</v>
      </c>
      <c r="BC587" s="54" t="s">
        <v>150</v>
      </c>
      <c r="BD587" s="54" t="s">
        <v>150</v>
      </c>
      <c r="BE587" s="54" t="s">
        <v>150</v>
      </c>
      <c r="BF587" s="54" t="s">
        <v>150</v>
      </c>
    </row>
    <row r="588" spans="2:58" ht="15" customHeight="1" x14ac:dyDescent="0.45">
      <c r="B588" s="52" t="s">
        <v>152</v>
      </c>
      <c r="C588" s="54" t="s">
        <v>150</v>
      </c>
      <c r="D588" s="54" t="s">
        <v>150</v>
      </c>
      <c r="E588" s="54" t="s">
        <v>150</v>
      </c>
      <c r="F588" s="54" t="s">
        <v>150</v>
      </c>
      <c r="G588" s="54" t="s">
        <v>150</v>
      </c>
      <c r="H588" s="54" t="s">
        <v>150</v>
      </c>
      <c r="L588" s="52" t="s">
        <v>152</v>
      </c>
      <c r="M588" s="54" t="s">
        <v>150</v>
      </c>
      <c r="N588" s="54" t="s">
        <v>150</v>
      </c>
      <c r="O588" s="54" t="s">
        <v>150</v>
      </c>
      <c r="P588" s="54" t="s">
        <v>150</v>
      </c>
      <c r="Q588" s="54" t="s">
        <v>150</v>
      </c>
      <c r="R588" s="54" t="s">
        <v>150</v>
      </c>
      <c r="S588" s="55"/>
      <c r="T588" s="56"/>
      <c r="V588" s="52" t="str">
        <f t="shared" si="374"/>
        <v>FICO 660-699</v>
      </c>
      <c r="W588" s="54" t="s">
        <v>150</v>
      </c>
      <c r="X588" s="54" t="s">
        <v>150</v>
      </c>
      <c r="Y588" s="54" t="s">
        <v>150</v>
      </c>
      <c r="Z588" s="54" t="s">
        <v>150</v>
      </c>
      <c r="AA588" s="54" t="s">
        <v>150</v>
      </c>
      <c r="AB588" s="54" t="s">
        <v>150</v>
      </c>
      <c r="AF588" s="52" t="str">
        <f t="shared" si="375"/>
        <v>FICO 660-699</v>
      </c>
      <c r="AG588" s="54" t="s">
        <v>150</v>
      </c>
      <c r="AH588" s="54" t="s">
        <v>150</v>
      </c>
      <c r="AI588" s="54" t="s">
        <v>150</v>
      </c>
      <c r="AJ588" s="54" t="s">
        <v>150</v>
      </c>
      <c r="AK588" s="54" t="s">
        <v>150</v>
      </c>
      <c r="AL588" s="54" t="s">
        <v>150</v>
      </c>
      <c r="AM588" s="55"/>
      <c r="AN588" s="56"/>
      <c r="AP588" s="52" t="str">
        <f t="shared" si="376"/>
        <v>FICO 660-699</v>
      </c>
      <c r="AQ588" s="54" t="s">
        <v>150</v>
      </c>
      <c r="AR588" s="54" t="s">
        <v>150</v>
      </c>
      <c r="AS588" s="54" t="s">
        <v>150</v>
      </c>
      <c r="AT588" s="54" t="s">
        <v>150</v>
      </c>
      <c r="AU588" s="54" t="s">
        <v>150</v>
      </c>
      <c r="AV588" s="54" t="s">
        <v>150</v>
      </c>
      <c r="AZ588" s="52" t="str">
        <f t="shared" si="377"/>
        <v>FICO 660-699</v>
      </c>
      <c r="BA588" s="54" t="s">
        <v>150</v>
      </c>
      <c r="BB588" s="54" t="s">
        <v>150</v>
      </c>
      <c r="BC588" s="54" t="s">
        <v>150</v>
      </c>
      <c r="BD588" s="54" t="s">
        <v>150</v>
      </c>
      <c r="BE588" s="54" t="s">
        <v>150</v>
      </c>
      <c r="BF588" s="54" t="s">
        <v>150</v>
      </c>
    </row>
    <row r="589" spans="2:58" ht="15" customHeight="1" x14ac:dyDescent="0.45">
      <c r="B589" s="52" t="s">
        <v>153</v>
      </c>
      <c r="C589" s="54" t="s">
        <v>150</v>
      </c>
      <c r="D589" s="54" t="s">
        <v>150</v>
      </c>
      <c r="E589" s="54" t="s">
        <v>150</v>
      </c>
      <c r="F589" s="54" t="s">
        <v>150</v>
      </c>
      <c r="G589" s="54" t="s">
        <v>150</v>
      </c>
      <c r="H589" s="54" t="s">
        <v>150</v>
      </c>
      <c r="L589" s="52" t="s">
        <v>153</v>
      </c>
      <c r="M589" s="54" t="s">
        <v>150</v>
      </c>
      <c r="N589" s="54" t="s">
        <v>150</v>
      </c>
      <c r="O589" s="54" t="s">
        <v>150</v>
      </c>
      <c r="P589" s="54" t="s">
        <v>150</v>
      </c>
      <c r="Q589" s="54" t="s">
        <v>150</v>
      </c>
      <c r="R589" s="54" t="s">
        <v>150</v>
      </c>
      <c r="S589" s="55"/>
      <c r="T589" s="56"/>
      <c r="V589" s="52" t="str">
        <f t="shared" si="374"/>
        <v>FICO 640-659</v>
      </c>
      <c r="W589" s="54" t="s">
        <v>150</v>
      </c>
      <c r="X589" s="54" t="s">
        <v>150</v>
      </c>
      <c r="Y589" s="54" t="s">
        <v>150</v>
      </c>
      <c r="Z589" s="54" t="s">
        <v>150</v>
      </c>
      <c r="AA589" s="54" t="s">
        <v>150</v>
      </c>
      <c r="AB589" s="54" t="s">
        <v>150</v>
      </c>
      <c r="AF589" s="52" t="str">
        <f t="shared" si="375"/>
        <v>FICO 640-659</v>
      </c>
      <c r="AG589" s="54" t="s">
        <v>150</v>
      </c>
      <c r="AH589" s="54" t="s">
        <v>150</v>
      </c>
      <c r="AI589" s="54" t="s">
        <v>150</v>
      </c>
      <c r="AJ589" s="54" t="s">
        <v>150</v>
      </c>
      <c r="AK589" s="54" t="s">
        <v>150</v>
      </c>
      <c r="AL589" s="54" t="s">
        <v>150</v>
      </c>
      <c r="AM589" s="55"/>
      <c r="AN589" s="56"/>
      <c r="AP589" s="52" t="str">
        <f t="shared" si="376"/>
        <v>FICO 640-659</v>
      </c>
      <c r="AQ589" s="54" t="s">
        <v>150</v>
      </c>
      <c r="AR589" s="54" t="s">
        <v>150</v>
      </c>
      <c r="AS589" s="54" t="s">
        <v>150</v>
      </c>
      <c r="AT589" s="54" t="s">
        <v>150</v>
      </c>
      <c r="AU589" s="54" t="s">
        <v>150</v>
      </c>
      <c r="AV589" s="54" t="s">
        <v>150</v>
      </c>
      <c r="AZ589" s="52" t="str">
        <f t="shared" si="377"/>
        <v>FICO 640-659</v>
      </c>
      <c r="BA589" s="54" t="s">
        <v>150</v>
      </c>
      <c r="BB589" s="54" t="s">
        <v>150</v>
      </c>
      <c r="BC589" s="54" t="s">
        <v>150</v>
      </c>
      <c r="BD589" s="54" t="s">
        <v>150</v>
      </c>
      <c r="BE589" s="54" t="s">
        <v>150</v>
      </c>
      <c r="BF589" s="54" t="s">
        <v>150</v>
      </c>
    </row>
    <row r="590" spans="2:58" ht="15" customHeight="1" x14ac:dyDescent="0.45">
      <c r="B590" s="37"/>
      <c r="C590" s="63"/>
      <c r="D590" s="63"/>
      <c r="E590" s="63"/>
      <c r="F590" s="63"/>
      <c r="G590" s="63"/>
      <c r="H590" s="63"/>
      <c r="L590" s="37"/>
      <c r="M590" s="63"/>
      <c r="N590" s="63"/>
      <c r="O590" s="63"/>
      <c r="P590" s="63"/>
      <c r="Q590" s="63"/>
      <c r="R590" s="63"/>
      <c r="S590" s="55"/>
      <c r="T590" s="56"/>
      <c r="V590" s="37"/>
      <c r="W590" s="63"/>
      <c r="X590" s="63"/>
      <c r="Y590" s="63"/>
      <c r="Z590" s="63"/>
      <c r="AA590" s="63"/>
      <c r="AB590" s="63"/>
      <c r="AF590" s="37"/>
      <c r="AG590" s="63"/>
      <c r="AH590" s="63"/>
      <c r="AI590" s="63"/>
      <c r="AJ590" s="63"/>
      <c r="AK590" s="63"/>
      <c r="AL590" s="63"/>
      <c r="AM590" s="55"/>
      <c r="AN590" s="56"/>
      <c r="AP590" s="37"/>
      <c r="AQ590" s="63"/>
      <c r="AR590" s="63"/>
      <c r="AS590" s="63"/>
      <c r="AT590" s="63"/>
      <c r="AU590" s="63"/>
      <c r="AV590" s="63"/>
      <c r="AZ590" s="37"/>
      <c r="BA590" s="63"/>
      <c r="BB590" s="63"/>
      <c r="BC590" s="63"/>
      <c r="BD590" s="63"/>
      <c r="BE590" s="63"/>
      <c r="BF590" s="63"/>
    </row>
    <row r="591" spans="2:58" ht="15.75" customHeight="1" x14ac:dyDescent="0.45">
      <c r="B591" s="94" t="s">
        <v>157</v>
      </c>
      <c r="C591" s="94"/>
      <c r="D591" s="94"/>
      <c r="E591" s="94"/>
      <c r="F591" s="94"/>
      <c r="G591" s="94"/>
      <c r="H591" s="94"/>
      <c r="L591" s="94" t="s">
        <v>157</v>
      </c>
      <c r="M591" s="94"/>
      <c r="N591" s="94"/>
      <c r="O591" s="94"/>
      <c r="P591" s="94"/>
      <c r="Q591" s="94"/>
      <c r="R591" s="94"/>
      <c r="S591" s="39"/>
      <c r="T591" s="40"/>
      <c r="V591" s="94" t="s">
        <v>157</v>
      </c>
      <c r="W591" s="94"/>
      <c r="X591" s="94"/>
      <c r="Y591" s="94"/>
      <c r="Z591" s="94"/>
      <c r="AA591" s="94"/>
      <c r="AB591" s="94"/>
      <c r="AF591" s="94" t="s">
        <v>157</v>
      </c>
      <c r="AG591" s="94"/>
      <c r="AH591" s="94"/>
      <c r="AI591" s="94"/>
      <c r="AJ591" s="94"/>
      <c r="AK591" s="94"/>
      <c r="AL591" s="94"/>
      <c r="AM591" s="39"/>
      <c r="AN591" s="40"/>
      <c r="AP591" s="94" t="s">
        <v>157</v>
      </c>
      <c r="AQ591" s="94"/>
      <c r="AR591" s="94"/>
      <c r="AS591" s="94"/>
      <c r="AT591" s="94"/>
      <c r="AU591" s="94"/>
      <c r="AV591" s="94"/>
      <c r="AZ591" s="94" t="s">
        <v>157</v>
      </c>
      <c r="BA591" s="94"/>
      <c r="BB591" s="94"/>
      <c r="BC591" s="94"/>
      <c r="BD591" s="94"/>
      <c r="BE591" s="94"/>
      <c r="BF591" s="94"/>
    </row>
    <row r="592" spans="2:58" ht="15" customHeight="1" x14ac:dyDescent="0.45">
      <c r="B592" s="42"/>
      <c r="C592" s="95" t="s">
        <v>50</v>
      </c>
      <c r="D592" s="95"/>
      <c r="E592" s="95"/>
      <c r="F592" s="95"/>
      <c r="G592" s="95"/>
      <c r="H592" s="95"/>
      <c r="L592" s="42"/>
      <c r="M592" s="95" t="s">
        <v>50</v>
      </c>
      <c r="N592" s="95"/>
      <c r="O592" s="95"/>
      <c r="P592" s="95"/>
      <c r="Q592" s="95"/>
      <c r="R592" s="95"/>
      <c r="S592" s="41"/>
      <c r="T592" s="43"/>
      <c r="V592" s="42"/>
      <c r="W592" s="95" t="str">
        <f>C592</f>
        <v>LTC</v>
      </c>
      <c r="X592" s="95"/>
      <c r="Y592" s="95"/>
      <c r="Z592" s="95"/>
      <c r="AA592" s="95"/>
      <c r="AB592" s="95"/>
      <c r="AF592" s="42"/>
      <c r="AG592" s="95" t="str">
        <f>W592</f>
        <v>LTC</v>
      </c>
      <c r="AH592" s="95"/>
      <c r="AI592" s="95"/>
      <c r="AJ592" s="95"/>
      <c r="AK592" s="95"/>
      <c r="AL592" s="95"/>
      <c r="AM592" s="41"/>
      <c r="AN592" s="43"/>
      <c r="AP592" s="42"/>
      <c r="AQ592" s="95" t="str">
        <f>C592</f>
        <v>LTC</v>
      </c>
      <c r="AR592" s="95"/>
      <c r="AS592" s="95"/>
      <c r="AT592" s="95"/>
      <c r="AU592" s="95"/>
      <c r="AV592" s="95"/>
      <c r="AZ592" s="42"/>
      <c r="BA592" s="95" t="str">
        <f>C592</f>
        <v>LTC</v>
      </c>
      <c r="BB592" s="95"/>
      <c r="BC592" s="95"/>
      <c r="BD592" s="95"/>
      <c r="BE592" s="95"/>
      <c r="BF592" s="95"/>
    </row>
    <row r="593" spans="2:58" ht="15" customHeight="1" x14ac:dyDescent="0.45">
      <c r="B593" s="44" t="s">
        <v>52</v>
      </c>
      <c r="C593" s="45" t="s">
        <v>143</v>
      </c>
      <c r="D593" s="45" t="s">
        <v>144</v>
      </c>
      <c r="E593" s="45" t="s">
        <v>145</v>
      </c>
      <c r="F593" s="45" t="s">
        <v>146</v>
      </c>
      <c r="G593" s="45" t="s">
        <v>147</v>
      </c>
      <c r="H593" s="45" t="s">
        <v>148</v>
      </c>
      <c r="L593" s="44" t="s">
        <v>52</v>
      </c>
      <c r="M593" s="45" t="s">
        <v>143</v>
      </c>
      <c r="N593" s="45" t="s">
        <v>144</v>
      </c>
      <c r="O593" s="45" t="s">
        <v>145</v>
      </c>
      <c r="P593" s="45" t="s">
        <v>146</v>
      </c>
      <c r="Q593" s="45" t="s">
        <v>147</v>
      </c>
      <c r="R593" s="45" t="s">
        <v>148</v>
      </c>
      <c r="S593" s="41"/>
      <c r="T593" s="43"/>
      <c r="V593" s="44" t="str">
        <f t="shared" ref="V593:V605" si="378">B593</f>
        <v>AR-LTV</v>
      </c>
      <c r="W593" s="45" t="str">
        <f>C593</f>
        <v>&lt;74.99%</v>
      </c>
      <c r="X593" s="45" t="str">
        <f>D593</f>
        <v>75.00%-80.00%</v>
      </c>
      <c r="Y593" s="45" t="str">
        <f>E593</f>
        <v>80.01%-85.00%</v>
      </c>
      <c r="Z593" s="45" t="str">
        <f>F593</f>
        <v>85.01%-87.50%</v>
      </c>
      <c r="AA593" s="45" t="str">
        <f>G593</f>
        <v>87.51%-89.99%</v>
      </c>
      <c r="AB593" s="45" t="str">
        <f>H593</f>
        <v>90.00%-92.50%</v>
      </c>
      <c r="AF593" s="44" t="str">
        <f t="shared" ref="AF593:AF605" si="379">V593</f>
        <v>AR-LTV</v>
      </c>
      <c r="AG593" s="45" t="str">
        <f>W593</f>
        <v>&lt;74.99%</v>
      </c>
      <c r="AH593" s="45" t="str">
        <f>X593</f>
        <v>75.00%-80.00%</v>
      </c>
      <c r="AI593" s="45" t="str">
        <f>Y593</f>
        <v>80.01%-85.00%</v>
      </c>
      <c r="AJ593" s="45" t="str">
        <f>Z593</f>
        <v>85.01%-87.50%</v>
      </c>
      <c r="AK593" s="45" t="str">
        <f>AA593</f>
        <v>87.51%-89.99%</v>
      </c>
      <c r="AL593" s="45" t="str">
        <f>AB593</f>
        <v>90.00%-92.50%</v>
      </c>
      <c r="AM593" s="41"/>
      <c r="AN593" s="43"/>
      <c r="AP593" s="44" t="str">
        <f t="shared" ref="AP593:AP605" si="380">B593</f>
        <v>AR-LTV</v>
      </c>
      <c r="AQ593" s="45" t="str">
        <f>C593</f>
        <v>&lt;74.99%</v>
      </c>
      <c r="AR593" s="45" t="str">
        <f>D593</f>
        <v>75.00%-80.00%</v>
      </c>
      <c r="AS593" s="45" t="str">
        <f>E593</f>
        <v>80.01%-85.00%</v>
      </c>
      <c r="AT593" s="45" t="str">
        <f>F593</f>
        <v>85.01%-87.50%</v>
      </c>
      <c r="AU593" s="45" t="str">
        <f>G593</f>
        <v>87.51%-89.99%</v>
      </c>
      <c r="AV593" s="45" t="str">
        <f>H593</f>
        <v>90.00%-92.50%</v>
      </c>
      <c r="AZ593" s="44" t="str">
        <f t="shared" ref="AZ593:AZ605" si="381">B593</f>
        <v>AR-LTV</v>
      </c>
      <c r="BA593" s="45" t="str">
        <f>C593</f>
        <v>&lt;74.99%</v>
      </c>
      <c r="BB593" s="45" t="str">
        <f>D593</f>
        <v>75.00%-80.00%</v>
      </c>
      <c r="BC593" s="45" t="str">
        <f>E593</f>
        <v>80.01%-85.00%</v>
      </c>
      <c r="BD593" s="45" t="str">
        <f>F593</f>
        <v>85.01%-87.50%</v>
      </c>
      <c r="BE593" s="45" t="str">
        <f>G593</f>
        <v>87.51%-89.99%</v>
      </c>
      <c r="BF593" s="45" t="str">
        <f>H593</f>
        <v>90.00%-92.50%</v>
      </c>
    </row>
    <row r="594" spans="2:58" ht="15" customHeight="1" x14ac:dyDescent="0.45">
      <c r="B594" s="46" t="s">
        <v>149</v>
      </c>
      <c r="C594" s="49" t="s">
        <v>150</v>
      </c>
      <c r="D594" s="49" t="s">
        <v>150</v>
      </c>
      <c r="E594" s="49" t="s">
        <v>150</v>
      </c>
      <c r="F594" s="49" t="s">
        <v>150</v>
      </c>
      <c r="G594" s="49" t="s">
        <v>150</v>
      </c>
      <c r="H594" s="49" t="s">
        <v>150</v>
      </c>
      <c r="L594" s="46" t="s">
        <v>149</v>
      </c>
      <c r="M594" s="49" t="s">
        <v>150</v>
      </c>
      <c r="N594" s="49" t="s">
        <v>150</v>
      </c>
      <c r="O594" s="49" t="s">
        <v>150</v>
      </c>
      <c r="P594" s="49" t="s">
        <v>150</v>
      </c>
      <c r="Q594" s="49" t="s">
        <v>150</v>
      </c>
      <c r="R594" s="49" t="s">
        <v>150</v>
      </c>
      <c r="S594" s="50"/>
      <c r="T594" s="51"/>
      <c r="V594" s="46" t="str">
        <f t="shared" si="378"/>
        <v>70.01%-75.00%</v>
      </c>
      <c r="W594" s="49" t="s">
        <v>150</v>
      </c>
      <c r="X594" s="49" t="s">
        <v>150</v>
      </c>
      <c r="Y594" s="49" t="s">
        <v>150</v>
      </c>
      <c r="Z594" s="49" t="s">
        <v>150</v>
      </c>
      <c r="AA594" s="49" t="s">
        <v>150</v>
      </c>
      <c r="AB594" s="49" t="s">
        <v>150</v>
      </c>
      <c r="AF594" s="46" t="str">
        <f t="shared" si="379"/>
        <v>70.01%-75.00%</v>
      </c>
      <c r="AG594" s="49" t="s">
        <v>150</v>
      </c>
      <c r="AH594" s="49" t="s">
        <v>150</v>
      </c>
      <c r="AI594" s="49" t="s">
        <v>150</v>
      </c>
      <c r="AJ594" s="49" t="s">
        <v>150</v>
      </c>
      <c r="AK594" s="49" t="s">
        <v>150</v>
      </c>
      <c r="AL594" s="49" t="s">
        <v>150</v>
      </c>
      <c r="AM594" s="50"/>
      <c r="AN594" s="51"/>
      <c r="AP594" s="46" t="str">
        <f t="shared" si="380"/>
        <v>70.01%-75.00%</v>
      </c>
      <c r="AQ594" s="49" t="s">
        <v>150</v>
      </c>
      <c r="AR594" s="49" t="s">
        <v>150</v>
      </c>
      <c r="AS594" s="49" t="s">
        <v>150</v>
      </c>
      <c r="AT594" s="49" t="s">
        <v>150</v>
      </c>
      <c r="AU594" s="49" t="s">
        <v>150</v>
      </c>
      <c r="AV594" s="49" t="s">
        <v>150</v>
      </c>
      <c r="AZ594" s="46" t="str">
        <f t="shared" si="381"/>
        <v>70.01%-75.00%</v>
      </c>
      <c r="BA594" s="49" t="s">
        <v>150</v>
      </c>
      <c r="BB594" s="49" t="s">
        <v>150</v>
      </c>
      <c r="BC594" s="49" t="s">
        <v>150</v>
      </c>
      <c r="BD594" s="49" t="s">
        <v>150</v>
      </c>
      <c r="BE594" s="49" t="s">
        <v>150</v>
      </c>
      <c r="BF594" s="49" t="s">
        <v>150</v>
      </c>
    </row>
    <row r="595" spans="2:58" ht="15" customHeight="1" x14ac:dyDescent="0.45">
      <c r="B595" s="52" t="s">
        <v>151</v>
      </c>
      <c r="C595" s="54" t="s">
        <v>150</v>
      </c>
      <c r="D595" s="54" t="s">
        <v>150</v>
      </c>
      <c r="E595" s="54" t="s">
        <v>150</v>
      </c>
      <c r="F595" s="54" t="s">
        <v>150</v>
      </c>
      <c r="G595" s="54" t="s">
        <v>150</v>
      </c>
      <c r="H595" s="54" t="s">
        <v>150</v>
      </c>
      <c r="L595" s="52" t="s">
        <v>151</v>
      </c>
      <c r="M595" s="54" t="s">
        <v>150</v>
      </c>
      <c r="N595" s="54" t="s">
        <v>150</v>
      </c>
      <c r="O595" s="54" t="s">
        <v>150</v>
      </c>
      <c r="P595" s="54" t="s">
        <v>150</v>
      </c>
      <c r="Q595" s="54" t="s">
        <v>150</v>
      </c>
      <c r="R595" s="54" t="s">
        <v>150</v>
      </c>
      <c r="S595" s="55"/>
      <c r="T595" s="56"/>
      <c r="V595" s="52" t="str">
        <f t="shared" si="378"/>
        <v>FICO 700+</v>
      </c>
      <c r="W595" s="54" t="s">
        <v>150</v>
      </c>
      <c r="X595" s="54" t="s">
        <v>150</v>
      </c>
      <c r="Y595" s="54" t="s">
        <v>150</v>
      </c>
      <c r="Z595" s="54" t="s">
        <v>150</v>
      </c>
      <c r="AA595" s="54" t="s">
        <v>150</v>
      </c>
      <c r="AB595" s="54" t="s">
        <v>150</v>
      </c>
      <c r="AF595" s="52" t="str">
        <f t="shared" si="379"/>
        <v>FICO 700+</v>
      </c>
      <c r="AG595" s="54" t="s">
        <v>150</v>
      </c>
      <c r="AH595" s="54" t="s">
        <v>150</v>
      </c>
      <c r="AI595" s="54" t="s">
        <v>150</v>
      </c>
      <c r="AJ595" s="54" t="s">
        <v>150</v>
      </c>
      <c r="AK595" s="54" t="s">
        <v>150</v>
      </c>
      <c r="AL595" s="54" t="s">
        <v>150</v>
      </c>
      <c r="AM595" s="55"/>
      <c r="AN595" s="56"/>
      <c r="AP595" s="52" t="str">
        <f t="shared" si="380"/>
        <v>FICO 700+</v>
      </c>
      <c r="AQ595" s="54" t="s">
        <v>150</v>
      </c>
      <c r="AR595" s="54" t="s">
        <v>150</v>
      </c>
      <c r="AS595" s="54" t="s">
        <v>150</v>
      </c>
      <c r="AT595" s="54" t="s">
        <v>150</v>
      </c>
      <c r="AU595" s="54" t="s">
        <v>150</v>
      </c>
      <c r="AV595" s="54" t="s">
        <v>150</v>
      </c>
      <c r="AZ595" s="52" t="str">
        <f t="shared" si="381"/>
        <v>FICO 700+</v>
      </c>
      <c r="BA595" s="54" t="s">
        <v>150</v>
      </c>
      <c r="BB595" s="54" t="s">
        <v>150</v>
      </c>
      <c r="BC595" s="54" t="s">
        <v>150</v>
      </c>
      <c r="BD595" s="54" t="s">
        <v>150</v>
      </c>
      <c r="BE595" s="54" t="s">
        <v>150</v>
      </c>
      <c r="BF595" s="54" t="s">
        <v>150</v>
      </c>
    </row>
    <row r="596" spans="2:58" ht="15" customHeight="1" x14ac:dyDescent="0.45">
      <c r="B596" s="52" t="s">
        <v>158</v>
      </c>
      <c r="C596" s="54" t="s">
        <v>150</v>
      </c>
      <c r="D596" s="54" t="s">
        <v>150</v>
      </c>
      <c r="E596" s="54" t="s">
        <v>150</v>
      </c>
      <c r="F596" s="54" t="s">
        <v>150</v>
      </c>
      <c r="G596" s="54" t="s">
        <v>150</v>
      </c>
      <c r="H596" s="54" t="s">
        <v>150</v>
      </c>
      <c r="L596" s="52" t="s">
        <v>158</v>
      </c>
      <c r="M596" s="54" t="s">
        <v>150</v>
      </c>
      <c r="N596" s="54" t="s">
        <v>150</v>
      </c>
      <c r="O596" s="54" t="s">
        <v>150</v>
      </c>
      <c r="P596" s="54" t="s">
        <v>150</v>
      </c>
      <c r="Q596" s="54" t="s">
        <v>150</v>
      </c>
      <c r="R596" s="54" t="s">
        <v>150</v>
      </c>
      <c r="S596" s="55"/>
      <c r="T596" s="56"/>
      <c r="V596" s="52" t="str">
        <f t="shared" si="378"/>
        <v>FICO 680-699</v>
      </c>
      <c r="W596" s="54" t="s">
        <v>150</v>
      </c>
      <c r="X596" s="54" t="s">
        <v>150</v>
      </c>
      <c r="Y596" s="54" t="s">
        <v>150</v>
      </c>
      <c r="Z596" s="54" t="s">
        <v>150</v>
      </c>
      <c r="AA596" s="54" t="s">
        <v>150</v>
      </c>
      <c r="AB596" s="54" t="s">
        <v>150</v>
      </c>
      <c r="AF596" s="52" t="str">
        <f t="shared" si="379"/>
        <v>FICO 680-699</v>
      </c>
      <c r="AG596" s="54" t="s">
        <v>150</v>
      </c>
      <c r="AH596" s="54" t="s">
        <v>150</v>
      </c>
      <c r="AI596" s="54" t="s">
        <v>150</v>
      </c>
      <c r="AJ596" s="54" t="s">
        <v>150</v>
      </c>
      <c r="AK596" s="54" t="s">
        <v>150</v>
      </c>
      <c r="AL596" s="54" t="s">
        <v>150</v>
      </c>
      <c r="AM596" s="55"/>
      <c r="AN596" s="56"/>
      <c r="AP596" s="52" t="str">
        <f t="shared" si="380"/>
        <v>FICO 680-699</v>
      </c>
      <c r="AQ596" s="54" t="s">
        <v>150</v>
      </c>
      <c r="AR596" s="54" t="s">
        <v>150</v>
      </c>
      <c r="AS596" s="54" t="s">
        <v>150</v>
      </c>
      <c r="AT596" s="54" t="s">
        <v>150</v>
      </c>
      <c r="AU596" s="54" t="s">
        <v>150</v>
      </c>
      <c r="AV596" s="54" t="s">
        <v>150</v>
      </c>
      <c r="AZ596" s="52" t="str">
        <f t="shared" si="381"/>
        <v>FICO 680-699</v>
      </c>
      <c r="BA596" s="54" t="s">
        <v>150</v>
      </c>
      <c r="BB596" s="54" t="s">
        <v>150</v>
      </c>
      <c r="BC596" s="54" t="s">
        <v>150</v>
      </c>
      <c r="BD596" s="54" t="s">
        <v>150</v>
      </c>
      <c r="BE596" s="54" t="s">
        <v>150</v>
      </c>
      <c r="BF596" s="54" t="s">
        <v>150</v>
      </c>
    </row>
    <row r="597" spans="2:58" ht="15" customHeight="1" x14ac:dyDescent="0.45">
      <c r="B597" s="57" t="s">
        <v>159</v>
      </c>
      <c r="C597" s="59" t="s">
        <v>150</v>
      </c>
      <c r="D597" s="59" t="s">
        <v>150</v>
      </c>
      <c r="E597" s="59" t="s">
        <v>150</v>
      </c>
      <c r="F597" s="59" t="s">
        <v>150</v>
      </c>
      <c r="G597" s="59" t="s">
        <v>150</v>
      </c>
      <c r="H597" s="59" t="s">
        <v>150</v>
      </c>
      <c r="L597" s="57" t="s">
        <v>159</v>
      </c>
      <c r="M597" s="59" t="s">
        <v>150</v>
      </c>
      <c r="N597" s="59" t="s">
        <v>150</v>
      </c>
      <c r="O597" s="59" t="s">
        <v>150</v>
      </c>
      <c r="P597" s="59" t="s">
        <v>150</v>
      </c>
      <c r="Q597" s="59" t="s">
        <v>150</v>
      </c>
      <c r="R597" s="59" t="s">
        <v>150</v>
      </c>
      <c r="S597" s="55"/>
      <c r="T597" s="56"/>
      <c r="V597" s="57" t="str">
        <f t="shared" si="378"/>
        <v>FICO 640-679</v>
      </c>
      <c r="W597" s="59" t="s">
        <v>150</v>
      </c>
      <c r="X597" s="59" t="s">
        <v>150</v>
      </c>
      <c r="Y597" s="59" t="s">
        <v>150</v>
      </c>
      <c r="Z597" s="59" t="s">
        <v>150</v>
      </c>
      <c r="AA597" s="59" t="s">
        <v>150</v>
      </c>
      <c r="AB597" s="59" t="s">
        <v>150</v>
      </c>
      <c r="AF597" s="57" t="str">
        <f t="shared" si="379"/>
        <v>FICO 640-679</v>
      </c>
      <c r="AG597" s="59" t="s">
        <v>150</v>
      </c>
      <c r="AH597" s="59" t="s">
        <v>150</v>
      </c>
      <c r="AI597" s="59" t="s">
        <v>150</v>
      </c>
      <c r="AJ597" s="59" t="s">
        <v>150</v>
      </c>
      <c r="AK597" s="59" t="s">
        <v>150</v>
      </c>
      <c r="AL597" s="59" t="s">
        <v>150</v>
      </c>
      <c r="AM597" s="55"/>
      <c r="AN597" s="56"/>
      <c r="AP597" s="57" t="str">
        <f t="shared" si="380"/>
        <v>FICO 640-679</v>
      </c>
      <c r="AQ597" s="59" t="s">
        <v>150</v>
      </c>
      <c r="AR597" s="59" t="s">
        <v>150</v>
      </c>
      <c r="AS597" s="59" t="s">
        <v>150</v>
      </c>
      <c r="AT597" s="59" t="s">
        <v>150</v>
      </c>
      <c r="AU597" s="59" t="s">
        <v>150</v>
      </c>
      <c r="AV597" s="59" t="s">
        <v>150</v>
      </c>
      <c r="AZ597" s="57" t="str">
        <f t="shared" si="381"/>
        <v>FICO 640-679</v>
      </c>
      <c r="BA597" s="59" t="s">
        <v>150</v>
      </c>
      <c r="BB597" s="59" t="s">
        <v>150</v>
      </c>
      <c r="BC597" s="59" t="s">
        <v>150</v>
      </c>
      <c r="BD597" s="59" t="s">
        <v>150</v>
      </c>
      <c r="BE597" s="59" t="s">
        <v>150</v>
      </c>
      <c r="BF597" s="59" t="s">
        <v>150</v>
      </c>
    </row>
    <row r="598" spans="2:58" ht="15" customHeight="1" x14ac:dyDescent="0.45">
      <c r="B598" s="60" t="s">
        <v>154</v>
      </c>
      <c r="C598" s="64" t="s">
        <v>150</v>
      </c>
      <c r="D598" s="64" t="s">
        <v>150</v>
      </c>
      <c r="E598" s="64" t="s">
        <v>150</v>
      </c>
      <c r="F598" s="64" t="s">
        <v>150</v>
      </c>
      <c r="G598" s="64" t="s">
        <v>150</v>
      </c>
      <c r="H598" s="64" t="s">
        <v>150</v>
      </c>
      <c r="L598" s="60" t="s">
        <v>154</v>
      </c>
      <c r="M598" s="64" t="s">
        <v>150</v>
      </c>
      <c r="N598" s="64" t="s">
        <v>150</v>
      </c>
      <c r="O598" s="64" t="s">
        <v>150</v>
      </c>
      <c r="P598" s="64" t="s">
        <v>150</v>
      </c>
      <c r="Q598" s="64" t="s">
        <v>150</v>
      </c>
      <c r="R598" s="64" t="s">
        <v>150</v>
      </c>
      <c r="S598" s="50"/>
      <c r="T598" s="51"/>
      <c r="V598" s="60" t="str">
        <f t="shared" si="378"/>
        <v>65.00%-70.00%</v>
      </c>
      <c r="W598" s="64" t="s">
        <v>150</v>
      </c>
      <c r="X598" s="64" t="s">
        <v>150</v>
      </c>
      <c r="Y598" s="64" t="s">
        <v>150</v>
      </c>
      <c r="Z598" s="64" t="s">
        <v>150</v>
      </c>
      <c r="AA598" s="64" t="s">
        <v>150</v>
      </c>
      <c r="AB598" s="64" t="s">
        <v>150</v>
      </c>
      <c r="AF598" s="60" t="str">
        <f t="shared" si="379"/>
        <v>65.00%-70.00%</v>
      </c>
      <c r="AG598" s="64" t="s">
        <v>150</v>
      </c>
      <c r="AH598" s="64" t="s">
        <v>150</v>
      </c>
      <c r="AI598" s="64" t="s">
        <v>150</v>
      </c>
      <c r="AJ598" s="64" t="s">
        <v>150</v>
      </c>
      <c r="AK598" s="64" t="s">
        <v>150</v>
      </c>
      <c r="AL598" s="64" t="s">
        <v>150</v>
      </c>
      <c r="AM598" s="50"/>
      <c r="AN598" s="51"/>
      <c r="AP598" s="60" t="str">
        <f t="shared" si="380"/>
        <v>65.00%-70.00%</v>
      </c>
      <c r="AQ598" s="64" t="s">
        <v>150</v>
      </c>
      <c r="AR598" s="64" t="s">
        <v>150</v>
      </c>
      <c r="AS598" s="64" t="s">
        <v>150</v>
      </c>
      <c r="AT598" s="64" t="s">
        <v>150</v>
      </c>
      <c r="AU598" s="64" t="s">
        <v>150</v>
      </c>
      <c r="AV598" s="64" t="s">
        <v>150</v>
      </c>
      <c r="AZ598" s="60" t="str">
        <f t="shared" si="381"/>
        <v>65.00%-70.00%</v>
      </c>
      <c r="BA598" s="64" t="s">
        <v>150</v>
      </c>
      <c r="BB598" s="64" t="s">
        <v>150</v>
      </c>
      <c r="BC598" s="64" t="s">
        <v>150</v>
      </c>
      <c r="BD598" s="64" t="s">
        <v>150</v>
      </c>
      <c r="BE598" s="64" t="s">
        <v>150</v>
      </c>
      <c r="BF598" s="64" t="s">
        <v>150</v>
      </c>
    </row>
    <row r="599" spans="2:58" ht="15" customHeight="1" x14ac:dyDescent="0.45">
      <c r="B599" s="52" t="s">
        <v>151</v>
      </c>
      <c r="C599" s="54" t="s">
        <v>150</v>
      </c>
      <c r="D599" s="54" t="s">
        <v>150</v>
      </c>
      <c r="E599" s="54" t="s">
        <v>150</v>
      </c>
      <c r="F599" s="54" t="s">
        <v>150</v>
      </c>
      <c r="G599" s="54" t="s">
        <v>150</v>
      </c>
      <c r="H599" s="54" t="s">
        <v>150</v>
      </c>
      <c r="L599" s="52" t="s">
        <v>151</v>
      </c>
      <c r="M599" s="54" t="s">
        <v>150</v>
      </c>
      <c r="N599" s="54" t="s">
        <v>150</v>
      </c>
      <c r="O599" s="54" t="s">
        <v>150</v>
      </c>
      <c r="P599" s="54" t="s">
        <v>150</v>
      </c>
      <c r="Q599" s="54" t="s">
        <v>150</v>
      </c>
      <c r="R599" s="54" t="s">
        <v>150</v>
      </c>
      <c r="S599" s="55"/>
      <c r="T599" s="56"/>
      <c r="V599" s="52" t="str">
        <f t="shared" si="378"/>
        <v>FICO 700+</v>
      </c>
      <c r="W599" s="54" t="s">
        <v>150</v>
      </c>
      <c r="X599" s="54" t="s">
        <v>150</v>
      </c>
      <c r="Y599" s="54" t="s">
        <v>150</v>
      </c>
      <c r="Z599" s="54" t="s">
        <v>150</v>
      </c>
      <c r="AA599" s="54" t="s">
        <v>150</v>
      </c>
      <c r="AB599" s="54" t="s">
        <v>150</v>
      </c>
      <c r="AF599" s="52" t="str">
        <f t="shared" si="379"/>
        <v>FICO 700+</v>
      </c>
      <c r="AG599" s="54" t="s">
        <v>150</v>
      </c>
      <c r="AH599" s="54" t="s">
        <v>150</v>
      </c>
      <c r="AI599" s="54" t="s">
        <v>150</v>
      </c>
      <c r="AJ599" s="54" t="s">
        <v>150</v>
      </c>
      <c r="AK599" s="54" t="s">
        <v>150</v>
      </c>
      <c r="AL599" s="54" t="s">
        <v>150</v>
      </c>
      <c r="AM599" s="55"/>
      <c r="AN599" s="56"/>
      <c r="AP599" s="52" t="str">
        <f t="shared" si="380"/>
        <v>FICO 700+</v>
      </c>
      <c r="AQ599" s="54" t="s">
        <v>150</v>
      </c>
      <c r="AR599" s="54" t="s">
        <v>150</v>
      </c>
      <c r="AS599" s="54" t="s">
        <v>150</v>
      </c>
      <c r="AT599" s="54" t="s">
        <v>150</v>
      </c>
      <c r="AU599" s="54" t="s">
        <v>150</v>
      </c>
      <c r="AV599" s="54" t="s">
        <v>150</v>
      </c>
      <c r="AZ599" s="52" t="str">
        <f t="shared" si="381"/>
        <v>FICO 700+</v>
      </c>
      <c r="BA599" s="54" t="s">
        <v>150</v>
      </c>
      <c r="BB599" s="54" t="s">
        <v>150</v>
      </c>
      <c r="BC599" s="54" t="s">
        <v>150</v>
      </c>
      <c r="BD599" s="54" t="s">
        <v>150</v>
      </c>
      <c r="BE599" s="54" t="s">
        <v>150</v>
      </c>
      <c r="BF599" s="54" t="s">
        <v>150</v>
      </c>
    </row>
    <row r="600" spans="2:58" ht="15" customHeight="1" x14ac:dyDescent="0.45">
      <c r="B600" s="52" t="s">
        <v>158</v>
      </c>
      <c r="C600" s="54" t="s">
        <v>150</v>
      </c>
      <c r="D600" s="54" t="s">
        <v>150</v>
      </c>
      <c r="E600" s="54" t="s">
        <v>150</v>
      </c>
      <c r="F600" s="54" t="s">
        <v>150</v>
      </c>
      <c r="G600" s="54" t="s">
        <v>150</v>
      </c>
      <c r="H600" s="54" t="s">
        <v>150</v>
      </c>
      <c r="L600" s="52" t="s">
        <v>158</v>
      </c>
      <c r="M600" s="54" t="s">
        <v>150</v>
      </c>
      <c r="N600" s="54" t="s">
        <v>150</v>
      </c>
      <c r="O600" s="54" t="s">
        <v>150</v>
      </c>
      <c r="P600" s="54" t="s">
        <v>150</v>
      </c>
      <c r="Q600" s="54" t="s">
        <v>150</v>
      </c>
      <c r="R600" s="54" t="s">
        <v>150</v>
      </c>
      <c r="S600" s="55"/>
      <c r="T600" s="56"/>
      <c r="V600" s="52" t="str">
        <f t="shared" si="378"/>
        <v>FICO 680-699</v>
      </c>
      <c r="W600" s="54" t="s">
        <v>150</v>
      </c>
      <c r="X600" s="54" t="s">
        <v>150</v>
      </c>
      <c r="Y600" s="54" t="s">
        <v>150</v>
      </c>
      <c r="Z600" s="54" t="s">
        <v>150</v>
      </c>
      <c r="AA600" s="54" t="s">
        <v>150</v>
      </c>
      <c r="AB600" s="54" t="s">
        <v>150</v>
      </c>
      <c r="AF600" s="52" t="str">
        <f t="shared" si="379"/>
        <v>FICO 680-699</v>
      </c>
      <c r="AG600" s="54" t="s">
        <v>150</v>
      </c>
      <c r="AH600" s="54" t="s">
        <v>150</v>
      </c>
      <c r="AI600" s="54" t="s">
        <v>150</v>
      </c>
      <c r="AJ600" s="54" t="s">
        <v>150</v>
      </c>
      <c r="AK600" s="54" t="s">
        <v>150</v>
      </c>
      <c r="AL600" s="54" t="s">
        <v>150</v>
      </c>
      <c r="AM600" s="55"/>
      <c r="AN600" s="56"/>
      <c r="AP600" s="52" t="str">
        <f t="shared" si="380"/>
        <v>FICO 680-699</v>
      </c>
      <c r="AQ600" s="54" t="s">
        <v>150</v>
      </c>
      <c r="AR600" s="54" t="s">
        <v>150</v>
      </c>
      <c r="AS600" s="54" t="s">
        <v>150</v>
      </c>
      <c r="AT600" s="54" t="s">
        <v>150</v>
      </c>
      <c r="AU600" s="54" t="s">
        <v>150</v>
      </c>
      <c r="AV600" s="54" t="s">
        <v>150</v>
      </c>
      <c r="AZ600" s="52" t="str">
        <f t="shared" si="381"/>
        <v>FICO 680-699</v>
      </c>
      <c r="BA600" s="54" t="s">
        <v>150</v>
      </c>
      <c r="BB600" s="54" t="s">
        <v>150</v>
      </c>
      <c r="BC600" s="54" t="s">
        <v>150</v>
      </c>
      <c r="BD600" s="54" t="s">
        <v>150</v>
      </c>
      <c r="BE600" s="54" t="s">
        <v>150</v>
      </c>
      <c r="BF600" s="54" t="s">
        <v>150</v>
      </c>
    </row>
    <row r="601" spans="2:58" ht="15" customHeight="1" x14ac:dyDescent="0.45">
      <c r="B601" s="57" t="s">
        <v>159</v>
      </c>
      <c r="C601" s="59" t="s">
        <v>150</v>
      </c>
      <c r="D601" s="59" t="s">
        <v>150</v>
      </c>
      <c r="E601" s="59" t="s">
        <v>150</v>
      </c>
      <c r="F601" s="59" t="s">
        <v>150</v>
      </c>
      <c r="G601" s="59" t="s">
        <v>150</v>
      </c>
      <c r="H601" s="59" t="s">
        <v>150</v>
      </c>
      <c r="L601" s="57" t="s">
        <v>159</v>
      </c>
      <c r="M601" s="59" t="s">
        <v>150</v>
      </c>
      <c r="N601" s="59" t="s">
        <v>150</v>
      </c>
      <c r="O601" s="59" t="s">
        <v>150</v>
      </c>
      <c r="P601" s="59" t="s">
        <v>150</v>
      </c>
      <c r="Q601" s="59" t="s">
        <v>150</v>
      </c>
      <c r="R601" s="59" t="s">
        <v>150</v>
      </c>
      <c r="S601" s="55"/>
      <c r="T601" s="56"/>
      <c r="V601" s="57" t="str">
        <f t="shared" si="378"/>
        <v>FICO 640-679</v>
      </c>
      <c r="W601" s="59" t="s">
        <v>150</v>
      </c>
      <c r="X601" s="59" t="s">
        <v>150</v>
      </c>
      <c r="Y601" s="59" t="s">
        <v>150</v>
      </c>
      <c r="Z601" s="59" t="s">
        <v>150</v>
      </c>
      <c r="AA601" s="59" t="s">
        <v>150</v>
      </c>
      <c r="AB601" s="59" t="s">
        <v>150</v>
      </c>
      <c r="AF601" s="57" t="str">
        <f t="shared" si="379"/>
        <v>FICO 640-679</v>
      </c>
      <c r="AG601" s="59" t="s">
        <v>150</v>
      </c>
      <c r="AH601" s="59" t="s">
        <v>150</v>
      </c>
      <c r="AI601" s="59" t="s">
        <v>150</v>
      </c>
      <c r="AJ601" s="59" t="s">
        <v>150</v>
      </c>
      <c r="AK601" s="59" t="s">
        <v>150</v>
      </c>
      <c r="AL601" s="59" t="s">
        <v>150</v>
      </c>
      <c r="AM601" s="55"/>
      <c r="AN601" s="56"/>
      <c r="AP601" s="57" t="str">
        <f t="shared" si="380"/>
        <v>FICO 640-679</v>
      </c>
      <c r="AQ601" s="59" t="s">
        <v>150</v>
      </c>
      <c r="AR601" s="59" t="s">
        <v>150</v>
      </c>
      <c r="AS601" s="59" t="s">
        <v>150</v>
      </c>
      <c r="AT601" s="59" t="s">
        <v>150</v>
      </c>
      <c r="AU601" s="59" t="s">
        <v>150</v>
      </c>
      <c r="AV601" s="59" t="s">
        <v>150</v>
      </c>
      <c r="AZ601" s="57" t="str">
        <f t="shared" si="381"/>
        <v>FICO 640-679</v>
      </c>
      <c r="BA601" s="59" t="s">
        <v>150</v>
      </c>
      <c r="BB601" s="59" t="s">
        <v>150</v>
      </c>
      <c r="BC601" s="59" t="s">
        <v>150</v>
      </c>
      <c r="BD601" s="59" t="s">
        <v>150</v>
      </c>
      <c r="BE601" s="59" t="s">
        <v>150</v>
      </c>
      <c r="BF601" s="59" t="s">
        <v>150</v>
      </c>
    </row>
    <row r="602" spans="2:58" ht="15" customHeight="1" x14ac:dyDescent="0.45">
      <c r="B602" s="60" t="s">
        <v>155</v>
      </c>
      <c r="C602" s="64" t="s">
        <v>150</v>
      </c>
      <c r="D602" s="64" t="s">
        <v>150</v>
      </c>
      <c r="E602" s="64" t="s">
        <v>150</v>
      </c>
      <c r="F602" s="64" t="s">
        <v>150</v>
      </c>
      <c r="G602" s="64" t="s">
        <v>150</v>
      </c>
      <c r="H602" s="64" t="s">
        <v>150</v>
      </c>
      <c r="L602" s="60" t="s">
        <v>155</v>
      </c>
      <c r="M602" s="64" t="s">
        <v>150</v>
      </c>
      <c r="N602" s="64" t="s">
        <v>150</v>
      </c>
      <c r="O602" s="64" t="s">
        <v>150</v>
      </c>
      <c r="P602" s="64" t="s">
        <v>150</v>
      </c>
      <c r="Q602" s="64" t="s">
        <v>150</v>
      </c>
      <c r="R602" s="64" t="s">
        <v>150</v>
      </c>
      <c r="S602" s="50"/>
      <c r="T602" s="51"/>
      <c r="V602" s="60" t="str">
        <f t="shared" si="378"/>
        <v>&lt;64.99%</v>
      </c>
      <c r="W602" s="64" t="s">
        <v>150</v>
      </c>
      <c r="X602" s="64" t="s">
        <v>150</v>
      </c>
      <c r="Y602" s="64" t="s">
        <v>150</v>
      </c>
      <c r="Z602" s="64" t="s">
        <v>150</v>
      </c>
      <c r="AA602" s="64" t="s">
        <v>150</v>
      </c>
      <c r="AB602" s="64" t="s">
        <v>150</v>
      </c>
      <c r="AF602" s="60" t="str">
        <f t="shared" si="379"/>
        <v>&lt;64.99%</v>
      </c>
      <c r="AG602" s="64" t="s">
        <v>150</v>
      </c>
      <c r="AH602" s="64" t="s">
        <v>150</v>
      </c>
      <c r="AI602" s="64" t="s">
        <v>150</v>
      </c>
      <c r="AJ602" s="64" t="s">
        <v>150</v>
      </c>
      <c r="AK602" s="64" t="s">
        <v>150</v>
      </c>
      <c r="AL602" s="64" t="s">
        <v>150</v>
      </c>
      <c r="AM602" s="50"/>
      <c r="AN602" s="51"/>
      <c r="AP602" s="60" t="str">
        <f t="shared" si="380"/>
        <v>&lt;64.99%</v>
      </c>
      <c r="AQ602" s="64" t="s">
        <v>150</v>
      </c>
      <c r="AR602" s="64" t="s">
        <v>150</v>
      </c>
      <c r="AS602" s="64" t="s">
        <v>150</v>
      </c>
      <c r="AT602" s="64" t="s">
        <v>150</v>
      </c>
      <c r="AU602" s="64" t="s">
        <v>150</v>
      </c>
      <c r="AV602" s="64" t="s">
        <v>150</v>
      </c>
      <c r="AZ602" s="60" t="str">
        <f t="shared" si="381"/>
        <v>&lt;64.99%</v>
      </c>
      <c r="BA602" s="64" t="s">
        <v>150</v>
      </c>
      <c r="BB602" s="64" t="s">
        <v>150</v>
      </c>
      <c r="BC602" s="64" t="s">
        <v>150</v>
      </c>
      <c r="BD602" s="64" t="s">
        <v>150</v>
      </c>
      <c r="BE602" s="64" t="s">
        <v>150</v>
      </c>
      <c r="BF602" s="64" t="s">
        <v>150</v>
      </c>
    </row>
    <row r="603" spans="2:58" ht="15" customHeight="1" x14ac:dyDescent="0.45">
      <c r="B603" s="52" t="s">
        <v>151</v>
      </c>
      <c r="C603" s="54" t="s">
        <v>150</v>
      </c>
      <c r="D603" s="54" t="s">
        <v>150</v>
      </c>
      <c r="E603" s="54" t="s">
        <v>150</v>
      </c>
      <c r="F603" s="54" t="s">
        <v>150</v>
      </c>
      <c r="G603" s="54" t="s">
        <v>150</v>
      </c>
      <c r="H603" s="54" t="s">
        <v>150</v>
      </c>
      <c r="L603" s="52" t="s">
        <v>151</v>
      </c>
      <c r="M603" s="54" t="s">
        <v>150</v>
      </c>
      <c r="N603" s="54" t="s">
        <v>150</v>
      </c>
      <c r="O603" s="54" t="s">
        <v>150</v>
      </c>
      <c r="P603" s="54" t="s">
        <v>150</v>
      </c>
      <c r="Q603" s="54" t="s">
        <v>150</v>
      </c>
      <c r="R603" s="54" t="s">
        <v>150</v>
      </c>
      <c r="S603" s="55"/>
      <c r="T603" s="56"/>
      <c r="V603" s="52" t="str">
        <f t="shared" si="378"/>
        <v>FICO 700+</v>
      </c>
      <c r="W603" s="54" t="s">
        <v>150</v>
      </c>
      <c r="X603" s="54" t="s">
        <v>150</v>
      </c>
      <c r="Y603" s="54" t="s">
        <v>150</v>
      </c>
      <c r="Z603" s="54" t="s">
        <v>150</v>
      </c>
      <c r="AA603" s="54" t="s">
        <v>150</v>
      </c>
      <c r="AB603" s="54" t="s">
        <v>150</v>
      </c>
      <c r="AF603" s="52" t="str">
        <f t="shared" si="379"/>
        <v>FICO 700+</v>
      </c>
      <c r="AG603" s="54" t="s">
        <v>150</v>
      </c>
      <c r="AH603" s="54" t="s">
        <v>150</v>
      </c>
      <c r="AI603" s="54" t="s">
        <v>150</v>
      </c>
      <c r="AJ603" s="54" t="s">
        <v>150</v>
      </c>
      <c r="AK603" s="54" t="s">
        <v>150</v>
      </c>
      <c r="AL603" s="54" t="s">
        <v>150</v>
      </c>
      <c r="AM603" s="55"/>
      <c r="AN603" s="56"/>
      <c r="AP603" s="52" t="str">
        <f t="shared" si="380"/>
        <v>FICO 700+</v>
      </c>
      <c r="AQ603" s="54" t="s">
        <v>150</v>
      </c>
      <c r="AR603" s="54" t="s">
        <v>150</v>
      </c>
      <c r="AS603" s="54" t="s">
        <v>150</v>
      </c>
      <c r="AT603" s="54" t="s">
        <v>150</v>
      </c>
      <c r="AU603" s="54" t="s">
        <v>150</v>
      </c>
      <c r="AV603" s="54" t="s">
        <v>150</v>
      </c>
      <c r="AZ603" s="52" t="str">
        <f t="shared" si="381"/>
        <v>FICO 700+</v>
      </c>
      <c r="BA603" s="54" t="s">
        <v>150</v>
      </c>
      <c r="BB603" s="54" t="s">
        <v>150</v>
      </c>
      <c r="BC603" s="54" t="s">
        <v>150</v>
      </c>
      <c r="BD603" s="54" t="s">
        <v>150</v>
      </c>
      <c r="BE603" s="54" t="s">
        <v>150</v>
      </c>
      <c r="BF603" s="54" t="s">
        <v>150</v>
      </c>
    </row>
    <row r="604" spans="2:58" ht="15" customHeight="1" x14ac:dyDescent="0.45">
      <c r="B604" s="52" t="s">
        <v>158</v>
      </c>
      <c r="C604" s="54" t="s">
        <v>150</v>
      </c>
      <c r="D604" s="54" t="s">
        <v>150</v>
      </c>
      <c r="E604" s="54" t="s">
        <v>150</v>
      </c>
      <c r="F604" s="54" t="s">
        <v>150</v>
      </c>
      <c r="G604" s="54" t="s">
        <v>150</v>
      </c>
      <c r="H604" s="54" t="s">
        <v>150</v>
      </c>
      <c r="L604" s="52" t="s">
        <v>158</v>
      </c>
      <c r="M604" s="54" t="s">
        <v>150</v>
      </c>
      <c r="N604" s="54" t="s">
        <v>150</v>
      </c>
      <c r="O604" s="54" t="s">
        <v>150</v>
      </c>
      <c r="P604" s="54" t="s">
        <v>150</v>
      </c>
      <c r="Q604" s="54" t="s">
        <v>150</v>
      </c>
      <c r="R604" s="54" t="s">
        <v>150</v>
      </c>
      <c r="S604" s="55"/>
      <c r="T604" s="56"/>
      <c r="V604" s="52" t="str">
        <f t="shared" si="378"/>
        <v>FICO 680-699</v>
      </c>
      <c r="W604" s="54" t="s">
        <v>150</v>
      </c>
      <c r="X604" s="54" t="s">
        <v>150</v>
      </c>
      <c r="Y604" s="54" t="s">
        <v>150</v>
      </c>
      <c r="Z604" s="54" t="s">
        <v>150</v>
      </c>
      <c r="AA604" s="54" t="s">
        <v>150</v>
      </c>
      <c r="AB604" s="54" t="s">
        <v>150</v>
      </c>
      <c r="AF604" s="52" t="str">
        <f t="shared" si="379"/>
        <v>FICO 680-699</v>
      </c>
      <c r="AG604" s="54" t="s">
        <v>150</v>
      </c>
      <c r="AH604" s="54" t="s">
        <v>150</v>
      </c>
      <c r="AI604" s="54" t="s">
        <v>150</v>
      </c>
      <c r="AJ604" s="54" t="s">
        <v>150</v>
      </c>
      <c r="AK604" s="54" t="s">
        <v>150</v>
      </c>
      <c r="AL604" s="54" t="s">
        <v>150</v>
      </c>
      <c r="AM604" s="55"/>
      <c r="AN604" s="56"/>
      <c r="AP604" s="52" t="str">
        <f t="shared" si="380"/>
        <v>FICO 680-699</v>
      </c>
      <c r="AQ604" s="54" t="s">
        <v>150</v>
      </c>
      <c r="AR604" s="54" t="s">
        <v>150</v>
      </c>
      <c r="AS604" s="54" t="s">
        <v>150</v>
      </c>
      <c r="AT604" s="54" t="s">
        <v>150</v>
      </c>
      <c r="AU604" s="54" t="s">
        <v>150</v>
      </c>
      <c r="AV604" s="54" t="s">
        <v>150</v>
      </c>
      <c r="AZ604" s="52" t="str">
        <f t="shared" si="381"/>
        <v>FICO 680-699</v>
      </c>
      <c r="BA604" s="54" t="s">
        <v>150</v>
      </c>
      <c r="BB604" s="54" t="s">
        <v>150</v>
      </c>
      <c r="BC604" s="54" t="s">
        <v>150</v>
      </c>
      <c r="BD604" s="54" t="s">
        <v>150</v>
      </c>
      <c r="BE604" s="54" t="s">
        <v>150</v>
      </c>
      <c r="BF604" s="54" t="s">
        <v>150</v>
      </c>
    </row>
    <row r="605" spans="2:58" ht="15" customHeight="1" x14ac:dyDescent="0.45">
      <c r="B605" s="52" t="s">
        <v>159</v>
      </c>
      <c r="C605" s="54" t="s">
        <v>150</v>
      </c>
      <c r="D605" s="54" t="s">
        <v>150</v>
      </c>
      <c r="E605" s="54" t="s">
        <v>150</v>
      </c>
      <c r="F605" s="54" t="s">
        <v>150</v>
      </c>
      <c r="G605" s="54" t="s">
        <v>150</v>
      </c>
      <c r="H605" s="54" t="s">
        <v>150</v>
      </c>
      <c r="L605" s="52" t="s">
        <v>159</v>
      </c>
      <c r="M605" s="54" t="s">
        <v>150</v>
      </c>
      <c r="N605" s="54" t="s">
        <v>150</v>
      </c>
      <c r="O605" s="54" t="s">
        <v>150</v>
      </c>
      <c r="P605" s="54" t="s">
        <v>150</v>
      </c>
      <c r="Q605" s="54" t="s">
        <v>150</v>
      </c>
      <c r="R605" s="54" t="s">
        <v>150</v>
      </c>
      <c r="S605" s="55"/>
      <c r="T605" s="56"/>
      <c r="V605" s="52" t="str">
        <f t="shared" si="378"/>
        <v>FICO 640-679</v>
      </c>
      <c r="W605" s="54" t="s">
        <v>150</v>
      </c>
      <c r="X605" s="54" t="s">
        <v>150</v>
      </c>
      <c r="Y605" s="54" t="s">
        <v>150</v>
      </c>
      <c r="Z605" s="54" t="s">
        <v>150</v>
      </c>
      <c r="AA605" s="54" t="s">
        <v>150</v>
      </c>
      <c r="AB605" s="54" t="s">
        <v>150</v>
      </c>
      <c r="AF605" s="52" t="str">
        <f t="shared" si="379"/>
        <v>FICO 640-679</v>
      </c>
      <c r="AG605" s="54" t="s">
        <v>150</v>
      </c>
      <c r="AH605" s="54" t="s">
        <v>150</v>
      </c>
      <c r="AI605" s="54" t="s">
        <v>150</v>
      </c>
      <c r="AJ605" s="54" t="s">
        <v>150</v>
      </c>
      <c r="AK605" s="54" t="s">
        <v>150</v>
      </c>
      <c r="AL605" s="54" t="s">
        <v>150</v>
      </c>
      <c r="AM605" s="55"/>
      <c r="AN605" s="56"/>
      <c r="AP605" s="52" t="str">
        <f t="shared" si="380"/>
        <v>FICO 640-679</v>
      </c>
      <c r="AQ605" s="54" t="s">
        <v>150</v>
      </c>
      <c r="AR605" s="54" t="s">
        <v>150</v>
      </c>
      <c r="AS605" s="54" t="s">
        <v>150</v>
      </c>
      <c r="AT605" s="54" t="s">
        <v>150</v>
      </c>
      <c r="AU605" s="54" t="s">
        <v>150</v>
      </c>
      <c r="AV605" s="54" t="s">
        <v>150</v>
      </c>
      <c r="AZ605" s="52" t="str">
        <f t="shared" si="381"/>
        <v>FICO 640-679</v>
      </c>
      <c r="BA605" s="54" t="s">
        <v>150</v>
      </c>
      <c r="BB605" s="54" t="s">
        <v>150</v>
      </c>
      <c r="BC605" s="54" t="s">
        <v>150</v>
      </c>
      <c r="BD605" s="54" t="s">
        <v>150</v>
      </c>
      <c r="BE605" s="54" t="s">
        <v>150</v>
      </c>
      <c r="BF605" s="54" t="s">
        <v>150</v>
      </c>
    </row>
    <row r="606" spans="2:58" ht="15" customHeight="1" x14ac:dyDescent="0.45">
      <c r="B606" s="37"/>
      <c r="C606" s="63"/>
      <c r="D606" s="63"/>
      <c r="E606" s="63"/>
      <c r="F606" s="63"/>
      <c r="G606" s="63"/>
      <c r="H606" s="63"/>
      <c r="V606" s="37"/>
      <c r="W606" s="63"/>
      <c r="X606" s="63"/>
      <c r="Y606" s="63"/>
      <c r="Z606" s="63"/>
      <c r="AA606" s="63"/>
      <c r="AB606" s="63"/>
      <c r="AP606" s="37"/>
      <c r="AQ606" s="63"/>
      <c r="AR606" s="63"/>
      <c r="AS606" s="63"/>
      <c r="AT606" s="63"/>
      <c r="AU606" s="63"/>
      <c r="AV606" s="63"/>
    </row>
    <row r="607" spans="2:58" s="38" customFormat="1" ht="6.75" customHeight="1" x14ac:dyDescent="0.45">
      <c r="C607" s="65"/>
      <c r="D607" s="65"/>
      <c r="E607" s="65"/>
      <c r="F607" s="65"/>
      <c r="G607" s="65"/>
      <c r="H607" s="65"/>
      <c r="S607" s="41"/>
      <c r="T607" s="43"/>
      <c r="U607" s="41"/>
      <c r="W607" s="65"/>
      <c r="X607" s="65"/>
      <c r="Y607" s="65"/>
      <c r="Z607" s="65"/>
      <c r="AA607" s="65"/>
      <c r="AB607" s="65"/>
      <c r="AM607" s="41"/>
      <c r="AN607" s="43"/>
      <c r="AO607" s="41"/>
      <c r="AQ607" s="65"/>
      <c r="AR607" s="65"/>
      <c r="AS607" s="65"/>
      <c r="AT607" s="65"/>
      <c r="AU607" s="65"/>
      <c r="AV607" s="65"/>
    </row>
    <row r="609" spans="2:58" ht="15" customHeight="1" x14ac:dyDescent="0.45">
      <c r="B609" s="96" t="s">
        <v>162</v>
      </c>
      <c r="C609" s="96"/>
      <c r="D609" s="96"/>
      <c r="E609" s="96"/>
      <c r="F609" s="96"/>
      <c r="G609" s="96"/>
      <c r="H609" s="96"/>
      <c r="L609" s="96" t="s">
        <v>163</v>
      </c>
      <c r="M609" s="96"/>
      <c r="N609" s="96"/>
      <c r="O609" s="96"/>
      <c r="P609" s="96"/>
      <c r="Q609" s="96"/>
      <c r="R609" s="96"/>
      <c r="S609" s="35"/>
      <c r="T609" s="36"/>
      <c r="V609" s="96" t="s">
        <v>162</v>
      </c>
      <c r="W609" s="96"/>
      <c r="X609" s="96"/>
      <c r="Y609" s="96"/>
      <c r="Z609" s="96"/>
      <c r="AA609" s="96"/>
      <c r="AB609" s="96"/>
      <c r="AF609" s="96" t="s">
        <v>163</v>
      </c>
      <c r="AG609" s="96"/>
      <c r="AH609" s="96"/>
      <c r="AI609" s="96"/>
      <c r="AJ609" s="96"/>
      <c r="AK609" s="96"/>
      <c r="AL609" s="96"/>
      <c r="AM609" s="35"/>
      <c r="AN609" s="36"/>
      <c r="AP609" s="96" t="s">
        <v>162</v>
      </c>
      <c r="AQ609" s="96"/>
      <c r="AR609" s="96"/>
      <c r="AS609" s="96"/>
      <c r="AT609" s="96"/>
      <c r="AU609" s="96"/>
      <c r="AV609" s="96"/>
      <c r="AZ609" s="96" t="s">
        <v>163</v>
      </c>
      <c r="BA609" s="96"/>
      <c r="BB609" s="96"/>
      <c r="BC609" s="96"/>
      <c r="BD609" s="96"/>
      <c r="BE609" s="96"/>
      <c r="BF609" s="96"/>
    </row>
    <row r="610" spans="2:58" ht="15.75" customHeight="1" x14ac:dyDescent="0.45">
      <c r="B610" s="94" t="s">
        <v>142</v>
      </c>
      <c r="C610" s="94"/>
      <c r="D610" s="94"/>
      <c r="E610" s="94"/>
      <c r="F610" s="94"/>
      <c r="G610" s="94"/>
      <c r="H610" s="94"/>
      <c r="L610" s="94" t="s">
        <v>142</v>
      </c>
      <c r="M610" s="94"/>
      <c r="N610" s="94"/>
      <c r="O610" s="94"/>
      <c r="P610" s="94"/>
      <c r="Q610" s="94"/>
      <c r="R610" s="94"/>
      <c r="S610" s="39"/>
      <c r="T610" s="40"/>
      <c r="V610" s="94" t="s">
        <v>142</v>
      </c>
      <c r="W610" s="94"/>
      <c r="X610" s="94"/>
      <c r="Y610" s="94"/>
      <c r="Z610" s="94"/>
      <c r="AA610" s="94"/>
      <c r="AB610" s="94"/>
      <c r="AF610" s="94" t="s">
        <v>142</v>
      </c>
      <c r="AG610" s="94"/>
      <c r="AH610" s="94"/>
      <c r="AI610" s="94"/>
      <c r="AJ610" s="94"/>
      <c r="AK610" s="94"/>
      <c r="AL610" s="94"/>
      <c r="AM610" s="39"/>
      <c r="AN610" s="40"/>
      <c r="AP610" s="94" t="s">
        <v>142</v>
      </c>
      <c r="AQ610" s="94"/>
      <c r="AR610" s="94"/>
      <c r="AS610" s="94"/>
      <c r="AT610" s="94"/>
      <c r="AU610" s="94"/>
      <c r="AV610" s="94"/>
      <c r="AZ610" s="94" t="s">
        <v>142</v>
      </c>
      <c r="BA610" s="94"/>
      <c r="BB610" s="94"/>
      <c r="BC610" s="94"/>
      <c r="BD610" s="94"/>
      <c r="BE610" s="94"/>
      <c r="BF610" s="94"/>
    </row>
    <row r="611" spans="2:58" ht="15" customHeight="1" x14ac:dyDescent="0.45">
      <c r="B611" s="45"/>
      <c r="C611" s="95" t="s">
        <v>50</v>
      </c>
      <c r="D611" s="95"/>
      <c r="E611" s="95"/>
      <c r="F611" s="95"/>
      <c r="G611" s="95"/>
      <c r="H611" s="95"/>
      <c r="L611" s="45"/>
      <c r="M611" s="95" t="s">
        <v>50</v>
      </c>
      <c r="N611" s="95"/>
      <c r="O611" s="95"/>
      <c r="P611" s="95"/>
      <c r="Q611" s="95"/>
      <c r="R611" s="95"/>
      <c r="S611" s="41"/>
      <c r="T611" s="43"/>
      <c r="V611" s="45"/>
      <c r="W611" s="95" t="str">
        <f>C611</f>
        <v>LTC</v>
      </c>
      <c r="X611" s="95"/>
      <c r="Y611" s="95"/>
      <c r="Z611" s="95"/>
      <c r="AA611" s="95"/>
      <c r="AB611" s="95"/>
      <c r="AF611" s="45"/>
      <c r="AG611" s="95" t="str">
        <f>W611</f>
        <v>LTC</v>
      </c>
      <c r="AH611" s="95"/>
      <c r="AI611" s="95"/>
      <c r="AJ611" s="95"/>
      <c r="AK611" s="95"/>
      <c r="AL611" s="95"/>
      <c r="AM611" s="41"/>
      <c r="AN611" s="43"/>
      <c r="AP611" s="45"/>
      <c r="AQ611" s="95" t="str">
        <f>C611</f>
        <v>LTC</v>
      </c>
      <c r="AR611" s="95"/>
      <c r="AS611" s="95"/>
      <c r="AT611" s="95"/>
      <c r="AU611" s="95"/>
      <c r="AV611" s="95"/>
      <c r="AZ611" s="45"/>
      <c r="BA611" s="95" t="str">
        <f>C611</f>
        <v>LTC</v>
      </c>
      <c r="BB611" s="95"/>
      <c r="BC611" s="95"/>
      <c r="BD611" s="95"/>
      <c r="BE611" s="95"/>
      <c r="BF611" s="95"/>
    </row>
    <row r="612" spans="2:58" ht="15" customHeight="1" x14ac:dyDescent="0.45">
      <c r="B612" s="71" t="s">
        <v>52</v>
      </c>
      <c r="C612" s="45" t="s">
        <v>143</v>
      </c>
      <c r="D612" s="45" t="s">
        <v>144</v>
      </c>
      <c r="E612" s="45" t="s">
        <v>145</v>
      </c>
      <c r="F612" s="45" t="s">
        <v>146</v>
      </c>
      <c r="G612" s="45" t="s">
        <v>147</v>
      </c>
      <c r="H612" s="45" t="s">
        <v>148</v>
      </c>
      <c r="L612" s="71" t="s">
        <v>52</v>
      </c>
      <c r="M612" s="45" t="s">
        <v>143</v>
      </c>
      <c r="N612" s="45" t="s">
        <v>144</v>
      </c>
      <c r="O612" s="45" t="s">
        <v>145</v>
      </c>
      <c r="P612" s="45" t="s">
        <v>146</v>
      </c>
      <c r="Q612" s="45" t="s">
        <v>147</v>
      </c>
      <c r="R612" s="45" t="s">
        <v>148</v>
      </c>
      <c r="S612" s="41"/>
      <c r="T612" s="43"/>
      <c r="V612" s="71" t="str">
        <f t="shared" ref="V612:V623" si="382">B612</f>
        <v>AR-LTV</v>
      </c>
      <c r="W612" s="45" t="str">
        <f>C612</f>
        <v>&lt;74.99%</v>
      </c>
      <c r="X612" s="45" t="str">
        <f>D612</f>
        <v>75.00%-80.00%</v>
      </c>
      <c r="Y612" s="45" t="str">
        <f>E612</f>
        <v>80.01%-85.00%</v>
      </c>
      <c r="Z612" s="45" t="str">
        <f>F612</f>
        <v>85.01%-87.50%</v>
      </c>
      <c r="AA612" s="45" t="str">
        <f>G612</f>
        <v>87.51%-89.99%</v>
      </c>
      <c r="AB612" s="45" t="str">
        <f>H612</f>
        <v>90.00%-92.50%</v>
      </c>
      <c r="AF612" s="44" t="str">
        <f t="shared" ref="AF612:AF627" si="383">V612</f>
        <v>AR-LTV</v>
      </c>
      <c r="AG612" s="45" t="str">
        <f>W612</f>
        <v>&lt;74.99%</v>
      </c>
      <c r="AH612" s="45" t="str">
        <f>X612</f>
        <v>75.00%-80.00%</v>
      </c>
      <c r="AI612" s="45" t="str">
        <f>Y612</f>
        <v>80.01%-85.00%</v>
      </c>
      <c r="AJ612" s="45" t="str">
        <f>Z612</f>
        <v>85.01%-87.50%</v>
      </c>
      <c r="AK612" s="45" t="str">
        <f>AA612</f>
        <v>87.51%-89.99%</v>
      </c>
      <c r="AL612" s="45" t="str">
        <f>AB612</f>
        <v>90.00%-92.50%</v>
      </c>
      <c r="AM612" s="41"/>
      <c r="AN612" s="43"/>
      <c r="AP612" s="71" t="str">
        <f t="shared" ref="AP612:AP628" si="384">B612</f>
        <v>AR-LTV</v>
      </c>
      <c r="AQ612" s="45" t="str">
        <f>C612</f>
        <v>&lt;74.99%</v>
      </c>
      <c r="AR612" s="45" t="str">
        <f>D612</f>
        <v>75.00%-80.00%</v>
      </c>
      <c r="AS612" s="45" t="str">
        <f>E612</f>
        <v>80.01%-85.00%</v>
      </c>
      <c r="AT612" s="45" t="str">
        <f>F612</f>
        <v>85.01%-87.50%</v>
      </c>
      <c r="AU612" s="45" t="str">
        <f>G612</f>
        <v>87.51%-89.99%</v>
      </c>
      <c r="AV612" s="45" t="str">
        <f>H612</f>
        <v>90.00%-92.50%</v>
      </c>
      <c r="AZ612" s="71" t="str">
        <f t="shared" ref="AZ612:AZ628" si="385">B612</f>
        <v>AR-LTV</v>
      </c>
      <c r="BA612" s="45" t="str">
        <f>C612</f>
        <v>&lt;74.99%</v>
      </c>
      <c r="BB612" s="45" t="str">
        <f>D612</f>
        <v>75.00%-80.00%</v>
      </c>
      <c r="BC612" s="45" t="str">
        <f>E612</f>
        <v>80.01%-85.00%</v>
      </c>
      <c r="BD612" s="45" t="str">
        <f>F612</f>
        <v>85.01%-87.50%</v>
      </c>
      <c r="BE612" s="45" t="str">
        <f>G612</f>
        <v>87.51%-89.99%</v>
      </c>
      <c r="BF612" s="45" t="str">
        <f>H612</f>
        <v>90.00%-92.50%</v>
      </c>
    </row>
    <row r="613" spans="2:58" ht="15" hidden="1" customHeight="1" x14ac:dyDescent="0.45">
      <c r="B613" s="46" t="s">
        <v>164</v>
      </c>
      <c r="C613" s="47" t="s">
        <v>150</v>
      </c>
      <c r="D613" s="47" t="s">
        <v>150</v>
      </c>
      <c r="E613" s="49" t="s">
        <v>150</v>
      </c>
      <c r="F613" s="49" t="s">
        <v>150</v>
      </c>
      <c r="G613" s="49" t="s">
        <v>150</v>
      </c>
      <c r="H613" s="49" t="s">
        <v>150</v>
      </c>
      <c r="L613" s="46" t="s">
        <v>164</v>
      </c>
      <c r="M613" s="49" t="s">
        <v>150</v>
      </c>
      <c r="N613" s="49" t="s">
        <v>150</v>
      </c>
      <c r="O613" s="49" t="s">
        <v>150</v>
      </c>
      <c r="P613" s="49" t="s">
        <v>150</v>
      </c>
      <c r="Q613" s="49" t="s">
        <v>150</v>
      </c>
      <c r="R613" s="49" t="s">
        <v>150</v>
      </c>
      <c r="S613" s="50"/>
      <c r="T613" s="51"/>
      <c r="V613" s="46" t="str">
        <f t="shared" si="382"/>
        <v>75.01%-80.00%</v>
      </c>
      <c r="W613" s="47" t="s">
        <v>150</v>
      </c>
      <c r="X613" s="47" t="s">
        <v>150</v>
      </c>
      <c r="Y613" s="49" t="s">
        <v>150</v>
      </c>
      <c r="Z613" s="49" t="s">
        <v>150</v>
      </c>
      <c r="AA613" s="49" t="s">
        <v>150</v>
      </c>
      <c r="AB613" s="49" t="s">
        <v>150</v>
      </c>
      <c r="AF613" s="46" t="str">
        <f t="shared" si="383"/>
        <v>75.01%-80.00%</v>
      </c>
      <c r="AG613" s="49" t="s">
        <v>150</v>
      </c>
      <c r="AH613" s="49" t="s">
        <v>150</v>
      </c>
      <c r="AI613" s="49" t="s">
        <v>150</v>
      </c>
      <c r="AJ613" s="49" t="s">
        <v>150</v>
      </c>
      <c r="AK613" s="49" t="s">
        <v>150</v>
      </c>
      <c r="AL613" s="49" t="s">
        <v>150</v>
      </c>
      <c r="AM613" s="50"/>
      <c r="AN613" s="51"/>
      <c r="AP613" s="46" t="str">
        <f t="shared" si="384"/>
        <v>75.01%-80.00%</v>
      </c>
      <c r="AQ613" s="47" t="s">
        <v>150</v>
      </c>
      <c r="AR613" s="47" t="s">
        <v>150</v>
      </c>
      <c r="AS613" s="49" t="s">
        <v>150</v>
      </c>
      <c r="AT613" s="49" t="s">
        <v>150</v>
      </c>
      <c r="AU613" s="49" t="s">
        <v>150</v>
      </c>
      <c r="AV613" s="49" t="s">
        <v>150</v>
      </c>
      <c r="AZ613" s="46" t="str">
        <f t="shared" si="385"/>
        <v>75.01%-80.00%</v>
      </c>
      <c r="BA613" s="49" t="s">
        <v>150</v>
      </c>
      <c r="BB613" s="49" t="s">
        <v>150</v>
      </c>
      <c r="BC613" s="49" t="s">
        <v>150</v>
      </c>
      <c r="BD613" s="49" t="s">
        <v>150</v>
      </c>
      <c r="BE613" s="49" t="s">
        <v>150</v>
      </c>
      <c r="BF613" s="49" t="s">
        <v>150</v>
      </c>
    </row>
    <row r="614" spans="2:58" ht="15" hidden="1" customHeight="1" x14ac:dyDescent="0.45">
      <c r="B614" s="52" t="s">
        <v>151</v>
      </c>
      <c r="C614" s="53" t="s">
        <v>150</v>
      </c>
      <c r="D614" s="53" t="s">
        <v>150</v>
      </c>
      <c r="E614" s="54" t="s">
        <v>150</v>
      </c>
      <c r="F614" s="54" t="s">
        <v>150</v>
      </c>
      <c r="G614" s="54" t="s">
        <v>150</v>
      </c>
      <c r="H614" s="54" t="s">
        <v>150</v>
      </c>
      <c r="L614" s="52" t="s">
        <v>151</v>
      </c>
      <c r="M614" s="54" t="s">
        <v>150</v>
      </c>
      <c r="N614" s="54" t="s">
        <v>150</v>
      </c>
      <c r="O614" s="54" t="s">
        <v>150</v>
      </c>
      <c r="P614" s="54" t="s">
        <v>150</v>
      </c>
      <c r="Q614" s="54" t="s">
        <v>150</v>
      </c>
      <c r="R614" s="54" t="s">
        <v>150</v>
      </c>
      <c r="S614" s="55"/>
      <c r="T614" s="56"/>
      <c r="V614" s="52" t="str">
        <f t="shared" si="382"/>
        <v>FICO 700+</v>
      </c>
      <c r="W614" s="53" t="s">
        <v>150</v>
      </c>
      <c r="X614" s="53" t="s">
        <v>150</v>
      </c>
      <c r="Y614" s="54" t="s">
        <v>150</v>
      </c>
      <c r="Z614" s="54" t="s">
        <v>150</v>
      </c>
      <c r="AA614" s="54" t="s">
        <v>150</v>
      </c>
      <c r="AB614" s="54" t="s">
        <v>150</v>
      </c>
      <c r="AF614" s="52" t="str">
        <f t="shared" si="383"/>
        <v>FICO 700+</v>
      </c>
      <c r="AG614" s="54" t="s">
        <v>150</v>
      </c>
      <c r="AH614" s="54" t="s">
        <v>150</v>
      </c>
      <c r="AI614" s="54" t="s">
        <v>150</v>
      </c>
      <c r="AJ614" s="54" t="s">
        <v>150</v>
      </c>
      <c r="AK614" s="54" t="s">
        <v>150</v>
      </c>
      <c r="AL614" s="54" t="s">
        <v>150</v>
      </c>
      <c r="AM614" s="55"/>
      <c r="AN614" s="56"/>
      <c r="AP614" s="52" t="str">
        <f t="shared" si="384"/>
        <v>FICO 700+</v>
      </c>
      <c r="AQ614" s="53" t="s">
        <v>150</v>
      </c>
      <c r="AR614" s="53" t="s">
        <v>150</v>
      </c>
      <c r="AS614" s="54" t="s">
        <v>150</v>
      </c>
      <c r="AT614" s="54" t="s">
        <v>150</v>
      </c>
      <c r="AU614" s="54" t="s">
        <v>150</v>
      </c>
      <c r="AV614" s="54" t="s">
        <v>150</v>
      </c>
      <c r="AZ614" s="52" t="str">
        <f t="shared" si="385"/>
        <v>FICO 700+</v>
      </c>
      <c r="BA614" s="54" t="s">
        <v>150</v>
      </c>
      <c r="BB614" s="54" t="s">
        <v>150</v>
      </c>
      <c r="BC614" s="54" t="s">
        <v>150</v>
      </c>
      <c r="BD614" s="54" t="s">
        <v>150</v>
      </c>
      <c r="BE614" s="54" t="s">
        <v>150</v>
      </c>
      <c r="BF614" s="54" t="s">
        <v>150</v>
      </c>
    </row>
    <row r="615" spans="2:58" ht="15" hidden="1" customHeight="1" x14ac:dyDescent="0.45">
      <c r="B615" s="52" t="s">
        <v>152</v>
      </c>
      <c r="C615" s="53" t="s">
        <v>150</v>
      </c>
      <c r="D615" s="53" t="s">
        <v>150</v>
      </c>
      <c r="E615" s="54" t="s">
        <v>150</v>
      </c>
      <c r="F615" s="54" t="s">
        <v>150</v>
      </c>
      <c r="G615" s="54" t="s">
        <v>150</v>
      </c>
      <c r="H615" s="54" t="s">
        <v>150</v>
      </c>
      <c r="L615" s="52" t="s">
        <v>152</v>
      </c>
      <c r="M615" s="54" t="s">
        <v>150</v>
      </c>
      <c r="N615" s="54" t="s">
        <v>150</v>
      </c>
      <c r="O615" s="54" t="s">
        <v>150</v>
      </c>
      <c r="P615" s="54" t="s">
        <v>150</v>
      </c>
      <c r="Q615" s="54" t="s">
        <v>150</v>
      </c>
      <c r="R615" s="54" t="s">
        <v>150</v>
      </c>
      <c r="S615" s="55"/>
      <c r="T615" s="56"/>
      <c r="V615" s="52" t="str">
        <f t="shared" si="382"/>
        <v>FICO 660-699</v>
      </c>
      <c r="W615" s="53" t="s">
        <v>150</v>
      </c>
      <c r="X615" s="53" t="s">
        <v>150</v>
      </c>
      <c r="Y615" s="54" t="s">
        <v>150</v>
      </c>
      <c r="Z615" s="54" t="s">
        <v>150</v>
      </c>
      <c r="AA615" s="54" t="s">
        <v>150</v>
      </c>
      <c r="AB615" s="54" t="s">
        <v>150</v>
      </c>
      <c r="AF615" s="52" t="str">
        <f t="shared" si="383"/>
        <v>FICO 660-699</v>
      </c>
      <c r="AG615" s="54" t="s">
        <v>150</v>
      </c>
      <c r="AH615" s="54" t="s">
        <v>150</v>
      </c>
      <c r="AI615" s="54" t="s">
        <v>150</v>
      </c>
      <c r="AJ615" s="54" t="s">
        <v>150</v>
      </c>
      <c r="AK615" s="54" t="s">
        <v>150</v>
      </c>
      <c r="AL615" s="54" t="s">
        <v>150</v>
      </c>
      <c r="AM615" s="55"/>
      <c r="AN615" s="56"/>
      <c r="AP615" s="52" t="str">
        <f t="shared" si="384"/>
        <v>FICO 660-699</v>
      </c>
      <c r="AQ615" s="53" t="s">
        <v>150</v>
      </c>
      <c r="AR615" s="53" t="s">
        <v>150</v>
      </c>
      <c r="AS615" s="54" t="s">
        <v>150</v>
      </c>
      <c r="AT615" s="54" t="s">
        <v>150</v>
      </c>
      <c r="AU615" s="54" t="s">
        <v>150</v>
      </c>
      <c r="AV615" s="54" t="s">
        <v>150</v>
      </c>
      <c r="AZ615" s="52" t="str">
        <f t="shared" si="385"/>
        <v>FICO 660-699</v>
      </c>
      <c r="BA615" s="54" t="s">
        <v>150</v>
      </c>
      <c r="BB615" s="54" t="s">
        <v>150</v>
      </c>
      <c r="BC615" s="54" t="s">
        <v>150</v>
      </c>
      <c r="BD615" s="54" t="s">
        <v>150</v>
      </c>
      <c r="BE615" s="54" t="s">
        <v>150</v>
      </c>
      <c r="BF615" s="54" t="s">
        <v>150</v>
      </c>
    </row>
    <row r="616" spans="2:58" ht="15" hidden="1" customHeight="1" x14ac:dyDescent="0.45">
      <c r="B616" s="57" t="s">
        <v>153</v>
      </c>
      <c r="C616" s="59" t="s">
        <v>150</v>
      </c>
      <c r="D616" s="59" t="s">
        <v>150</v>
      </c>
      <c r="E616" s="59" t="s">
        <v>150</v>
      </c>
      <c r="F616" s="59" t="s">
        <v>150</v>
      </c>
      <c r="G616" s="59" t="s">
        <v>150</v>
      </c>
      <c r="H616" s="59" t="s">
        <v>150</v>
      </c>
      <c r="L616" s="57" t="s">
        <v>153</v>
      </c>
      <c r="M616" s="59" t="s">
        <v>150</v>
      </c>
      <c r="N616" s="59" t="s">
        <v>150</v>
      </c>
      <c r="O616" s="59" t="s">
        <v>150</v>
      </c>
      <c r="P616" s="59" t="s">
        <v>150</v>
      </c>
      <c r="Q616" s="59" t="s">
        <v>150</v>
      </c>
      <c r="R616" s="59" t="s">
        <v>150</v>
      </c>
      <c r="S616" s="55"/>
      <c r="T616" s="56"/>
      <c r="V616" s="57" t="str">
        <f t="shared" si="382"/>
        <v>FICO 640-659</v>
      </c>
      <c r="W616" s="59" t="s">
        <v>150</v>
      </c>
      <c r="X616" s="59" t="s">
        <v>150</v>
      </c>
      <c r="Y616" s="59" t="s">
        <v>150</v>
      </c>
      <c r="Z616" s="59" t="s">
        <v>150</v>
      </c>
      <c r="AA616" s="59" t="s">
        <v>150</v>
      </c>
      <c r="AB616" s="59" t="s">
        <v>150</v>
      </c>
      <c r="AF616" s="57" t="str">
        <f t="shared" si="383"/>
        <v>FICO 640-659</v>
      </c>
      <c r="AG616" s="59" t="s">
        <v>150</v>
      </c>
      <c r="AH616" s="59" t="s">
        <v>150</v>
      </c>
      <c r="AI616" s="59" t="s">
        <v>150</v>
      </c>
      <c r="AJ616" s="59" t="s">
        <v>150</v>
      </c>
      <c r="AK616" s="59" t="s">
        <v>150</v>
      </c>
      <c r="AL616" s="59" t="s">
        <v>150</v>
      </c>
      <c r="AM616" s="55"/>
      <c r="AN616" s="56"/>
      <c r="AP616" s="57" t="str">
        <f t="shared" si="384"/>
        <v>FICO 640-659</v>
      </c>
      <c r="AQ616" s="59" t="s">
        <v>150</v>
      </c>
      <c r="AR616" s="59" t="s">
        <v>150</v>
      </c>
      <c r="AS616" s="59" t="s">
        <v>150</v>
      </c>
      <c r="AT616" s="59" t="s">
        <v>150</v>
      </c>
      <c r="AU616" s="59" t="s">
        <v>150</v>
      </c>
      <c r="AV616" s="59" t="s">
        <v>150</v>
      </c>
      <c r="AZ616" s="57" t="str">
        <f t="shared" si="385"/>
        <v>FICO 640-659</v>
      </c>
      <c r="BA616" s="59" t="s">
        <v>150</v>
      </c>
      <c r="BB616" s="59" t="s">
        <v>150</v>
      </c>
      <c r="BC616" s="59" t="s">
        <v>150</v>
      </c>
      <c r="BD616" s="59" t="s">
        <v>150</v>
      </c>
      <c r="BE616" s="59" t="s">
        <v>150</v>
      </c>
      <c r="BF616" s="59" t="s">
        <v>150</v>
      </c>
    </row>
    <row r="617" spans="2:58" ht="15" customHeight="1" x14ac:dyDescent="0.45">
      <c r="B617" s="46" t="s">
        <v>149</v>
      </c>
      <c r="C617" s="49" t="s">
        <v>150</v>
      </c>
      <c r="D617" s="49" t="s">
        <v>150</v>
      </c>
      <c r="E617" s="49" t="s">
        <v>150</v>
      </c>
      <c r="F617" s="49" t="s">
        <v>150</v>
      </c>
      <c r="G617" s="49" t="s">
        <v>150</v>
      </c>
      <c r="H617" s="49" t="s">
        <v>150</v>
      </c>
      <c r="L617" s="46" t="s">
        <v>149</v>
      </c>
      <c r="M617" s="49" t="s">
        <v>150</v>
      </c>
      <c r="N617" s="49" t="s">
        <v>150</v>
      </c>
      <c r="O617" s="49" t="s">
        <v>150</v>
      </c>
      <c r="P617" s="49" t="s">
        <v>150</v>
      </c>
      <c r="Q617" s="49" t="s">
        <v>150</v>
      </c>
      <c r="R617" s="49" t="s">
        <v>150</v>
      </c>
      <c r="S617" s="50"/>
      <c r="T617" s="51"/>
      <c r="V617" s="46" t="str">
        <f t="shared" si="382"/>
        <v>70.01%-75.00%</v>
      </c>
      <c r="W617" s="49" t="s">
        <v>150</v>
      </c>
      <c r="X617" s="49" t="s">
        <v>150</v>
      </c>
      <c r="Y617" s="49" t="s">
        <v>150</v>
      </c>
      <c r="Z617" s="49" t="s">
        <v>150</v>
      </c>
      <c r="AA617" s="49" t="s">
        <v>150</v>
      </c>
      <c r="AB617" s="49" t="s">
        <v>150</v>
      </c>
      <c r="AF617" s="60" t="str">
        <f t="shared" si="383"/>
        <v>70.01%-75.00%</v>
      </c>
      <c r="AG617" s="49" t="s">
        <v>150</v>
      </c>
      <c r="AH617" s="49" t="s">
        <v>150</v>
      </c>
      <c r="AI617" s="49" t="s">
        <v>150</v>
      </c>
      <c r="AJ617" s="49" t="s">
        <v>150</v>
      </c>
      <c r="AK617" s="49" t="s">
        <v>150</v>
      </c>
      <c r="AL617" s="49" t="s">
        <v>150</v>
      </c>
      <c r="AM617" s="50"/>
      <c r="AN617" s="51"/>
      <c r="AP617" s="46" t="str">
        <f t="shared" si="384"/>
        <v>70.01%-75.00%</v>
      </c>
      <c r="AQ617" s="49" t="s">
        <v>150</v>
      </c>
      <c r="AR617" s="49" t="s">
        <v>150</v>
      </c>
      <c r="AS617" s="49" t="s">
        <v>150</v>
      </c>
      <c r="AT617" s="49" t="s">
        <v>150</v>
      </c>
      <c r="AU617" s="49" t="s">
        <v>150</v>
      </c>
      <c r="AV617" s="49" t="s">
        <v>150</v>
      </c>
      <c r="AZ617" s="46" t="str">
        <f t="shared" si="385"/>
        <v>70.01%-75.00%</v>
      </c>
      <c r="BA617" s="49" t="s">
        <v>150</v>
      </c>
      <c r="BB617" s="49" t="s">
        <v>150</v>
      </c>
      <c r="BC617" s="49" t="s">
        <v>150</v>
      </c>
      <c r="BD617" s="49" t="s">
        <v>150</v>
      </c>
      <c r="BE617" s="49" t="s">
        <v>150</v>
      </c>
      <c r="BF617" s="49" t="s">
        <v>150</v>
      </c>
    </row>
    <row r="618" spans="2:58" ht="15" customHeight="1" x14ac:dyDescent="0.45">
      <c r="B618" s="52" t="s">
        <v>151</v>
      </c>
      <c r="C618" s="54" t="s">
        <v>150</v>
      </c>
      <c r="D618" s="54" t="s">
        <v>150</v>
      </c>
      <c r="E618" s="54" t="s">
        <v>150</v>
      </c>
      <c r="F618" s="54" t="s">
        <v>150</v>
      </c>
      <c r="G618" s="54" t="s">
        <v>150</v>
      </c>
      <c r="H618" s="54" t="s">
        <v>150</v>
      </c>
      <c r="L618" s="52" t="s">
        <v>151</v>
      </c>
      <c r="M618" s="54" t="s">
        <v>150</v>
      </c>
      <c r="N618" s="54" t="s">
        <v>150</v>
      </c>
      <c r="O618" s="54" t="s">
        <v>150</v>
      </c>
      <c r="P618" s="54" t="s">
        <v>150</v>
      </c>
      <c r="Q618" s="54" t="s">
        <v>150</v>
      </c>
      <c r="R618" s="54" t="s">
        <v>150</v>
      </c>
      <c r="S618" s="55"/>
      <c r="T618" s="56"/>
      <c r="V618" s="52" t="str">
        <f t="shared" si="382"/>
        <v>FICO 700+</v>
      </c>
      <c r="W618" s="54" t="s">
        <v>150</v>
      </c>
      <c r="X618" s="54" t="s">
        <v>150</v>
      </c>
      <c r="Y618" s="54" t="s">
        <v>150</v>
      </c>
      <c r="Z618" s="54" t="s">
        <v>150</v>
      </c>
      <c r="AA618" s="54" t="s">
        <v>150</v>
      </c>
      <c r="AB618" s="54" t="s">
        <v>150</v>
      </c>
      <c r="AF618" s="52" t="str">
        <f t="shared" si="383"/>
        <v>FICO 700+</v>
      </c>
      <c r="AG618" s="54" t="s">
        <v>150</v>
      </c>
      <c r="AH618" s="54" t="s">
        <v>150</v>
      </c>
      <c r="AI618" s="54" t="s">
        <v>150</v>
      </c>
      <c r="AJ618" s="54" t="s">
        <v>150</v>
      </c>
      <c r="AK618" s="54" t="s">
        <v>150</v>
      </c>
      <c r="AL618" s="54" t="s">
        <v>150</v>
      </c>
      <c r="AM618" s="55"/>
      <c r="AN618" s="56"/>
      <c r="AP618" s="52" t="str">
        <f t="shared" si="384"/>
        <v>FICO 700+</v>
      </c>
      <c r="AQ618" s="54" t="s">
        <v>150</v>
      </c>
      <c r="AR618" s="54" t="s">
        <v>150</v>
      </c>
      <c r="AS618" s="54" t="s">
        <v>150</v>
      </c>
      <c r="AT618" s="54" t="s">
        <v>150</v>
      </c>
      <c r="AU618" s="54" t="s">
        <v>150</v>
      </c>
      <c r="AV618" s="54" t="s">
        <v>150</v>
      </c>
      <c r="AZ618" s="52" t="str">
        <f t="shared" si="385"/>
        <v>FICO 700+</v>
      </c>
      <c r="BA618" s="54" t="s">
        <v>150</v>
      </c>
      <c r="BB618" s="54" t="s">
        <v>150</v>
      </c>
      <c r="BC618" s="54" t="s">
        <v>150</v>
      </c>
      <c r="BD618" s="54" t="s">
        <v>150</v>
      </c>
      <c r="BE618" s="54" t="s">
        <v>150</v>
      </c>
      <c r="BF618" s="54" t="s">
        <v>150</v>
      </c>
    </row>
    <row r="619" spans="2:58" ht="15" customHeight="1" x14ac:dyDescent="0.45">
      <c r="B619" s="52" t="s">
        <v>152</v>
      </c>
      <c r="C619" s="54" t="s">
        <v>150</v>
      </c>
      <c r="D619" s="54" t="s">
        <v>150</v>
      </c>
      <c r="E619" s="54" t="s">
        <v>150</v>
      </c>
      <c r="F619" s="54" t="s">
        <v>150</v>
      </c>
      <c r="G619" s="54" t="s">
        <v>150</v>
      </c>
      <c r="H619" s="54" t="s">
        <v>150</v>
      </c>
      <c r="L619" s="52" t="s">
        <v>152</v>
      </c>
      <c r="M619" s="54" t="s">
        <v>150</v>
      </c>
      <c r="N619" s="54" t="s">
        <v>150</v>
      </c>
      <c r="O619" s="54" t="s">
        <v>150</v>
      </c>
      <c r="P619" s="54" t="s">
        <v>150</v>
      </c>
      <c r="Q619" s="54" t="s">
        <v>150</v>
      </c>
      <c r="R619" s="54" t="s">
        <v>150</v>
      </c>
      <c r="S619" s="55"/>
      <c r="T619" s="56"/>
      <c r="V619" s="52" t="str">
        <f t="shared" si="382"/>
        <v>FICO 660-699</v>
      </c>
      <c r="W619" s="54" t="s">
        <v>150</v>
      </c>
      <c r="X619" s="54" t="s">
        <v>150</v>
      </c>
      <c r="Y619" s="54" t="s">
        <v>150</v>
      </c>
      <c r="Z619" s="54" t="s">
        <v>150</v>
      </c>
      <c r="AA619" s="54" t="s">
        <v>150</v>
      </c>
      <c r="AB619" s="54" t="s">
        <v>150</v>
      </c>
      <c r="AF619" s="52" t="str">
        <f t="shared" si="383"/>
        <v>FICO 660-699</v>
      </c>
      <c r="AG619" s="54" t="s">
        <v>150</v>
      </c>
      <c r="AH619" s="54" t="s">
        <v>150</v>
      </c>
      <c r="AI619" s="54" t="s">
        <v>150</v>
      </c>
      <c r="AJ619" s="54" t="s">
        <v>150</v>
      </c>
      <c r="AK619" s="54" t="s">
        <v>150</v>
      </c>
      <c r="AL619" s="54" t="s">
        <v>150</v>
      </c>
      <c r="AM619" s="55"/>
      <c r="AN619" s="56"/>
      <c r="AP619" s="52" t="str">
        <f t="shared" si="384"/>
        <v>FICO 660-699</v>
      </c>
      <c r="AQ619" s="54" t="s">
        <v>150</v>
      </c>
      <c r="AR619" s="54" t="s">
        <v>150</v>
      </c>
      <c r="AS619" s="54" t="s">
        <v>150</v>
      </c>
      <c r="AT619" s="54" t="s">
        <v>150</v>
      </c>
      <c r="AU619" s="54" t="s">
        <v>150</v>
      </c>
      <c r="AV619" s="54" t="s">
        <v>150</v>
      </c>
      <c r="AZ619" s="52" t="str">
        <f t="shared" si="385"/>
        <v>FICO 660-699</v>
      </c>
      <c r="BA619" s="54" t="s">
        <v>150</v>
      </c>
      <c r="BB619" s="54" t="s">
        <v>150</v>
      </c>
      <c r="BC619" s="54" t="s">
        <v>150</v>
      </c>
      <c r="BD619" s="54" t="s">
        <v>150</v>
      </c>
      <c r="BE619" s="54" t="s">
        <v>150</v>
      </c>
      <c r="BF619" s="54" t="s">
        <v>150</v>
      </c>
    </row>
    <row r="620" spans="2:58" ht="15" customHeight="1" x14ac:dyDescent="0.45">
      <c r="B620" s="57" t="s">
        <v>153</v>
      </c>
      <c r="C620" s="59" t="s">
        <v>150</v>
      </c>
      <c r="D620" s="59" t="s">
        <v>150</v>
      </c>
      <c r="E620" s="59" t="s">
        <v>150</v>
      </c>
      <c r="F620" s="59" t="s">
        <v>150</v>
      </c>
      <c r="G620" s="59" t="s">
        <v>150</v>
      </c>
      <c r="H620" s="59" t="s">
        <v>150</v>
      </c>
      <c r="L620" s="57" t="s">
        <v>153</v>
      </c>
      <c r="M620" s="59" t="s">
        <v>150</v>
      </c>
      <c r="N620" s="59" t="s">
        <v>150</v>
      </c>
      <c r="O620" s="59" t="s">
        <v>150</v>
      </c>
      <c r="P620" s="59" t="s">
        <v>150</v>
      </c>
      <c r="Q620" s="59" t="s">
        <v>150</v>
      </c>
      <c r="R620" s="59" t="s">
        <v>150</v>
      </c>
      <c r="S620" s="55"/>
      <c r="T620" s="56"/>
      <c r="V620" s="57" t="str">
        <f t="shared" si="382"/>
        <v>FICO 640-659</v>
      </c>
      <c r="W620" s="59" t="s">
        <v>150</v>
      </c>
      <c r="X620" s="59" t="s">
        <v>150</v>
      </c>
      <c r="Y620" s="59" t="s">
        <v>150</v>
      </c>
      <c r="Z620" s="59" t="s">
        <v>150</v>
      </c>
      <c r="AA620" s="59" t="s">
        <v>150</v>
      </c>
      <c r="AB620" s="59" t="s">
        <v>150</v>
      </c>
      <c r="AF620" s="57" t="str">
        <f t="shared" si="383"/>
        <v>FICO 640-659</v>
      </c>
      <c r="AG620" s="59" t="s">
        <v>150</v>
      </c>
      <c r="AH620" s="59" t="s">
        <v>150</v>
      </c>
      <c r="AI620" s="59" t="s">
        <v>150</v>
      </c>
      <c r="AJ620" s="59" t="s">
        <v>150</v>
      </c>
      <c r="AK620" s="59" t="s">
        <v>150</v>
      </c>
      <c r="AL620" s="59" t="s">
        <v>150</v>
      </c>
      <c r="AM620" s="55"/>
      <c r="AN620" s="56"/>
      <c r="AP620" s="57" t="str">
        <f t="shared" si="384"/>
        <v>FICO 640-659</v>
      </c>
      <c r="AQ620" s="59" t="s">
        <v>150</v>
      </c>
      <c r="AR620" s="59" t="s">
        <v>150</v>
      </c>
      <c r="AS620" s="59" t="s">
        <v>150</v>
      </c>
      <c r="AT620" s="59" t="s">
        <v>150</v>
      </c>
      <c r="AU620" s="59" t="s">
        <v>150</v>
      </c>
      <c r="AV620" s="59" t="s">
        <v>150</v>
      </c>
      <c r="AZ620" s="57" t="str">
        <f t="shared" si="385"/>
        <v>FICO 640-659</v>
      </c>
      <c r="BA620" s="59" t="s">
        <v>150</v>
      </c>
      <c r="BB620" s="59" t="s">
        <v>150</v>
      </c>
      <c r="BC620" s="59" t="s">
        <v>150</v>
      </c>
      <c r="BD620" s="59" t="s">
        <v>150</v>
      </c>
      <c r="BE620" s="59" t="s">
        <v>150</v>
      </c>
      <c r="BF620" s="59" t="s">
        <v>150</v>
      </c>
    </row>
    <row r="621" spans="2:58" ht="15" customHeight="1" x14ac:dyDescent="0.45">
      <c r="B621" s="46" t="s">
        <v>154</v>
      </c>
      <c r="C621" s="64" t="s">
        <v>150</v>
      </c>
      <c r="D621" s="64" t="s">
        <v>150</v>
      </c>
      <c r="E621" s="64" t="s">
        <v>150</v>
      </c>
      <c r="F621" s="64" t="s">
        <v>150</v>
      </c>
      <c r="G621" s="64" t="s">
        <v>150</v>
      </c>
      <c r="H621" s="64" t="s">
        <v>150</v>
      </c>
      <c r="L621" s="46" t="s">
        <v>154</v>
      </c>
      <c r="M621" s="64" t="s">
        <v>150</v>
      </c>
      <c r="N621" s="64" t="s">
        <v>150</v>
      </c>
      <c r="O621" s="64" t="s">
        <v>150</v>
      </c>
      <c r="P621" s="64" t="s">
        <v>150</v>
      </c>
      <c r="Q621" s="64" t="s">
        <v>150</v>
      </c>
      <c r="R621" s="64" t="s">
        <v>150</v>
      </c>
      <c r="S621" s="50"/>
      <c r="T621" s="51"/>
      <c r="V621" s="46" t="str">
        <f t="shared" si="382"/>
        <v>65.00%-70.00%</v>
      </c>
      <c r="W621" s="64" t="s">
        <v>150</v>
      </c>
      <c r="X621" s="64" t="s">
        <v>150</v>
      </c>
      <c r="Y621" s="64" t="s">
        <v>150</v>
      </c>
      <c r="Z621" s="64" t="s">
        <v>150</v>
      </c>
      <c r="AA621" s="64" t="s">
        <v>150</v>
      </c>
      <c r="AB621" s="64" t="s">
        <v>150</v>
      </c>
      <c r="AF621" s="60" t="str">
        <f t="shared" si="383"/>
        <v>65.00%-70.00%</v>
      </c>
      <c r="AG621" s="64" t="s">
        <v>150</v>
      </c>
      <c r="AH621" s="64" t="s">
        <v>150</v>
      </c>
      <c r="AI621" s="64" t="s">
        <v>150</v>
      </c>
      <c r="AJ621" s="64" t="s">
        <v>150</v>
      </c>
      <c r="AK621" s="64" t="s">
        <v>150</v>
      </c>
      <c r="AL621" s="64" t="s">
        <v>150</v>
      </c>
      <c r="AM621" s="50"/>
      <c r="AN621" s="51"/>
      <c r="AP621" s="46" t="str">
        <f t="shared" si="384"/>
        <v>65.00%-70.00%</v>
      </c>
      <c r="AQ621" s="64" t="s">
        <v>150</v>
      </c>
      <c r="AR621" s="64" t="s">
        <v>150</v>
      </c>
      <c r="AS621" s="64" t="s">
        <v>150</v>
      </c>
      <c r="AT621" s="64" t="s">
        <v>150</v>
      </c>
      <c r="AU621" s="64" t="s">
        <v>150</v>
      </c>
      <c r="AV621" s="64" t="s">
        <v>150</v>
      </c>
      <c r="AZ621" s="46" t="str">
        <f t="shared" si="385"/>
        <v>65.00%-70.00%</v>
      </c>
      <c r="BA621" s="64" t="s">
        <v>150</v>
      </c>
      <c r="BB621" s="64" t="s">
        <v>150</v>
      </c>
      <c r="BC621" s="64" t="s">
        <v>150</v>
      </c>
      <c r="BD621" s="64" t="s">
        <v>150</v>
      </c>
      <c r="BE621" s="64" t="s">
        <v>150</v>
      </c>
      <c r="BF621" s="64" t="s">
        <v>150</v>
      </c>
    </row>
    <row r="622" spans="2:58" ht="15" customHeight="1" x14ac:dyDescent="0.45">
      <c r="B622" s="52" t="s">
        <v>151</v>
      </c>
      <c r="C622" s="54" t="s">
        <v>150</v>
      </c>
      <c r="D622" s="54" t="s">
        <v>150</v>
      </c>
      <c r="E622" s="54" t="s">
        <v>150</v>
      </c>
      <c r="F622" s="54" t="s">
        <v>150</v>
      </c>
      <c r="G622" s="54" t="s">
        <v>150</v>
      </c>
      <c r="H622" s="54" t="s">
        <v>150</v>
      </c>
      <c r="L622" s="52" t="s">
        <v>151</v>
      </c>
      <c r="M622" s="54" t="s">
        <v>150</v>
      </c>
      <c r="N622" s="54" t="s">
        <v>150</v>
      </c>
      <c r="O622" s="54" t="s">
        <v>150</v>
      </c>
      <c r="P622" s="54" t="s">
        <v>150</v>
      </c>
      <c r="Q622" s="54" t="s">
        <v>150</v>
      </c>
      <c r="R622" s="54" t="s">
        <v>150</v>
      </c>
      <c r="S622" s="55"/>
      <c r="T622" s="56"/>
      <c r="V622" s="52" t="str">
        <f t="shared" si="382"/>
        <v>FICO 700+</v>
      </c>
      <c r="W622" s="54" t="s">
        <v>150</v>
      </c>
      <c r="X622" s="54" t="s">
        <v>150</v>
      </c>
      <c r="Y622" s="54" t="s">
        <v>150</v>
      </c>
      <c r="Z622" s="54" t="s">
        <v>150</v>
      </c>
      <c r="AA622" s="54" t="s">
        <v>150</v>
      </c>
      <c r="AB622" s="54" t="s">
        <v>150</v>
      </c>
      <c r="AF622" s="52" t="str">
        <f t="shared" si="383"/>
        <v>FICO 700+</v>
      </c>
      <c r="AG622" s="54" t="s">
        <v>150</v>
      </c>
      <c r="AH622" s="54" t="s">
        <v>150</v>
      </c>
      <c r="AI622" s="54" t="s">
        <v>150</v>
      </c>
      <c r="AJ622" s="54" t="s">
        <v>150</v>
      </c>
      <c r="AK622" s="54" t="s">
        <v>150</v>
      </c>
      <c r="AL622" s="54" t="s">
        <v>150</v>
      </c>
      <c r="AM622" s="55"/>
      <c r="AN622" s="56"/>
      <c r="AP622" s="52" t="str">
        <f t="shared" si="384"/>
        <v>FICO 700+</v>
      </c>
      <c r="AQ622" s="54" t="s">
        <v>150</v>
      </c>
      <c r="AR622" s="54" t="s">
        <v>150</v>
      </c>
      <c r="AS622" s="54" t="s">
        <v>150</v>
      </c>
      <c r="AT622" s="54" t="s">
        <v>150</v>
      </c>
      <c r="AU622" s="54" t="s">
        <v>150</v>
      </c>
      <c r="AV622" s="54" t="s">
        <v>150</v>
      </c>
      <c r="AZ622" s="52" t="str">
        <f t="shared" si="385"/>
        <v>FICO 700+</v>
      </c>
      <c r="BA622" s="54" t="s">
        <v>150</v>
      </c>
      <c r="BB622" s="54" t="s">
        <v>150</v>
      </c>
      <c r="BC622" s="54" t="s">
        <v>150</v>
      </c>
      <c r="BD622" s="54" t="s">
        <v>150</v>
      </c>
      <c r="BE622" s="54" t="s">
        <v>150</v>
      </c>
      <c r="BF622" s="54" t="s">
        <v>150</v>
      </c>
    </row>
    <row r="623" spans="2:58" ht="15" customHeight="1" x14ac:dyDescent="0.45">
      <c r="B623" s="52" t="s">
        <v>152</v>
      </c>
      <c r="C623" s="54" t="s">
        <v>150</v>
      </c>
      <c r="D623" s="54" t="s">
        <v>150</v>
      </c>
      <c r="E623" s="54" t="s">
        <v>150</v>
      </c>
      <c r="F623" s="54" t="s">
        <v>150</v>
      </c>
      <c r="G623" s="54" t="s">
        <v>150</v>
      </c>
      <c r="H623" s="54" t="s">
        <v>150</v>
      </c>
      <c r="L623" s="52" t="s">
        <v>152</v>
      </c>
      <c r="M623" s="54" t="s">
        <v>150</v>
      </c>
      <c r="N623" s="54" t="s">
        <v>150</v>
      </c>
      <c r="O623" s="54" t="s">
        <v>150</v>
      </c>
      <c r="P623" s="54" t="s">
        <v>150</v>
      </c>
      <c r="Q623" s="54" t="s">
        <v>150</v>
      </c>
      <c r="R623" s="54" t="s">
        <v>150</v>
      </c>
      <c r="S623" s="55"/>
      <c r="T623" s="56"/>
      <c r="V623" s="52" t="str">
        <f t="shared" si="382"/>
        <v>FICO 660-699</v>
      </c>
      <c r="W623" s="54" t="s">
        <v>150</v>
      </c>
      <c r="X623" s="54" t="s">
        <v>150</v>
      </c>
      <c r="Y623" s="54" t="s">
        <v>150</v>
      </c>
      <c r="Z623" s="54" t="s">
        <v>150</v>
      </c>
      <c r="AA623" s="54" t="s">
        <v>150</v>
      </c>
      <c r="AB623" s="54" t="s">
        <v>150</v>
      </c>
      <c r="AF623" s="52" t="str">
        <f t="shared" si="383"/>
        <v>FICO 660-699</v>
      </c>
      <c r="AG623" s="54" t="s">
        <v>150</v>
      </c>
      <c r="AH623" s="54" t="s">
        <v>150</v>
      </c>
      <c r="AI623" s="54" t="s">
        <v>150</v>
      </c>
      <c r="AJ623" s="54" t="s">
        <v>150</v>
      </c>
      <c r="AK623" s="54" t="s">
        <v>150</v>
      </c>
      <c r="AL623" s="54" t="s">
        <v>150</v>
      </c>
      <c r="AM623" s="55"/>
      <c r="AN623" s="56"/>
      <c r="AP623" s="52" t="str">
        <f t="shared" si="384"/>
        <v>FICO 660-699</v>
      </c>
      <c r="AQ623" s="54" t="s">
        <v>150</v>
      </c>
      <c r="AR623" s="54" t="s">
        <v>150</v>
      </c>
      <c r="AS623" s="54" t="s">
        <v>150</v>
      </c>
      <c r="AT623" s="54" t="s">
        <v>150</v>
      </c>
      <c r="AU623" s="54" t="s">
        <v>150</v>
      </c>
      <c r="AV623" s="54" t="s">
        <v>150</v>
      </c>
      <c r="AZ623" s="52" t="str">
        <f t="shared" si="385"/>
        <v>FICO 660-699</v>
      </c>
      <c r="BA623" s="54" t="s">
        <v>150</v>
      </c>
      <c r="BB623" s="54" t="s">
        <v>150</v>
      </c>
      <c r="BC623" s="54" t="s">
        <v>150</v>
      </c>
      <c r="BD623" s="54" t="s">
        <v>150</v>
      </c>
      <c r="BE623" s="54" t="s">
        <v>150</v>
      </c>
      <c r="BF623" s="54" t="s">
        <v>150</v>
      </c>
    </row>
    <row r="624" spans="2:58" ht="15" customHeight="1" x14ac:dyDescent="0.45">
      <c r="B624" s="57" t="s">
        <v>153</v>
      </c>
      <c r="C624" s="59" t="s">
        <v>150</v>
      </c>
      <c r="D624" s="59" t="s">
        <v>150</v>
      </c>
      <c r="E624" s="59" t="s">
        <v>150</v>
      </c>
      <c r="F624" s="59" t="s">
        <v>150</v>
      </c>
      <c r="G624" s="59" t="s">
        <v>150</v>
      </c>
      <c r="H624" s="59" t="s">
        <v>150</v>
      </c>
      <c r="L624" s="57" t="s">
        <v>153</v>
      </c>
      <c r="M624" s="59" t="s">
        <v>150</v>
      </c>
      <c r="N624" s="59" t="s">
        <v>150</v>
      </c>
      <c r="O624" s="59" t="s">
        <v>150</v>
      </c>
      <c r="P624" s="59" t="s">
        <v>150</v>
      </c>
      <c r="Q624" s="59" t="s">
        <v>150</v>
      </c>
      <c r="R624" s="59" t="s">
        <v>150</v>
      </c>
      <c r="S624" s="55"/>
      <c r="T624" s="56"/>
      <c r="V624" s="57" t="s">
        <v>153</v>
      </c>
      <c r="W624" s="59" t="s">
        <v>150</v>
      </c>
      <c r="X624" s="59" t="s">
        <v>150</v>
      </c>
      <c r="Y624" s="59" t="s">
        <v>150</v>
      </c>
      <c r="Z624" s="59" t="s">
        <v>150</v>
      </c>
      <c r="AA624" s="59" t="s">
        <v>150</v>
      </c>
      <c r="AB624" s="59" t="s">
        <v>150</v>
      </c>
      <c r="AF624" s="57" t="str">
        <f t="shared" si="383"/>
        <v>FICO 640-659</v>
      </c>
      <c r="AG624" s="59" t="s">
        <v>150</v>
      </c>
      <c r="AH624" s="59" t="s">
        <v>150</v>
      </c>
      <c r="AI624" s="59" t="s">
        <v>150</v>
      </c>
      <c r="AJ624" s="59" t="s">
        <v>150</v>
      </c>
      <c r="AK624" s="59" t="s">
        <v>150</v>
      </c>
      <c r="AL624" s="59" t="s">
        <v>150</v>
      </c>
      <c r="AM624" s="55"/>
      <c r="AN624" s="56"/>
      <c r="AP624" s="57" t="str">
        <f t="shared" si="384"/>
        <v>FICO 640-659</v>
      </c>
      <c r="AQ624" s="59" t="s">
        <v>150</v>
      </c>
      <c r="AR624" s="59" t="s">
        <v>150</v>
      </c>
      <c r="AS624" s="59" t="s">
        <v>150</v>
      </c>
      <c r="AT624" s="59" t="s">
        <v>150</v>
      </c>
      <c r="AU624" s="59" t="s">
        <v>150</v>
      </c>
      <c r="AV624" s="59" t="s">
        <v>150</v>
      </c>
      <c r="AZ624" s="57" t="str">
        <f t="shared" si="385"/>
        <v>FICO 640-659</v>
      </c>
      <c r="BA624" s="59" t="s">
        <v>150</v>
      </c>
      <c r="BB624" s="59" t="s">
        <v>150</v>
      </c>
      <c r="BC624" s="59" t="s">
        <v>150</v>
      </c>
      <c r="BD624" s="59" t="s">
        <v>150</v>
      </c>
      <c r="BE624" s="59" t="s">
        <v>150</v>
      </c>
      <c r="BF624" s="59" t="s">
        <v>150</v>
      </c>
    </row>
    <row r="625" spans="2:58" ht="15" customHeight="1" x14ac:dyDescent="0.45">
      <c r="B625" s="60" t="s">
        <v>155</v>
      </c>
      <c r="C625" s="64" t="s">
        <v>150</v>
      </c>
      <c r="D625" s="64" t="s">
        <v>150</v>
      </c>
      <c r="E625" s="64" t="s">
        <v>150</v>
      </c>
      <c r="F625" s="64" t="s">
        <v>150</v>
      </c>
      <c r="G625" s="64" t="s">
        <v>150</v>
      </c>
      <c r="H625" s="64" t="s">
        <v>150</v>
      </c>
      <c r="L625" s="60" t="s">
        <v>155</v>
      </c>
      <c r="M625" s="64" t="s">
        <v>150</v>
      </c>
      <c r="N625" s="64" t="s">
        <v>150</v>
      </c>
      <c r="O625" s="64" t="s">
        <v>150</v>
      </c>
      <c r="P625" s="64" t="s">
        <v>150</v>
      </c>
      <c r="Q625" s="64" t="s">
        <v>150</v>
      </c>
      <c r="R625" s="64" t="s">
        <v>150</v>
      </c>
      <c r="S625" s="50"/>
      <c r="T625" s="51"/>
      <c r="V625" s="60" t="s">
        <v>155</v>
      </c>
      <c r="W625" s="64" t="s">
        <v>150</v>
      </c>
      <c r="X625" s="64" t="s">
        <v>150</v>
      </c>
      <c r="Y625" s="64" t="s">
        <v>150</v>
      </c>
      <c r="Z625" s="64" t="s">
        <v>150</v>
      </c>
      <c r="AA625" s="64" t="s">
        <v>150</v>
      </c>
      <c r="AB625" s="64" t="s">
        <v>150</v>
      </c>
      <c r="AF625" s="60" t="str">
        <f t="shared" si="383"/>
        <v>&lt;64.99%</v>
      </c>
      <c r="AG625" s="64" t="s">
        <v>150</v>
      </c>
      <c r="AH625" s="64" t="s">
        <v>150</v>
      </c>
      <c r="AI625" s="64" t="s">
        <v>150</v>
      </c>
      <c r="AJ625" s="64" t="s">
        <v>150</v>
      </c>
      <c r="AK625" s="64" t="s">
        <v>150</v>
      </c>
      <c r="AL625" s="64" t="s">
        <v>150</v>
      </c>
      <c r="AM625" s="50"/>
      <c r="AN625" s="51"/>
      <c r="AP625" s="60" t="str">
        <f t="shared" si="384"/>
        <v>&lt;64.99%</v>
      </c>
      <c r="AQ625" s="64" t="s">
        <v>150</v>
      </c>
      <c r="AR625" s="64" t="s">
        <v>150</v>
      </c>
      <c r="AS625" s="64" t="s">
        <v>150</v>
      </c>
      <c r="AT625" s="64" t="s">
        <v>150</v>
      </c>
      <c r="AU625" s="64" t="s">
        <v>150</v>
      </c>
      <c r="AV625" s="64" t="s">
        <v>150</v>
      </c>
      <c r="AZ625" s="60" t="str">
        <f t="shared" si="385"/>
        <v>&lt;64.99%</v>
      </c>
      <c r="BA625" s="64" t="s">
        <v>150</v>
      </c>
      <c r="BB625" s="64" t="s">
        <v>150</v>
      </c>
      <c r="BC625" s="64" t="s">
        <v>150</v>
      </c>
      <c r="BD625" s="64" t="s">
        <v>150</v>
      </c>
      <c r="BE625" s="64" t="s">
        <v>150</v>
      </c>
      <c r="BF625" s="64" t="s">
        <v>150</v>
      </c>
    </row>
    <row r="626" spans="2:58" ht="15" customHeight="1" x14ac:dyDescent="0.45">
      <c r="B626" s="52" t="s">
        <v>151</v>
      </c>
      <c r="C626" s="54" t="s">
        <v>150</v>
      </c>
      <c r="D626" s="54" t="s">
        <v>150</v>
      </c>
      <c r="E626" s="54" t="s">
        <v>150</v>
      </c>
      <c r="F626" s="54" t="s">
        <v>150</v>
      </c>
      <c r="G626" s="54" t="s">
        <v>150</v>
      </c>
      <c r="H626" s="54" t="s">
        <v>150</v>
      </c>
      <c r="L626" s="52" t="s">
        <v>151</v>
      </c>
      <c r="M626" s="54" t="s">
        <v>150</v>
      </c>
      <c r="N626" s="54" t="s">
        <v>150</v>
      </c>
      <c r="O626" s="54" t="s">
        <v>150</v>
      </c>
      <c r="P626" s="54" t="s">
        <v>150</v>
      </c>
      <c r="Q626" s="54" t="s">
        <v>150</v>
      </c>
      <c r="R626" s="54" t="s">
        <v>150</v>
      </c>
      <c r="S626" s="55"/>
      <c r="T626" s="56"/>
      <c r="V626" s="52" t="s">
        <v>151</v>
      </c>
      <c r="W626" s="54" t="s">
        <v>150</v>
      </c>
      <c r="X626" s="54" t="s">
        <v>150</v>
      </c>
      <c r="Y626" s="54" t="s">
        <v>150</v>
      </c>
      <c r="Z626" s="54" t="s">
        <v>150</v>
      </c>
      <c r="AA626" s="54" t="s">
        <v>150</v>
      </c>
      <c r="AB626" s="54" t="s">
        <v>150</v>
      </c>
      <c r="AF626" s="52" t="str">
        <f t="shared" si="383"/>
        <v>FICO 700+</v>
      </c>
      <c r="AG626" s="54" t="s">
        <v>150</v>
      </c>
      <c r="AH626" s="54" t="s">
        <v>150</v>
      </c>
      <c r="AI626" s="54" t="s">
        <v>150</v>
      </c>
      <c r="AJ626" s="54" t="s">
        <v>150</v>
      </c>
      <c r="AK626" s="54" t="s">
        <v>150</v>
      </c>
      <c r="AL626" s="54" t="s">
        <v>150</v>
      </c>
      <c r="AM626" s="55"/>
      <c r="AN626" s="56"/>
      <c r="AP626" s="52" t="str">
        <f t="shared" si="384"/>
        <v>FICO 700+</v>
      </c>
      <c r="AQ626" s="54" t="s">
        <v>150</v>
      </c>
      <c r="AR626" s="54" t="s">
        <v>150</v>
      </c>
      <c r="AS626" s="54" t="s">
        <v>150</v>
      </c>
      <c r="AT626" s="54" t="s">
        <v>150</v>
      </c>
      <c r="AU626" s="54" t="s">
        <v>150</v>
      </c>
      <c r="AV626" s="54" t="s">
        <v>150</v>
      </c>
      <c r="AZ626" s="52" t="str">
        <f t="shared" si="385"/>
        <v>FICO 700+</v>
      </c>
      <c r="BA626" s="54" t="s">
        <v>150</v>
      </c>
      <c r="BB626" s="54" t="s">
        <v>150</v>
      </c>
      <c r="BC626" s="54" t="s">
        <v>150</v>
      </c>
      <c r="BD626" s="54" t="s">
        <v>150</v>
      </c>
      <c r="BE626" s="54" t="s">
        <v>150</v>
      </c>
      <c r="BF626" s="54" t="s">
        <v>150</v>
      </c>
    </row>
    <row r="627" spans="2:58" ht="15" customHeight="1" x14ac:dyDescent="0.45">
      <c r="B627" s="52" t="s">
        <v>152</v>
      </c>
      <c r="C627" s="54" t="s">
        <v>150</v>
      </c>
      <c r="D627" s="54" t="s">
        <v>150</v>
      </c>
      <c r="E627" s="54" t="s">
        <v>150</v>
      </c>
      <c r="F627" s="54" t="s">
        <v>150</v>
      </c>
      <c r="G627" s="54" t="s">
        <v>150</v>
      </c>
      <c r="H627" s="54" t="s">
        <v>150</v>
      </c>
      <c r="L627" s="52" t="s">
        <v>152</v>
      </c>
      <c r="M627" s="54" t="s">
        <v>150</v>
      </c>
      <c r="N627" s="54" t="s">
        <v>150</v>
      </c>
      <c r="O627" s="54" t="s">
        <v>150</v>
      </c>
      <c r="P627" s="54" t="s">
        <v>150</v>
      </c>
      <c r="Q627" s="54" t="s">
        <v>150</v>
      </c>
      <c r="R627" s="54" t="s">
        <v>150</v>
      </c>
      <c r="S627" s="55"/>
      <c r="T627" s="56"/>
      <c r="V627" s="52" t="s">
        <v>152</v>
      </c>
      <c r="W627" s="54" t="s">
        <v>150</v>
      </c>
      <c r="X627" s="54" t="s">
        <v>150</v>
      </c>
      <c r="Y627" s="54" t="s">
        <v>150</v>
      </c>
      <c r="Z627" s="54" t="s">
        <v>150</v>
      </c>
      <c r="AA627" s="54" t="s">
        <v>150</v>
      </c>
      <c r="AB627" s="54" t="s">
        <v>150</v>
      </c>
      <c r="AF627" s="52" t="str">
        <f t="shared" si="383"/>
        <v>FICO 660-699</v>
      </c>
      <c r="AG627" s="54" t="s">
        <v>150</v>
      </c>
      <c r="AH627" s="54" t="s">
        <v>150</v>
      </c>
      <c r="AI627" s="54" t="s">
        <v>150</v>
      </c>
      <c r="AJ627" s="54" t="s">
        <v>150</v>
      </c>
      <c r="AK627" s="54" t="s">
        <v>150</v>
      </c>
      <c r="AL627" s="54" t="s">
        <v>150</v>
      </c>
      <c r="AM627" s="55"/>
      <c r="AN627" s="56"/>
      <c r="AP627" s="52" t="str">
        <f t="shared" si="384"/>
        <v>FICO 660-699</v>
      </c>
      <c r="AQ627" s="54" t="s">
        <v>150</v>
      </c>
      <c r="AR627" s="54" t="s">
        <v>150</v>
      </c>
      <c r="AS627" s="54" t="s">
        <v>150</v>
      </c>
      <c r="AT627" s="54" t="s">
        <v>150</v>
      </c>
      <c r="AU627" s="54" t="s">
        <v>150</v>
      </c>
      <c r="AV627" s="54" t="s">
        <v>150</v>
      </c>
      <c r="AZ627" s="52" t="str">
        <f t="shared" si="385"/>
        <v>FICO 660-699</v>
      </c>
      <c r="BA627" s="54" t="s">
        <v>150</v>
      </c>
      <c r="BB627" s="54" t="s">
        <v>150</v>
      </c>
      <c r="BC627" s="54" t="s">
        <v>150</v>
      </c>
      <c r="BD627" s="54" t="s">
        <v>150</v>
      </c>
      <c r="BE627" s="54" t="s">
        <v>150</v>
      </c>
      <c r="BF627" s="54" t="s">
        <v>150</v>
      </c>
    </row>
    <row r="628" spans="2:58" ht="15" customHeight="1" x14ac:dyDescent="0.45">
      <c r="B628" s="52" t="s">
        <v>153</v>
      </c>
      <c r="C628" s="54" t="s">
        <v>150</v>
      </c>
      <c r="D628" s="54" t="s">
        <v>150</v>
      </c>
      <c r="E628" s="54" t="s">
        <v>150</v>
      </c>
      <c r="F628" s="54" t="s">
        <v>150</v>
      </c>
      <c r="G628" s="54" t="s">
        <v>150</v>
      </c>
      <c r="H628" s="54" t="s">
        <v>150</v>
      </c>
      <c r="L628" s="52" t="s">
        <v>153</v>
      </c>
      <c r="M628" s="54" t="s">
        <v>150</v>
      </c>
      <c r="N628" s="54" t="s">
        <v>150</v>
      </c>
      <c r="O628" s="54" t="s">
        <v>150</v>
      </c>
      <c r="P628" s="54" t="s">
        <v>150</v>
      </c>
      <c r="Q628" s="54" t="s">
        <v>150</v>
      </c>
      <c r="R628" s="54" t="s">
        <v>150</v>
      </c>
      <c r="S628" s="55"/>
      <c r="T628" s="56"/>
      <c r="V628" s="52" t="s">
        <v>153</v>
      </c>
      <c r="W628" s="54" t="s">
        <v>150</v>
      </c>
      <c r="X628" s="54" t="s">
        <v>150</v>
      </c>
      <c r="Y628" s="54" t="s">
        <v>150</v>
      </c>
      <c r="Z628" s="54" t="s">
        <v>150</v>
      </c>
      <c r="AA628" s="54" t="s">
        <v>150</v>
      </c>
      <c r="AB628" s="54" t="s">
        <v>150</v>
      </c>
      <c r="AF628" s="52" t="s">
        <v>153</v>
      </c>
      <c r="AG628" s="54" t="s">
        <v>150</v>
      </c>
      <c r="AH628" s="54" t="s">
        <v>150</v>
      </c>
      <c r="AI628" s="54" t="s">
        <v>150</v>
      </c>
      <c r="AJ628" s="54" t="s">
        <v>150</v>
      </c>
      <c r="AK628" s="54" t="s">
        <v>150</v>
      </c>
      <c r="AL628" s="54" t="s">
        <v>150</v>
      </c>
      <c r="AM628" s="55"/>
      <c r="AN628" s="56"/>
      <c r="AP628" s="52" t="str">
        <f t="shared" si="384"/>
        <v>FICO 640-659</v>
      </c>
      <c r="AQ628" s="54" t="s">
        <v>150</v>
      </c>
      <c r="AR628" s="54" t="s">
        <v>150</v>
      </c>
      <c r="AS628" s="54" t="s">
        <v>150</v>
      </c>
      <c r="AT628" s="54" t="s">
        <v>150</v>
      </c>
      <c r="AU628" s="54" t="s">
        <v>150</v>
      </c>
      <c r="AV628" s="54" t="s">
        <v>150</v>
      </c>
      <c r="AZ628" s="52" t="str">
        <f t="shared" si="385"/>
        <v>FICO 640-659</v>
      </c>
      <c r="BA628" s="54" t="s">
        <v>150</v>
      </c>
      <c r="BB628" s="54" t="s">
        <v>150</v>
      </c>
      <c r="BC628" s="54" t="s">
        <v>150</v>
      </c>
      <c r="BD628" s="54" t="s">
        <v>150</v>
      </c>
      <c r="BE628" s="54" t="s">
        <v>150</v>
      </c>
      <c r="BF628" s="54" t="s">
        <v>150</v>
      </c>
    </row>
    <row r="630" spans="2:58" ht="15.75" customHeight="1" x14ac:dyDescent="0.45">
      <c r="B630" s="94" t="s">
        <v>156</v>
      </c>
      <c r="C630" s="94"/>
      <c r="D630" s="94"/>
      <c r="E630" s="94"/>
      <c r="F630" s="94"/>
      <c r="G630" s="94"/>
      <c r="H630" s="94"/>
      <c r="L630" s="94" t="s">
        <v>156</v>
      </c>
      <c r="M630" s="94"/>
      <c r="N630" s="94"/>
      <c r="O630" s="94"/>
      <c r="P630" s="94"/>
      <c r="Q630" s="94"/>
      <c r="R630" s="94"/>
      <c r="S630" s="39"/>
      <c r="T630" s="40"/>
      <c r="V630" s="94" t="s">
        <v>156</v>
      </c>
      <c r="W630" s="94"/>
      <c r="X630" s="94"/>
      <c r="Y630" s="94"/>
      <c r="Z630" s="94"/>
      <c r="AA630" s="94"/>
      <c r="AB630" s="94"/>
      <c r="AF630" s="94" t="s">
        <v>156</v>
      </c>
      <c r="AG630" s="94"/>
      <c r="AH630" s="94"/>
      <c r="AI630" s="94"/>
      <c r="AJ630" s="94"/>
      <c r="AK630" s="94"/>
      <c r="AL630" s="94"/>
      <c r="AM630" s="39"/>
      <c r="AN630" s="40"/>
      <c r="AP630" s="94" t="s">
        <v>156</v>
      </c>
      <c r="AQ630" s="94"/>
      <c r="AR630" s="94"/>
      <c r="AS630" s="94"/>
      <c r="AT630" s="94"/>
      <c r="AU630" s="94"/>
      <c r="AV630" s="94"/>
      <c r="AZ630" s="94" t="s">
        <v>156</v>
      </c>
      <c r="BA630" s="94"/>
      <c r="BB630" s="94"/>
      <c r="BC630" s="94"/>
      <c r="BD630" s="94"/>
      <c r="BE630" s="94"/>
      <c r="BF630" s="94"/>
    </row>
    <row r="631" spans="2:58" ht="15" customHeight="1" x14ac:dyDescent="0.45">
      <c r="B631" s="45"/>
      <c r="C631" s="95" t="s">
        <v>50</v>
      </c>
      <c r="D631" s="95"/>
      <c r="E631" s="95"/>
      <c r="F631" s="95"/>
      <c r="G631" s="95"/>
      <c r="H631" s="95"/>
      <c r="L631" s="45"/>
      <c r="M631" s="95" t="s">
        <v>50</v>
      </c>
      <c r="N631" s="95"/>
      <c r="O631" s="95"/>
      <c r="P631" s="95"/>
      <c r="Q631" s="95"/>
      <c r="R631" s="95"/>
      <c r="S631" s="41"/>
      <c r="T631" s="43"/>
      <c r="V631" s="45"/>
      <c r="W631" s="95" t="str">
        <f>C631</f>
        <v>LTC</v>
      </c>
      <c r="X631" s="95"/>
      <c r="Y631" s="95"/>
      <c r="Z631" s="95"/>
      <c r="AA631" s="95"/>
      <c r="AB631" s="95"/>
      <c r="AF631" s="45"/>
      <c r="AG631" s="95" t="str">
        <f>W631</f>
        <v>LTC</v>
      </c>
      <c r="AH631" s="95"/>
      <c r="AI631" s="95"/>
      <c r="AJ631" s="95"/>
      <c r="AK631" s="95"/>
      <c r="AL631" s="95"/>
      <c r="AM631" s="41"/>
      <c r="AN631" s="43"/>
      <c r="AP631" s="45"/>
      <c r="AQ631" s="95" t="str">
        <f>C631</f>
        <v>LTC</v>
      </c>
      <c r="AR631" s="95"/>
      <c r="AS631" s="95"/>
      <c r="AT631" s="95"/>
      <c r="AU631" s="95"/>
      <c r="AV631" s="95"/>
      <c r="AZ631" s="45"/>
      <c r="BA631" s="95" t="str">
        <f>C631</f>
        <v>LTC</v>
      </c>
      <c r="BB631" s="95"/>
      <c r="BC631" s="95"/>
      <c r="BD631" s="95"/>
      <c r="BE631" s="95"/>
      <c r="BF631" s="95"/>
    </row>
    <row r="632" spans="2:58" ht="15" customHeight="1" x14ac:dyDescent="0.45">
      <c r="B632" s="44" t="s">
        <v>52</v>
      </c>
      <c r="C632" s="70" t="s">
        <v>143</v>
      </c>
      <c r="D632" s="70" t="s">
        <v>144</v>
      </c>
      <c r="E632" s="70" t="s">
        <v>145</v>
      </c>
      <c r="F632" s="70" t="s">
        <v>146</v>
      </c>
      <c r="G632" s="70" t="s">
        <v>147</v>
      </c>
      <c r="H632" s="70" t="s">
        <v>148</v>
      </c>
      <c r="L632" s="71" t="s">
        <v>52</v>
      </c>
      <c r="M632" s="45" t="s">
        <v>143</v>
      </c>
      <c r="N632" s="45" t="s">
        <v>144</v>
      </c>
      <c r="O632" s="45" t="s">
        <v>145</v>
      </c>
      <c r="P632" s="45" t="s">
        <v>146</v>
      </c>
      <c r="Q632" s="45" t="s">
        <v>147</v>
      </c>
      <c r="R632" s="45" t="s">
        <v>148</v>
      </c>
      <c r="S632" s="41"/>
      <c r="T632" s="43"/>
      <c r="V632" s="44" t="str">
        <f t="shared" ref="V632:V643" si="386">B632</f>
        <v>AR-LTV</v>
      </c>
      <c r="W632" s="70" t="str">
        <f>C632</f>
        <v>&lt;74.99%</v>
      </c>
      <c r="X632" s="70" t="str">
        <f>D632</f>
        <v>75.00%-80.00%</v>
      </c>
      <c r="Y632" s="70" t="str">
        <f>E632</f>
        <v>80.01%-85.00%</v>
      </c>
      <c r="Z632" s="70" t="str">
        <f>F632</f>
        <v>85.01%-87.50%</v>
      </c>
      <c r="AA632" s="70" t="str">
        <f>G632</f>
        <v>87.51%-89.99%</v>
      </c>
      <c r="AB632" s="70" t="str">
        <f>H632</f>
        <v>90.00%-92.50%</v>
      </c>
      <c r="AF632" s="44" t="str">
        <f t="shared" ref="AF632:AF648" si="387">V632</f>
        <v>AR-LTV</v>
      </c>
      <c r="AG632" s="45" t="str">
        <f>W632</f>
        <v>&lt;74.99%</v>
      </c>
      <c r="AH632" s="45" t="str">
        <f>X632</f>
        <v>75.00%-80.00%</v>
      </c>
      <c r="AI632" s="45" t="str">
        <f>Y632</f>
        <v>80.01%-85.00%</v>
      </c>
      <c r="AJ632" s="45" t="str">
        <f>Z632</f>
        <v>85.01%-87.50%</v>
      </c>
      <c r="AK632" s="45" t="str">
        <f>AA632</f>
        <v>87.51%-89.99%</v>
      </c>
      <c r="AL632" s="45" t="str">
        <f>AB632</f>
        <v>90.00%-92.50%</v>
      </c>
      <c r="AM632" s="41"/>
      <c r="AN632" s="43"/>
      <c r="AP632" s="44" t="str">
        <f t="shared" ref="AP632:AP648" si="388">B632</f>
        <v>AR-LTV</v>
      </c>
      <c r="AQ632" s="70" t="str">
        <f>C632</f>
        <v>&lt;74.99%</v>
      </c>
      <c r="AR632" s="70" t="str">
        <f>D632</f>
        <v>75.00%-80.00%</v>
      </c>
      <c r="AS632" s="70" t="str">
        <f>E632</f>
        <v>80.01%-85.00%</v>
      </c>
      <c r="AT632" s="70" t="str">
        <f>F632</f>
        <v>85.01%-87.50%</v>
      </c>
      <c r="AU632" s="70" t="str">
        <f>G632</f>
        <v>87.51%-89.99%</v>
      </c>
      <c r="AV632" s="70" t="str">
        <f>H632</f>
        <v>90.00%-92.50%</v>
      </c>
      <c r="AZ632" s="71" t="str">
        <f t="shared" ref="AZ632:AZ648" si="389">B632</f>
        <v>AR-LTV</v>
      </c>
      <c r="BA632" s="45" t="str">
        <f>C632</f>
        <v>&lt;74.99%</v>
      </c>
      <c r="BB632" s="45" t="str">
        <f>D632</f>
        <v>75.00%-80.00%</v>
      </c>
      <c r="BC632" s="45" t="str">
        <f>E632</f>
        <v>80.01%-85.00%</v>
      </c>
      <c r="BD632" s="45" t="str">
        <f>F632</f>
        <v>85.01%-87.50%</v>
      </c>
      <c r="BE632" s="45" t="str">
        <f>G632</f>
        <v>87.51%-89.99%</v>
      </c>
      <c r="BF632" s="45" t="str">
        <f>H632</f>
        <v>90.00%-92.50%</v>
      </c>
    </row>
    <row r="633" spans="2:58" ht="15" hidden="1" customHeight="1" x14ac:dyDescent="0.45">
      <c r="B633" s="46" t="s">
        <v>164</v>
      </c>
      <c r="C633" s="47" t="s">
        <v>150</v>
      </c>
      <c r="D633" s="47" t="s">
        <v>150</v>
      </c>
      <c r="E633" s="49" t="s">
        <v>150</v>
      </c>
      <c r="F633" s="49" t="s">
        <v>150</v>
      </c>
      <c r="G633" s="49" t="s">
        <v>150</v>
      </c>
      <c r="H633" s="49" t="s">
        <v>150</v>
      </c>
      <c r="L633" s="46" t="s">
        <v>164</v>
      </c>
      <c r="M633" s="49" t="s">
        <v>150</v>
      </c>
      <c r="N633" s="49" t="s">
        <v>150</v>
      </c>
      <c r="O633" s="49" t="s">
        <v>150</v>
      </c>
      <c r="P633" s="49" t="s">
        <v>150</v>
      </c>
      <c r="Q633" s="49" t="s">
        <v>150</v>
      </c>
      <c r="R633" s="49" t="s">
        <v>150</v>
      </c>
      <c r="S633" s="50"/>
      <c r="T633" s="51"/>
      <c r="V633" s="46" t="str">
        <f t="shared" si="386"/>
        <v>75.01%-80.00%</v>
      </c>
      <c r="W633" s="47" t="s">
        <v>150</v>
      </c>
      <c r="X633" s="47" t="s">
        <v>150</v>
      </c>
      <c r="Y633" s="49" t="s">
        <v>150</v>
      </c>
      <c r="Z633" s="49" t="s">
        <v>150</v>
      </c>
      <c r="AA633" s="49" t="s">
        <v>150</v>
      </c>
      <c r="AB633" s="49" t="s">
        <v>150</v>
      </c>
      <c r="AF633" s="46" t="str">
        <f t="shared" si="387"/>
        <v>75.01%-80.00%</v>
      </c>
      <c r="AG633" s="49" t="s">
        <v>150</v>
      </c>
      <c r="AH633" s="49" t="s">
        <v>150</v>
      </c>
      <c r="AI633" s="49" t="s">
        <v>150</v>
      </c>
      <c r="AJ633" s="49" t="s">
        <v>150</v>
      </c>
      <c r="AK633" s="49" t="s">
        <v>150</v>
      </c>
      <c r="AL633" s="49" t="s">
        <v>150</v>
      </c>
      <c r="AM633" s="50"/>
      <c r="AN633" s="51"/>
      <c r="AP633" s="46" t="str">
        <f t="shared" si="388"/>
        <v>75.01%-80.00%</v>
      </c>
      <c r="AQ633" s="47" t="s">
        <v>150</v>
      </c>
      <c r="AR633" s="47" t="s">
        <v>150</v>
      </c>
      <c r="AS633" s="49" t="s">
        <v>150</v>
      </c>
      <c r="AT633" s="49" t="s">
        <v>150</v>
      </c>
      <c r="AU633" s="49" t="s">
        <v>150</v>
      </c>
      <c r="AV633" s="49" t="s">
        <v>150</v>
      </c>
      <c r="AZ633" s="46" t="str">
        <f t="shared" si="389"/>
        <v>75.01%-80.00%</v>
      </c>
      <c r="BA633" s="49" t="s">
        <v>150</v>
      </c>
      <c r="BB633" s="49" t="s">
        <v>150</v>
      </c>
      <c r="BC633" s="49" t="s">
        <v>150</v>
      </c>
      <c r="BD633" s="49" t="s">
        <v>150</v>
      </c>
      <c r="BE633" s="49" t="s">
        <v>150</v>
      </c>
      <c r="BF633" s="49" t="s">
        <v>150</v>
      </c>
    </row>
    <row r="634" spans="2:58" ht="15" hidden="1" customHeight="1" x14ac:dyDescent="0.45">
      <c r="B634" s="52" t="s">
        <v>151</v>
      </c>
      <c r="C634" s="53" t="s">
        <v>150</v>
      </c>
      <c r="D634" s="53" t="s">
        <v>150</v>
      </c>
      <c r="E634" s="54" t="s">
        <v>150</v>
      </c>
      <c r="F634" s="54" t="s">
        <v>150</v>
      </c>
      <c r="G634" s="54" t="s">
        <v>150</v>
      </c>
      <c r="H634" s="54" t="s">
        <v>150</v>
      </c>
      <c r="L634" s="52" t="s">
        <v>151</v>
      </c>
      <c r="M634" s="54" t="s">
        <v>150</v>
      </c>
      <c r="N634" s="54" t="s">
        <v>150</v>
      </c>
      <c r="O634" s="54" t="s">
        <v>150</v>
      </c>
      <c r="P634" s="54" t="s">
        <v>150</v>
      </c>
      <c r="Q634" s="54" t="s">
        <v>150</v>
      </c>
      <c r="R634" s="54" t="s">
        <v>150</v>
      </c>
      <c r="S634" s="55"/>
      <c r="T634" s="56"/>
      <c r="V634" s="52" t="str">
        <f t="shared" si="386"/>
        <v>FICO 700+</v>
      </c>
      <c r="W634" s="53" t="s">
        <v>150</v>
      </c>
      <c r="X634" s="53" t="s">
        <v>150</v>
      </c>
      <c r="Y634" s="54" t="s">
        <v>150</v>
      </c>
      <c r="Z634" s="54" t="s">
        <v>150</v>
      </c>
      <c r="AA634" s="54" t="s">
        <v>150</v>
      </c>
      <c r="AB634" s="54" t="s">
        <v>150</v>
      </c>
      <c r="AF634" s="52" t="str">
        <f t="shared" si="387"/>
        <v>FICO 700+</v>
      </c>
      <c r="AG634" s="54" t="s">
        <v>150</v>
      </c>
      <c r="AH634" s="54" t="s">
        <v>150</v>
      </c>
      <c r="AI634" s="54" t="s">
        <v>150</v>
      </c>
      <c r="AJ634" s="54" t="s">
        <v>150</v>
      </c>
      <c r="AK634" s="54" t="s">
        <v>150</v>
      </c>
      <c r="AL634" s="54" t="s">
        <v>150</v>
      </c>
      <c r="AM634" s="55"/>
      <c r="AN634" s="56"/>
      <c r="AP634" s="52" t="str">
        <f t="shared" si="388"/>
        <v>FICO 700+</v>
      </c>
      <c r="AQ634" s="53" t="s">
        <v>150</v>
      </c>
      <c r="AR634" s="53" t="s">
        <v>150</v>
      </c>
      <c r="AS634" s="54" t="s">
        <v>150</v>
      </c>
      <c r="AT634" s="54" t="s">
        <v>150</v>
      </c>
      <c r="AU634" s="54" t="s">
        <v>150</v>
      </c>
      <c r="AV634" s="54" t="s">
        <v>150</v>
      </c>
      <c r="AZ634" s="52" t="str">
        <f t="shared" si="389"/>
        <v>FICO 700+</v>
      </c>
      <c r="BA634" s="54" t="s">
        <v>150</v>
      </c>
      <c r="BB634" s="54" t="s">
        <v>150</v>
      </c>
      <c r="BC634" s="54" t="s">
        <v>150</v>
      </c>
      <c r="BD634" s="54" t="s">
        <v>150</v>
      </c>
      <c r="BE634" s="54" t="s">
        <v>150</v>
      </c>
      <c r="BF634" s="54" t="s">
        <v>150</v>
      </c>
    </row>
    <row r="635" spans="2:58" ht="15" hidden="1" customHeight="1" x14ac:dyDescent="0.45">
      <c r="B635" s="52" t="s">
        <v>152</v>
      </c>
      <c r="C635" s="53" t="s">
        <v>150</v>
      </c>
      <c r="D635" s="53" t="s">
        <v>150</v>
      </c>
      <c r="E635" s="54" t="s">
        <v>150</v>
      </c>
      <c r="F635" s="54" t="s">
        <v>150</v>
      </c>
      <c r="G635" s="54" t="s">
        <v>150</v>
      </c>
      <c r="H635" s="54" t="s">
        <v>150</v>
      </c>
      <c r="L635" s="52" t="s">
        <v>152</v>
      </c>
      <c r="M635" s="54" t="s">
        <v>150</v>
      </c>
      <c r="N635" s="54" t="s">
        <v>150</v>
      </c>
      <c r="O635" s="54" t="s">
        <v>150</v>
      </c>
      <c r="P635" s="54" t="s">
        <v>150</v>
      </c>
      <c r="Q635" s="54" t="s">
        <v>150</v>
      </c>
      <c r="R635" s="54" t="s">
        <v>150</v>
      </c>
      <c r="S635" s="55"/>
      <c r="T635" s="56"/>
      <c r="V635" s="52" t="str">
        <f t="shared" si="386"/>
        <v>FICO 660-699</v>
      </c>
      <c r="W635" s="53" t="s">
        <v>150</v>
      </c>
      <c r="X635" s="53" t="s">
        <v>150</v>
      </c>
      <c r="Y635" s="54" t="s">
        <v>150</v>
      </c>
      <c r="Z635" s="54" t="s">
        <v>150</v>
      </c>
      <c r="AA635" s="54" t="s">
        <v>150</v>
      </c>
      <c r="AB635" s="54" t="s">
        <v>150</v>
      </c>
      <c r="AF635" s="52" t="str">
        <f t="shared" si="387"/>
        <v>FICO 660-699</v>
      </c>
      <c r="AG635" s="54" t="s">
        <v>150</v>
      </c>
      <c r="AH635" s="54" t="s">
        <v>150</v>
      </c>
      <c r="AI635" s="54" t="s">
        <v>150</v>
      </c>
      <c r="AJ635" s="54" t="s">
        <v>150</v>
      </c>
      <c r="AK635" s="54" t="s">
        <v>150</v>
      </c>
      <c r="AL635" s="54" t="s">
        <v>150</v>
      </c>
      <c r="AM635" s="55"/>
      <c r="AN635" s="56"/>
      <c r="AP635" s="52" t="str">
        <f t="shared" si="388"/>
        <v>FICO 660-699</v>
      </c>
      <c r="AQ635" s="53" t="s">
        <v>150</v>
      </c>
      <c r="AR635" s="53" t="s">
        <v>150</v>
      </c>
      <c r="AS635" s="54" t="s">
        <v>150</v>
      </c>
      <c r="AT635" s="54" t="s">
        <v>150</v>
      </c>
      <c r="AU635" s="54" t="s">
        <v>150</v>
      </c>
      <c r="AV635" s="54" t="s">
        <v>150</v>
      </c>
      <c r="AZ635" s="52" t="str">
        <f t="shared" si="389"/>
        <v>FICO 660-699</v>
      </c>
      <c r="BA635" s="54" t="s">
        <v>150</v>
      </c>
      <c r="BB635" s="54" t="s">
        <v>150</v>
      </c>
      <c r="BC635" s="54" t="s">
        <v>150</v>
      </c>
      <c r="BD635" s="54" t="s">
        <v>150</v>
      </c>
      <c r="BE635" s="54" t="s">
        <v>150</v>
      </c>
      <c r="BF635" s="54" t="s">
        <v>150</v>
      </c>
    </row>
    <row r="636" spans="2:58" ht="15" hidden="1" customHeight="1" x14ac:dyDescent="0.45">
      <c r="B636" s="57" t="s">
        <v>153</v>
      </c>
      <c r="C636" s="59" t="s">
        <v>150</v>
      </c>
      <c r="D636" s="59" t="s">
        <v>150</v>
      </c>
      <c r="E636" s="59" t="s">
        <v>150</v>
      </c>
      <c r="F636" s="59" t="s">
        <v>150</v>
      </c>
      <c r="G636" s="59" t="s">
        <v>150</v>
      </c>
      <c r="H636" s="59" t="s">
        <v>150</v>
      </c>
      <c r="L636" s="57" t="s">
        <v>153</v>
      </c>
      <c r="M636" s="59" t="s">
        <v>150</v>
      </c>
      <c r="N636" s="59" t="s">
        <v>150</v>
      </c>
      <c r="O636" s="59" t="s">
        <v>150</v>
      </c>
      <c r="P636" s="59" t="s">
        <v>150</v>
      </c>
      <c r="Q636" s="59" t="s">
        <v>150</v>
      </c>
      <c r="R636" s="59" t="s">
        <v>150</v>
      </c>
      <c r="S636" s="55"/>
      <c r="T636" s="56"/>
      <c r="V636" s="57" t="str">
        <f t="shared" si="386"/>
        <v>FICO 640-659</v>
      </c>
      <c r="W636" s="59" t="s">
        <v>150</v>
      </c>
      <c r="X636" s="59" t="s">
        <v>150</v>
      </c>
      <c r="Y636" s="59" t="s">
        <v>150</v>
      </c>
      <c r="Z636" s="59" t="s">
        <v>150</v>
      </c>
      <c r="AA636" s="59" t="s">
        <v>150</v>
      </c>
      <c r="AB636" s="59" t="s">
        <v>150</v>
      </c>
      <c r="AF636" s="57" t="str">
        <f t="shared" si="387"/>
        <v>FICO 640-659</v>
      </c>
      <c r="AG636" s="59" t="s">
        <v>150</v>
      </c>
      <c r="AH636" s="59" t="s">
        <v>150</v>
      </c>
      <c r="AI636" s="59" t="s">
        <v>150</v>
      </c>
      <c r="AJ636" s="59" t="s">
        <v>150</v>
      </c>
      <c r="AK636" s="59" t="s">
        <v>150</v>
      </c>
      <c r="AL636" s="59" t="s">
        <v>150</v>
      </c>
      <c r="AM636" s="55"/>
      <c r="AN636" s="56"/>
      <c r="AP636" s="57" t="str">
        <f t="shared" si="388"/>
        <v>FICO 640-659</v>
      </c>
      <c r="AQ636" s="59" t="s">
        <v>150</v>
      </c>
      <c r="AR636" s="59" t="s">
        <v>150</v>
      </c>
      <c r="AS636" s="59" t="s">
        <v>150</v>
      </c>
      <c r="AT636" s="59" t="s">
        <v>150</v>
      </c>
      <c r="AU636" s="59" t="s">
        <v>150</v>
      </c>
      <c r="AV636" s="59" t="s">
        <v>150</v>
      </c>
      <c r="AZ636" s="57" t="str">
        <f t="shared" si="389"/>
        <v>FICO 640-659</v>
      </c>
      <c r="BA636" s="59" t="s">
        <v>150</v>
      </c>
      <c r="BB636" s="59" t="s">
        <v>150</v>
      </c>
      <c r="BC636" s="59" t="s">
        <v>150</v>
      </c>
      <c r="BD636" s="59" t="s">
        <v>150</v>
      </c>
      <c r="BE636" s="59" t="s">
        <v>150</v>
      </c>
      <c r="BF636" s="59" t="s">
        <v>150</v>
      </c>
    </row>
    <row r="637" spans="2:58" ht="15" customHeight="1" x14ac:dyDescent="0.45">
      <c r="B637" s="46" t="s">
        <v>149</v>
      </c>
      <c r="C637" s="49" t="s">
        <v>150</v>
      </c>
      <c r="D637" s="49" t="s">
        <v>150</v>
      </c>
      <c r="E637" s="49" t="s">
        <v>150</v>
      </c>
      <c r="F637" s="49" t="s">
        <v>150</v>
      </c>
      <c r="G637" s="49" t="s">
        <v>150</v>
      </c>
      <c r="H637" s="49" t="s">
        <v>150</v>
      </c>
      <c r="L637" s="46" t="s">
        <v>149</v>
      </c>
      <c r="M637" s="49" t="s">
        <v>150</v>
      </c>
      <c r="N637" s="49" t="s">
        <v>150</v>
      </c>
      <c r="O637" s="49" t="s">
        <v>150</v>
      </c>
      <c r="P637" s="49" t="s">
        <v>150</v>
      </c>
      <c r="Q637" s="49" t="s">
        <v>150</v>
      </c>
      <c r="R637" s="49" t="s">
        <v>150</v>
      </c>
      <c r="S637" s="50"/>
      <c r="T637" s="51"/>
      <c r="V637" s="46" t="str">
        <f t="shared" si="386"/>
        <v>70.01%-75.00%</v>
      </c>
      <c r="W637" s="49" t="s">
        <v>150</v>
      </c>
      <c r="X637" s="49" t="s">
        <v>150</v>
      </c>
      <c r="Y637" s="49" t="s">
        <v>150</v>
      </c>
      <c r="Z637" s="49" t="s">
        <v>150</v>
      </c>
      <c r="AA637" s="49" t="s">
        <v>150</v>
      </c>
      <c r="AB637" s="49" t="s">
        <v>150</v>
      </c>
      <c r="AF637" s="60" t="str">
        <f t="shared" si="387"/>
        <v>70.01%-75.00%</v>
      </c>
      <c r="AG637" s="49" t="s">
        <v>150</v>
      </c>
      <c r="AH637" s="49" t="s">
        <v>150</v>
      </c>
      <c r="AI637" s="49" t="s">
        <v>150</v>
      </c>
      <c r="AJ637" s="49" t="s">
        <v>150</v>
      </c>
      <c r="AK637" s="49" t="s">
        <v>150</v>
      </c>
      <c r="AL637" s="49" t="s">
        <v>150</v>
      </c>
      <c r="AM637" s="50"/>
      <c r="AN637" s="51"/>
      <c r="AP637" s="46" t="str">
        <f t="shared" si="388"/>
        <v>70.01%-75.00%</v>
      </c>
      <c r="AQ637" s="49" t="s">
        <v>150</v>
      </c>
      <c r="AR637" s="49" t="s">
        <v>150</v>
      </c>
      <c r="AS637" s="49" t="s">
        <v>150</v>
      </c>
      <c r="AT637" s="49" t="s">
        <v>150</v>
      </c>
      <c r="AU637" s="49" t="s">
        <v>150</v>
      </c>
      <c r="AV637" s="49" t="s">
        <v>150</v>
      </c>
      <c r="AZ637" s="46" t="str">
        <f t="shared" si="389"/>
        <v>70.01%-75.00%</v>
      </c>
      <c r="BA637" s="49" t="s">
        <v>150</v>
      </c>
      <c r="BB637" s="49" t="s">
        <v>150</v>
      </c>
      <c r="BC637" s="49" t="s">
        <v>150</v>
      </c>
      <c r="BD637" s="49" t="s">
        <v>150</v>
      </c>
      <c r="BE637" s="49" t="s">
        <v>150</v>
      </c>
      <c r="BF637" s="49" t="s">
        <v>150</v>
      </c>
    </row>
    <row r="638" spans="2:58" ht="15" customHeight="1" x14ac:dyDescent="0.45">
      <c r="B638" s="52" t="s">
        <v>151</v>
      </c>
      <c r="C638" s="54" t="s">
        <v>150</v>
      </c>
      <c r="D638" s="54" t="s">
        <v>150</v>
      </c>
      <c r="E638" s="54" t="s">
        <v>150</v>
      </c>
      <c r="F638" s="54" t="s">
        <v>150</v>
      </c>
      <c r="G638" s="54" t="s">
        <v>150</v>
      </c>
      <c r="H638" s="54" t="s">
        <v>150</v>
      </c>
      <c r="L638" s="52" t="s">
        <v>151</v>
      </c>
      <c r="M638" s="54" t="s">
        <v>150</v>
      </c>
      <c r="N638" s="54" t="s">
        <v>150</v>
      </c>
      <c r="O638" s="54" t="s">
        <v>150</v>
      </c>
      <c r="P638" s="54" t="s">
        <v>150</v>
      </c>
      <c r="Q638" s="54" t="s">
        <v>150</v>
      </c>
      <c r="R638" s="54" t="s">
        <v>150</v>
      </c>
      <c r="S638" s="55"/>
      <c r="T638" s="56"/>
      <c r="V638" s="52" t="str">
        <f t="shared" si="386"/>
        <v>FICO 700+</v>
      </c>
      <c r="W638" s="54" t="s">
        <v>150</v>
      </c>
      <c r="X638" s="54" t="s">
        <v>150</v>
      </c>
      <c r="Y638" s="54" t="s">
        <v>150</v>
      </c>
      <c r="Z638" s="54" t="s">
        <v>150</v>
      </c>
      <c r="AA638" s="54" t="s">
        <v>150</v>
      </c>
      <c r="AB638" s="54" t="s">
        <v>150</v>
      </c>
      <c r="AF638" s="52" t="str">
        <f t="shared" si="387"/>
        <v>FICO 700+</v>
      </c>
      <c r="AG638" s="54" t="s">
        <v>150</v>
      </c>
      <c r="AH638" s="54" t="s">
        <v>150</v>
      </c>
      <c r="AI638" s="54" t="s">
        <v>150</v>
      </c>
      <c r="AJ638" s="54" t="s">
        <v>150</v>
      </c>
      <c r="AK638" s="54" t="s">
        <v>150</v>
      </c>
      <c r="AL638" s="54" t="s">
        <v>150</v>
      </c>
      <c r="AM638" s="55"/>
      <c r="AN638" s="56"/>
      <c r="AP638" s="52" t="str">
        <f t="shared" si="388"/>
        <v>FICO 700+</v>
      </c>
      <c r="AQ638" s="54" t="s">
        <v>150</v>
      </c>
      <c r="AR638" s="54" t="s">
        <v>150</v>
      </c>
      <c r="AS638" s="54" t="s">
        <v>150</v>
      </c>
      <c r="AT638" s="54" t="s">
        <v>150</v>
      </c>
      <c r="AU638" s="54" t="s">
        <v>150</v>
      </c>
      <c r="AV638" s="54" t="s">
        <v>150</v>
      </c>
      <c r="AZ638" s="52" t="str">
        <f t="shared" si="389"/>
        <v>FICO 700+</v>
      </c>
      <c r="BA638" s="54" t="s">
        <v>150</v>
      </c>
      <c r="BB638" s="54" t="s">
        <v>150</v>
      </c>
      <c r="BC638" s="54" t="s">
        <v>150</v>
      </c>
      <c r="BD638" s="54" t="s">
        <v>150</v>
      </c>
      <c r="BE638" s="54" t="s">
        <v>150</v>
      </c>
      <c r="BF638" s="54" t="s">
        <v>150</v>
      </c>
    </row>
    <row r="639" spans="2:58" ht="15" customHeight="1" x14ac:dyDescent="0.45">
      <c r="B639" s="52" t="s">
        <v>152</v>
      </c>
      <c r="C639" s="54" t="s">
        <v>150</v>
      </c>
      <c r="D639" s="54" t="s">
        <v>150</v>
      </c>
      <c r="E639" s="54" t="s">
        <v>150</v>
      </c>
      <c r="F639" s="54" t="s">
        <v>150</v>
      </c>
      <c r="G639" s="54" t="s">
        <v>150</v>
      </c>
      <c r="H639" s="54" t="s">
        <v>150</v>
      </c>
      <c r="L639" s="52" t="s">
        <v>152</v>
      </c>
      <c r="M639" s="54" t="s">
        <v>150</v>
      </c>
      <c r="N639" s="54" t="s">
        <v>150</v>
      </c>
      <c r="O639" s="54" t="s">
        <v>150</v>
      </c>
      <c r="P639" s="54" t="s">
        <v>150</v>
      </c>
      <c r="Q639" s="54" t="s">
        <v>150</v>
      </c>
      <c r="R639" s="54" t="s">
        <v>150</v>
      </c>
      <c r="S639" s="55"/>
      <c r="T639" s="56"/>
      <c r="V639" s="52" t="str">
        <f t="shared" si="386"/>
        <v>FICO 660-699</v>
      </c>
      <c r="W639" s="54" t="s">
        <v>150</v>
      </c>
      <c r="X639" s="54" t="s">
        <v>150</v>
      </c>
      <c r="Y639" s="54" t="s">
        <v>150</v>
      </c>
      <c r="Z639" s="54" t="s">
        <v>150</v>
      </c>
      <c r="AA639" s="54" t="s">
        <v>150</v>
      </c>
      <c r="AB639" s="54" t="s">
        <v>150</v>
      </c>
      <c r="AF639" s="52" t="str">
        <f t="shared" si="387"/>
        <v>FICO 660-699</v>
      </c>
      <c r="AG639" s="54" t="s">
        <v>150</v>
      </c>
      <c r="AH639" s="54" t="s">
        <v>150</v>
      </c>
      <c r="AI639" s="54" t="s">
        <v>150</v>
      </c>
      <c r="AJ639" s="54" t="s">
        <v>150</v>
      </c>
      <c r="AK639" s="54" t="s">
        <v>150</v>
      </c>
      <c r="AL639" s="54" t="s">
        <v>150</v>
      </c>
      <c r="AM639" s="55"/>
      <c r="AN639" s="56"/>
      <c r="AP639" s="52" t="str">
        <f t="shared" si="388"/>
        <v>FICO 660-699</v>
      </c>
      <c r="AQ639" s="54" t="s">
        <v>150</v>
      </c>
      <c r="AR639" s="54" t="s">
        <v>150</v>
      </c>
      <c r="AS639" s="54" t="s">
        <v>150</v>
      </c>
      <c r="AT639" s="54" t="s">
        <v>150</v>
      </c>
      <c r="AU639" s="54" t="s">
        <v>150</v>
      </c>
      <c r="AV639" s="54" t="s">
        <v>150</v>
      </c>
      <c r="AZ639" s="52" t="str">
        <f t="shared" si="389"/>
        <v>FICO 660-699</v>
      </c>
      <c r="BA639" s="54" t="s">
        <v>150</v>
      </c>
      <c r="BB639" s="54" t="s">
        <v>150</v>
      </c>
      <c r="BC639" s="54" t="s">
        <v>150</v>
      </c>
      <c r="BD639" s="54" t="s">
        <v>150</v>
      </c>
      <c r="BE639" s="54" t="s">
        <v>150</v>
      </c>
      <c r="BF639" s="54" t="s">
        <v>150</v>
      </c>
    </row>
    <row r="640" spans="2:58" ht="15" customHeight="1" x14ac:dyDescent="0.45">
      <c r="B640" s="57" t="s">
        <v>153</v>
      </c>
      <c r="C640" s="59" t="s">
        <v>150</v>
      </c>
      <c r="D640" s="59" t="s">
        <v>150</v>
      </c>
      <c r="E640" s="59" t="s">
        <v>150</v>
      </c>
      <c r="F640" s="59" t="s">
        <v>150</v>
      </c>
      <c r="G640" s="59" t="s">
        <v>150</v>
      </c>
      <c r="H640" s="59" t="s">
        <v>150</v>
      </c>
      <c r="L640" s="57" t="s">
        <v>153</v>
      </c>
      <c r="M640" s="59" t="s">
        <v>150</v>
      </c>
      <c r="N640" s="59" t="s">
        <v>150</v>
      </c>
      <c r="O640" s="59" t="s">
        <v>150</v>
      </c>
      <c r="P640" s="59" t="s">
        <v>150</v>
      </c>
      <c r="Q640" s="59" t="s">
        <v>150</v>
      </c>
      <c r="R640" s="59" t="s">
        <v>150</v>
      </c>
      <c r="S640" s="55"/>
      <c r="T640" s="56"/>
      <c r="V640" s="57" t="str">
        <f t="shared" si="386"/>
        <v>FICO 640-659</v>
      </c>
      <c r="W640" s="59" t="s">
        <v>150</v>
      </c>
      <c r="X640" s="59" t="s">
        <v>150</v>
      </c>
      <c r="Y640" s="59" t="s">
        <v>150</v>
      </c>
      <c r="Z640" s="59" t="s">
        <v>150</v>
      </c>
      <c r="AA640" s="59" t="s">
        <v>150</v>
      </c>
      <c r="AB640" s="59" t="s">
        <v>150</v>
      </c>
      <c r="AF640" s="57" t="str">
        <f t="shared" si="387"/>
        <v>FICO 640-659</v>
      </c>
      <c r="AG640" s="59" t="s">
        <v>150</v>
      </c>
      <c r="AH640" s="59" t="s">
        <v>150</v>
      </c>
      <c r="AI640" s="59" t="s">
        <v>150</v>
      </c>
      <c r="AJ640" s="59" t="s">
        <v>150</v>
      </c>
      <c r="AK640" s="59" t="s">
        <v>150</v>
      </c>
      <c r="AL640" s="59" t="s">
        <v>150</v>
      </c>
      <c r="AM640" s="55"/>
      <c r="AN640" s="56"/>
      <c r="AP640" s="57" t="str">
        <f t="shared" si="388"/>
        <v>FICO 640-659</v>
      </c>
      <c r="AQ640" s="59" t="s">
        <v>150</v>
      </c>
      <c r="AR640" s="59" t="s">
        <v>150</v>
      </c>
      <c r="AS640" s="59" t="s">
        <v>150</v>
      </c>
      <c r="AT640" s="59" t="s">
        <v>150</v>
      </c>
      <c r="AU640" s="59" t="s">
        <v>150</v>
      </c>
      <c r="AV640" s="59" t="s">
        <v>150</v>
      </c>
      <c r="AZ640" s="57" t="str">
        <f t="shared" si="389"/>
        <v>FICO 640-659</v>
      </c>
      <c r="BA640" s="59" t="s">
        <v>150</v>
      </c>
      <c r="BB640" s="59" t="s">
        <v>150</v>
      </c>
      <c r="BC640" s="59" t="s">
        <v>150</v>
      </c>
      <c r="BD640" s="59" t="s">
        <v>150</v>
      </c>
      <c r="BE640" s="59" t="s">
        <v>150</v>
      </c>
      <c r="BF640" s="59" t="s">
        <v>150</v>
      </c>
    </row>
    <row r="641" spans="2:58" ht="15" customHeight="1" x14ac:dyDescent="0.45">
      <c r="B641" s="46" t="s">
        <v>154</v>
      </c>
      <c r="C641" s="64" t="s">
        <v>150</v>
      </c>
      <c r="D641" s="64" t="s">
        <v>150</v>
      </c>
      <c r="E641" s="64" t="s">
        <v>150</v>
      </c>
      <c r="F641" s="64" t="s">
        <v>150</v>
      </c>
      <c r="G641" s="64" t="s">
        <v>150</v>
      </c>
      <c r="H641" s="64" t="s">
        <v>150</v>
      </c>
      <c r="L641" s="46" t="s">
        <v>154</v>
      </c>
      <c r="M641" s="64" t="s">
        <v>150</v>
      </c>
      <c r="N641" s="64" t="s">
        <v>150</v>
      </c>
      <c r="O641" s="64" t="s">
        <v>150</v>
      </c>
      <c r="P641" s="64" t="s">
        <v>150</v>
      </c>
      <c r="Q641" s="64" t="s">
        <v>150</v>
      </c>
      <c r="R641" s="64" t="s">
        <v>150</v>
      </c>
      <c r="S641" s="50"/>
      <c r="T641" s="51"/>
      <c r="V641" s="46" t="str">
        <f t="shared" si="386"/>
        <v>65.00%-70.00%</v>
      </c>
      <c r="W641" s="64" t="s">
        <v>150</v>
      </c>
      <c r="X641" s="64" t="s">
        <v>150</v>
      </c>
      <c r="Y641" s="64" t="s">
        <v>150</v>
      </c>
      <c r="Z641" s="64" t="s">
        <v>150</v>
      </c>
      <c r="AA641" s="64" t="s">
        <v>150</v>
      </c>
      <c r="AB641" s="64" t="s">
        <v>150</v>
      </c>
      <c r="AF641" s="60" t="str">
        <f t="shared" si="387"/>
        <v>65.00%-70.00%</v>
      </c>
      <c r="AG641" s="64" t="s">
        <v>150</v>
      </c>
      <c r="AH641" s="64" t="s">
        <v>150</v>
      </c>
      <c r="AI641" s="64" t="s">
        <v>150</v>
      </c>
      <c r="AJ641" s="64" t="s">
        <v>150</v>
      </c>
      <c r="AK641" s="64" t="s">
        <v>150</v>
      </c>
      <c r="AL641" s="64" t="s">
        <v>150</v>
      </c>
      <c r="AM641" s="50"/>
      <c r="AN641" s="51"/>
      <c r="AP641" s="46" t="str">
        <f t="shared" si="388"/>
        <v>65.00%-70.00%</v>
      </c>
      <c r="AQ641" s="64" t="s">
        <v>150</v>
      </c>
      <c r="AR641" s="64" t="s">
        <v>150</v>
      </c>
      <c r="AS641" s="64" t="s">
        <v>150</v>
      </c>
      <c r="AT641" s="64" t="s">
        <v>150</v>
      </c>
      <c r="AU641" s="64" t="s">
        <v>150</v>
      </c>
      <c r="AV641" s="64" t="s">
        <v>150</v>
      </c>
      <c r="AZ641" s="46" t="str">
        <f t="shared" si="389"/>
        <v>65.00%-70.00%</v>
      </c>
      <c r="BA641" s="64" t="s">
        <v>150</v>
      </c>
      <c r="BB641" s="64" t="s">
        <v>150</v>
      </c>
      <c r="BC641" s="64" t="s">
        <v>150</v>
      </c>
      <c r="BD641" s="64" t="s">
        <v>150</v>
      </c>
      <c r="BE641" s="64" t="s">
        <v>150</v>
      </c>
      <c r="BF641" s="64" t="s">
        <v>150</v>
      </c>
    </row>
    <row r="642" spans="2:58" ht="15" customHeight="1" x14ac:dyDescent="0.45">
      <c r="B642" s="52" t="s">
        <v>151</v>
      </c>
      <c r="C642" s="54" t="s">
        <v>150</v>
      </c>
      <c r="D642" s="54" t="s">
        <v>150</v>
      </c>
      <c r="E642" s="54" t="s">
        <v>150</v>
      </c>
      <c r="F642" s="54" t="s">
        <v>150</v>
      </c>
      <c r="G642" s="54" t="s">
        <v>150</v>
      </c>
      <c r="H642" s="54" t="s">
        <v>150</v>
      </c>
      <c r="L642" s="52" t="s">
        <v>151</v>
      </c>
      <c r="M642" s="54" t="s">
        <v>150</v>
      </c>
      <c r="N642" s="54" t="s">
        <v>150</v>
      </c>
      <c r="O642" s="54" t="s">
        <v>150</v>
      </c>
      <c r="P642" s="54" t="s">
        <v>150</v>
      </c>
      <c r="Q642" s="54" t="s">
        <v>150</v>
      </c>
      <c r="R642" s="54" t="s">
        <v>150</v>
      </c>
      <c r="S642" s="55"/>
      <c r="T642" s="56"/>
      <c r="V642" s="52" t="str">
        <f t="shared" si="386"/>
        <v>FICO 700+</v>
      </c>
      <c r="W642" s="54" t="s">
        <v>150</v>
      </c>
      <c r="X642" s="54" t="s">
        <v>150</v>
      </c>
      <c r="Y642" s="54" t="s">
        <v>150</v>
      </c>
      <c r="Z642" s="54" t="s">
        <v>150</v>
      </c>
      <c r="AA642" s="54" t="s">
        <v>150</v>
      </c>
      <c r="AB642" s="54" t="s">
        <v>150</v>
      </c>
      <c r="AF642" s="52" t="str">
        <f t="shared" si="387"/>
        <v>FICO 700+</v>
      </c>
      <c r="AG642" s="54" t="s">
        <v>150</v>
      </c>
      <c r="AH642" s="54" t="s">
        <v>150</v>
      </c>
      <c r="AI642" s="54" t="s">
        <v>150</v>
      </c>
      <c r="AJ642" s="54" t="s">
        <v>150</v>
      </c>
      <c r="AK642" s="54" t="s">
        <v>150</v>
      </c>
      <c r="AL642" s="54" t="s">
        <v>150</v>
      </c>
      <c r="AM642" s="55"/>
      <c r="AN642" s="56"/>
      <c r="AP642" s="52" t="str">
        <f t="shared" si="388"/>
        <v>FICO 700+</v>
      </c>
      <c r="AQ642" s="54" t="s">
        <v>150</v>
      </c>
      <c r="AR642" s="54" t="s">
        <v>150</v>
      </c>
      <c r="AS642" s="54" t="s">
        <v>150</v>
      </c>
      <c r="AT642" s="54" t="s">
        <v>150</v>
      </c>
      <c r="AU642" s="54" t="s">
        <v>150</v>
      </c>
      <c r="AV642" s="54" t="s">
        <v>150</v>
      </c>
      <c r="AZ642" s="52" t="str">
        <f t="shared" si="389"/>
        <v>FICO 700+</v>
      </c>
      <c r="BA642" s="54" t="s">
        <v>150</v>
      </c>
      <c r="BB642" s="54" t="s">
        <v>150</v>
      </c>
      <c r="BC642" s="54" t="s">
        <v>150</v>
      </c>
      <c r="BD642" s="54" t="s">
        <v>150</v>
      </c>
      <c r="BE642" s="54" t="s">
        <v>150</v>
      </c>
      <c r="BF642" s="54" t="s">
        <v>150</v>
      </c>
    </row>
    <row r="643" spans="2:58" ht="15" customHeight="1" x14ac:dyDescent="0.45">
      <c r="B643" s="52" t="s">
        <v>152</v>
      </c>
      <c r="C643" s="54" t="s">
        <v>150</v>
      </c>
      <c r="D643" s="54" t="s">
        <v>150</v>
      </c>
      <c r="E643" s="54" t="s">
        <v>150</v>
      </c>
      <c r="F643" s="54" t="s">
        <v>150</v>
      </c>
      <c r="G643" s="54" t="s">
        <v>150</v>
      </c>
      <c r="H643" s="54" t="s">
        <v>150</v>
      </c>
      <c r="L643" s="52" t="s">
        <v>152</v>
      </c>
      <c r="M643" s="54" t="s">
        <v>150</v>
      </c>
      <c r="N643" s="54" t="s">
        <v>150</v>
      </c>
      <c r="O643" s="54" t="s">
        <v>150</v>
      </c>
      <c r="P643" s="54" t="s">
        <v>150</v>
      </c>
      <c r="Q643" s="54" t="s">
        <v>150</v>
      </c>
      <c r="R643" s="54" t="s">
        <v>150</v>
      </c>
      <c r="S643" s="55"/>
      <c r="T643" s="56"/>
      <c r="V643" s="52" t="str">
        <f t="shared" si="386"/>
        <v>FICO 660-699</v>
      </c>
      <c r="W643" s="54" t="s">
        <v>150</v>
      </c>
      <c r="X643" s="54" t="s">
        <v>150</v>
      </c>
      <c r="Y643" s="54" t="s">
        <v>150</v>
      </c>
      <c r="Z643" s="54" t="s">
        <v>150</v>
      </c>
      <c r="AA643" s="54" t="s">
        <v>150</v>
      </c>
      <c r="AB643" s="54" t="s">
        <v>150</v>
      </c>
      <c r="AF643" s="52" t="str">
        <f t="shared" si="387"/>
        <v>FICO 660-699</v>
      </c>
      <c r="AG643" s="54" t="s">
        <v>150</v>
      </c>
      <c r="AH643" s="54" t="s">
        <v>150</v>
      </c>
      <c r="AI643" s="54" t="s">
        <v>150</v>
      </c>
      <c r="AJ643" s="54" t="s">
        <v>150</v>
      </c>
      <c r="AK643" s="54" t="s">
        <v>150</v>
      </c>
      <c r="AL643" s="54" t="s">
        <v>150</v>
      </c>
      <c r="AM643" s="55"/>
      <c r="AN643" s="56"/>
      <c r="AP643" s="52" t="str">
        <f t="shared" si="388"/>
        <v>FICO 660-699</v>
      </c>
      <c r="AQ643" s="54" t="s">
        <v>150</v>
      </c>
      <c r="AR643" s="54" t="s">
        <v>150</v>
      </c>
      <c r="AS643" s="54" t="s">
        <v>150</v>
      </c>
      <c r="AT643" s="54" t="s">
        <v>150</v>
      </c>
      <c r="AU643" s="54" t="s">
        <v>150</v>
      </c>
      <c r="AV643" s="54" t="s">
        <v>150</v>
      </c>
      <c r="AZ643" s="52" t="str">
        <f t="shared" si="389"/>
        <v>FICO 660-699</v>
      </c>
      <c r="BA643" s="54" t="s">
        <v>150</v>
      </c>
      <c r="BB643" s="54" t="s">
        <v>150</v>
      </c>
      <c r="BC643" s="54" t="s">
        <v>150</v>
      </c>
      <c r="BD643" s="54" t="s">
        <v>150</v>
      </c>
      <c r="BE643" s="54" t="s">
        <v>150</v>
      </c>
      <c r="BF643" s="54" t="s">
        <v>150</v>
      </c>
    </row>
    <row r="644" spans="2:58" ht="15" customHeight="1" x14ac:dyDescent="0.45">
      <c r="B644" s="57" t="s">
        <v>153</v>
      </c>
      <c r="C644" s="59" t="s">
        <v>150</v>
      </c>
      <c r="D644" s="59" t="s">
        <v>150</v>
      </c>
      <c r="E644" s="59" t="s">
        <v>150</v>
      </c>
      <c r="F644" s="59" t="s">
        <v>150</v>
      </c>
      <c r="G644" s="59" t="s">
        <v>150</v>
      </c>
      <c r="H644" s="59" t="s">
        <v>150</v>
      </c>
      <c r="L644" s="57" t="s">
        <v>153</v>
      </c>
      <c r="M644" s="59" t="s">
        <v>150</v>
      </c>
      <c r="N644" s="59" t="s">
        <v>150</v>
      </c>
      <c r="O644" s="59" t="s">
        <v>150</v>
      </c>
      <c r="P644" s="59" t="s">
        <v>150</v>
      </c>
      <c r="Q644" s="59" t="s">
        <v>150</v>
      </c>
      <c r="R644" s="59" t="s">
        <v>150</v>
      </c>
      <c r="S644" s="55"/>
      <c r="T644" s="56"/>
      <c r="V644" s="57" t="s">
        <v>153</v>
      </c>
      <c r="W644" s="59" t="s">
        <v>150</v>
      </c>
      <c r="X644" s="59" t="s">
        <v>150</v>
      </c>
      <c r="Y644" s="59" t="s">
        <v>150</v>
      </c>
      <c r="Z644" s="59" t="s">
        <v>150</v>
      </c>
      <c r="AA644" s="59" t="s">
        <v>150</v>
      </c>
      <c r="AB644" s="59" t="s">
        <v>150</v>
      </c>
      <c r="AF644" s="57" t="str">
        <f t="shared" si="387"/>
        <v>FICO 640-659</v>
      </c>
      <c r="AG644" s="59" t="s">
        <v>150</v>
      </c>
      <c r="AH644" s="59" t="s">
        <v>150</v>
      </c>
      <c r="AI644" s="59" t="s">
        <v>150</v>
      </c>
      <c r="AJ644" s="59" t="s">
        <v>150</v>
      </c>
      <c r="AK644" s="59" t="s">
        <v>150</v>
      </c>
      <c r="AL644" s="59" t="s">
        <v>150</v>
      </c>
      <c r="AM644" s="55"/>
      <c r="AN644" s="56"/>
      <c r="AP644" s="57" t="str">
        <f t="shared" si="388"/>
        <v>FICO 640-659</v>
      </c>
      <c r="AQ644" s="59" t="s">
        <v>150</v>
      </c>
      <c r="AR644" s="59" t="s">
        <v>150</v>
      </c>
      <c r="AS644" s="59" t="s">
        <v>150</v>
      </c>
      <c r="AT644" s="59" t="s">
        <v>150</v>
      </c>
      <c r="AU644" s="59" t="s">
        <v>150</v>
      </c>
      <c r="AV644" s="59" t="s">
        <v>150</v>
      </c>
      <c r="AZ644" s="57" t="str">
        <f t="shared" si="389"/>
        <v>FICO 640-659</v>
      </c>
      <c r="BA644" s="59" t="s">
        <v>150</v>
      </c>
      <c r="BB644" s="59" t="s">
        <v>150</v>
      </c>
      <c r="BC644" s="59" t="s">
        <v>150</v>
      </c>
      <c r="BD644" s="59" t="s">
        <v>150</v>
      </c>
      <c r="BE644" s="59" t="s">
        <v>150</v>
      </c>
      <c r="BF644" s="59" t="s">
        <v>150</v>
      </c>
    </row>
    <row r="645" spans="2:58" ht="15" customHeight="1" x14ac:dyDescent="0.45">
      <c r="B645" s="60" t="s">
        <v>155</v>
      </c>
      <c r="C645" s="64" t="s">
        <v>150</v>
      </c>
      <c r="D645" s="64" t="s">
        <v>150</v>
      </c>
      <c r="E645" s="64" t="s">
        <v>150</v>
      </c>
      <c r="F645" s="64" t="s">
        <v>150</v>
      </c>
      <c r="G645" s="64" t="s">
        <v>150</v>
      </c>
      <c r="H645" s="64" t="s">
        <v>150</v>
      </c>
      <c r="L645" s="60" t="s">
        <v>155</v>
      </c>
      <c r="M645" s="64" t="s">
        <v>150</v>
      </c>
      <c r="N645" s="64" t="s">
        <v>150</v>
      </c>
      <c r="O645" s="64" t="s">
        <v>150</v>
      </c>
      <c r="P645" s="64" t="s">
        <v>150</v>
      </c>
      <c r="Q645" s="64" t="s">
        <v>150</v>
      </c>
      <c r="R645" s="64" t="s">
        <v>150</v>
      </c>
      <c r="S645" s="50"/>
      <c r="T645" s="51"/>
      <c r="V645" s="60" t="s">
        <v>155</v>
      </c>
      <c r="W645" s="64" t="s">
        <v>150</v>
      </c>
      <c r="X645" s="64" t="s">
        <v>150</v>
      </c>
      <c r="Y645" s="64" t="s">
        <v>150</v>
      </c>
      <c r="Z645" s="64" t="s">
        <v>150</v>
      </c>
      <c r="AA645" s="64" t="s">
        <v>150</v>
      </c>
      <c r="AB645" s="64" t="s">
        <v>150</v>
      </c>
      <c r="AF645" s="60" t="str">
        <f t="shared" si="387"/>
        <v>&lt;64.99%</v>
      </c>
      <c r="AG645" s="64" t="s">
        <v>150</v>
      </c>
      <c r="AH645" s="64" t="s">
        <v>150</v>
      </c>
      <c r="AI645" s="64" t="s">
        <v>150</v>
      </c>
      <c r="AJ645" s="64" t="s">
        <v>150</v>
      </c>
      <c r="AK645" s="64" t="s">
        <v>150</v>
      </c>
      <c r="AL645" s="64" t="s">
        <v>150</v>
      </c>
      <c r="AM645" s="50"/>
      <c r="AN645" s="51"/>
      <c r="AP645" s="60" t="str">
        <f t="shared" si="388"/>
        <v>&lt;64.99%</v>
      </c>
      <c r="AQ645" s="64" t="s">
        <v>150</v>
      </c>
      <c r="AR645" s="64" t="s">
        <v>150</v>
      </c>
      <c r="AS645" s="64" t="s">
        <v>150</v>
      </c>
      <c r="AT645" s="64" t="s">
        <v>150</v>
      </c>
      <c r="AU645" s="64" t="s">
        <v>150</v>
      </c>
      <c r="AV645" s="64" t="s">
        <v>150</v>
      </c>
      <c r="AZ645" s="60" t="str">
        <f t="shared" si="389"/>
        <v>&lt;64.99%</v>
      </c>
      <c r="BA645" s="64" t="s">
        <v>150</v>
      </c>
      <c r="BB645" s="64" t="s">
        <v>150</v>
      </c>
      <c r="BC645" s="64" t="s">
        <v>150</v>
      </c>
      <c r="BD645" s="64" t="s">
        <v>150</v>
      </c>
      <c r="BE645" s="64" t="s">
        <v>150</v>
      </c>
      <c r="BF645" s="64" t="s">
        <v>150</v>
      </c>
    </row>
    <row r="646" spans="2:58" ht="15" customHeight="1" x14ac:dyDescent="0.45">
      <c r="B646" s="52" t="s">
        <v>151</v>
      </c>
      <c r="C646" s="54" t="s">
        <v>150</v>
      </c>
      <c r="D646" s="54" t="s">
        <v>150</v>
      </c>
      <c r="E646" s="54" t="s">
        <v>150</v>
      </c>
      <c r="F646" s="54" t="s">
        <v>150</v>
      </c>
      <c r="G646" s="54" t="s">
        <v>150</v>
      </c>
      <c r="H646" s="54" t="s">
        <v>150</v>
      </c>
      <c r="L646" s="52" t="s">
        <v>151</v>
      </c>
      <c r="M646" s="54" t="s">
        <v>150</v>
      </c>
      <c r="N646" s="54" t="s">
        <v>150</v>
      </c>
      <c r="O646" s="54" t="s">
        <v>150</v>
      </c>
      <c r="P646" s="54" t="s">
        <v>150</v>
      </c>
      <c r="Q646" s="54" t="s">
        <v>150</v>
      </c>
      <c r="R646" s="54" t="s">
        <v>150</v>
      </c>
      <c r="S646" s="55"/>
      <c r="T646" s="56"/>
      <c r="V646" s="52" t="s">
        <v>151</v>
      </c>
      <c r="W646" s="54" t="s">
        <v>150</v>
      </c>
      <c r="X646" s="54" t="s">
        <v>150</v>
      </c>
      <c r="Y646" s="54" t="s">
        <v>150</v>
      </c>
      <c r="Z646" s="54" t="s">
        <v>150</v>
      </c>
      <c r="AA646" s="54" t="s">
        <v>150</v>
      </c>
      <c r="AB646" s="54" t="s">
        <v>150</v>
      </c>
      <c r="AF646" s="52" t="str">
        <f t="shared" si="387"/>
        <v>FICO 700+</v>
      </c>
      <c r="AG646" s="54" t="s">
        <v>150</v>
      </c>
      <c r="AH646" s="54" t="s">
        <v>150</v>
      </c>
      <c r="AI646" s="54" t="s">
        <v>150</v>
      </c>
      <c r="AJ646" s="54" t="s">
        <v>150</v>
      </c>
      <c r="AK646" s="54" t="s">
        <v>150</v>
      </c>
      <c r="AL646" s="54" t="s">
        <v>150</v>
      </c>
      <c r="AM646" s="55"/>
      <c r="AN646" s="56"/>
      <c r="AP646" s="52" t="str">
        <f t="shared" si="388"/>
        <v>FICO 700+</v>
      </c>
      <c r="AQ646" s="54" t="s">
        <v>150</v>
      </c>
      <c r="AR646" s="54" t="s">
        <v>150</v>
      </c>
      <c r="AS646" s="54" t="s">
        <v>150</v>
      </c>
      <c r="AT646" s="54" t="s">
        <v>150</v>
      </c>
      <c r="AU646" s="54" t="s">
        <v>150</v>
      </c>
      <c r="AV646" s="54" t="s">
        <v>150</v>
      </c>
      <c r="AZ646" s="52" t="str">
        <f t="shared" si="389"/>
        <v>FICO 700+</v>
      </c>
      <c r="BA646" s="54" t="s">
        <v>150</v>
      </c>
      <c r="BB646" s="54" t="s">
        <v>150</v>
      </c>
      <c r="BC646" s="54" t="s">
        <v>150</v>
      </c>
      <c r="BD646" s="54" t="s">
        <v>150</v>
      </c>
      <c r="BE646" s="54" t="s">
        <v>150</v>
      </c>
      <c r="BF646" s="54" t="s">
        <v>150</v>
      </c>
    </row>
    <row r="647" spans="2:58" ht="15" customHeight="1" x14ac:dyDescent="0.45">
      <c r="B647" s="52" t="s">
        <v>152</v>
      </c>
      <c r="C647" s="54" t="s">
        <v>150</v>
      </c>
      <c r="D647" s="54" t="s">
        <v>150</v>
      </c>
      <c r="E647" s="54" t="s">
        <v>150</v>
      </c>
      <c r="F647" s="54" t="s">
        <v>150</v>
      </c>
      <c r="G647" s="54" t="s">
        <v>150</v>
      </c>
      <c r="H647" s="54" t="s">
        <v>150</v>
      </c>
      <c r="L647" s="52" t="s">
        <v>152</v>
      </c>
      <c r="M647" s="54" t="s">
        <v>150</v>
      </c>
      <c r="N647" s="54" t="s">
        <v>150</v>
      </c>
      <c r="O647" s="54" t="s">
        <v>150</v>
      </c>
      <c r="P647" s="54" t="s">
        <v>150</v>
      </c>
      <c r="Q647" s="54" t="s">
        <v>150</v>
      </c>
      <c r="R647" s="54" t="s">
        <v>150</v>
      </c>
      <c r="S647" s="55"/>
      <c r="T647" s="56"/>
      <c r="V647" s="52" t="s">
        <v>152</v>
      </c>
      <c r="W647" s="54" t="s">
        <v>150</v>
      </c>
      <c r="X647" s="54" t="s">
        <v>150</v>
      </c>
      <c r="Y647" s="54" t="s">
        <v>150</v>
      </c>
      <c r="Z647" s="54" t="s">
        <v>150</v>
      </c>
      <c r="AA647" s="54" t="s">
        <v>150</v>
      </c>
      <c r="AB647" s="54" t="s">
        <v>150</v>
      </c>
      <c r="AF647" s="52" t="str">
        <f t="shared" si="387"/>
        <v>FICO 660-699</v>
      </c>
      <c r="AG647" s="54" t="s">
        <v>150</v>
      </c>
      <c r="AH647" s="54" t="s">
        <v>150</v>
      </c>
      <c r="AI647" s="54" t="s">
        <v>150</v>
      </c>
      <c r="AJ647" s="54" t="s">
        <v>150</v>
      </c>
      <c r="AK647" s="54" t="s">
        <v>150</v>
      </c>
      <c r="AL647" s="54" t="s">
        <v>150</v>
      </c>
      <c r="AM647" s="55"/>
      <c r="AN647" s="56"/>
      <c r="AP647" s="52" t="str">
        <f t="shared" si="388"/>
        <v>FICO 660-699</v>
      </c>
      <c r="AQ647" s="54" t="s">
        <v>150</v>
      </c>
      <c r="AR647" s="54" t="s">
        <v>150</v>
      </c>
      <c r="AS647" s="54" t="s">
        <v>150</v>
      </c>
      <c r="AT647" s="54" t="s">
        <v>150</v>
      </c>
      <c r="AU647" s="54" t="s">
        <v>150</v>
      </c>
      <c r="AV647" s="54" t="s">
        <v>150</v>
      </c>
      <c r="AZ647" s="52" t="str">
        <f t="shared" si="389"/>
        <v>FICO 660-699</v>
      </c>
      <c r="BA647" s="54" t="s">
        <v>150</v>
      </c>
      <c r="BB647" s="54" t="s">
        <v>150</v>
      </c>
      <c r="BC647" s="54" t="s">
        <v>150</v>
      </c>
      <c r="BD647" s="54" t="s">
        <v>150</v>
      </c>
      <c r="BE647" s="54" t="s">
        <v>150</v>
      </c>
      <c r="BF647" s="54" t="s">
        <v>150</v>
      </c>
    </row>
    <row r="648" spans="2:58" ht="15" customHeight="1" x14ac:dyDescent="0.45">
      <c r="B648" s="52" t="s">
        <v>153</v>
      </c>
      <c r="C648" s="54" t="s">
        <v>150</v>
      </c>
      <c r="D648" s="54" t="s">
        <v>150</v>
      </c>
      <c r="E648" s="54" t="s">
        <v>150</v>
      </c>
      <c r="F648" s="54" t="s">
        <v>150</v>
      </c>
      <c r="G648" s="54" t="s">
        <v>150</v>
      </c>
      <c r="H648" s="54" t="s">
        <v>150</v>
      </c>
      <c r="L648" s="52" t="s">
        <v>153</v>
      </c>
      <c r="M648" s="54" t="s">
        <v>150</v>
      </c>
      <c r="N648" s="54" t="s">
        <v>150</v>
      </c>
      <c r="O648" s="54" t="s">
        <v>150</v>
      </c>
      <c r="P648" s="54" t="s">
        <v>150</v>
      </c>
      <c r="Q648" s="54" t="s">
        <v>150</v>
      </c>
      <c r="R648" s="54" t="s">
        <v>150</v>
      </c>
      <c r="S648" s="55"/>
      <c r="T648" s="56"/>
      <c r="V648" s="52" t="s">
        <v>153</v>
      </c>
      <c r="W648" s="54" t="s">
        <v>150</v>
      </c>
      <c r="X648" s="54" t="s">
        <v>150</v>
      </c>
      <c r="Y648" s="54" t="s">
        <v>150</v>
      </c>
      <c r="Z648" s="54" t="s">
        <v>150</v>
      </c>
      <c r="AA648" s="54" t="s">
        <v>150</v>
      </c>
      <c r="AB648" s="54" t="s">
        <v>150</v>
      </c>
      <c r="AF648" s="52" t="str">
        <f t="shared" si="387"/>
        <v>FICO 640-659</v>
      </c>
      <c r="AG648" s="54" t="s">
        <v>150</v>
      </c>
      <c r="AH648" s="54" t="s">
        <v>150</v>
      </c>
      <c r="AI648" s="54" t="s">
        <v>150</v>
      </c>
      <c r="AJ648" s="54" t="s">
        <v>150</v>
      </c>
      <c r="AK648" s="54" t="s">
        <v>150</v>
      </c>
      <c r="AL648" s="54" t="s">
        <v>150</v>
      </c>
      <c r="AM648" s="55"/>
      <c r="AN648" s="56"/>
      <c r="AP648" s="52" t="str">
        <f t="shared" si="388"/>
        <v>FICO 640-659</v>
      </c>
      <c r="AQ648" s="54" t="s">
        <v>150</v>
      </c>
      <c r="AR648" s="54" t="s">
        <v>150</v>
      </c>
      <c r="AS648" s="54" t="s">
        <v>150</v>
      </c>
      <c r="AT648" s="54" t="s">
        <v>150</v>
      </c>
      <c r="AU648" s="54" t="s">
        <v>150</v>
      </c>
      <c r="AV648" s="54" t="s">
        <v>150</v>
      </c>
      <c r="AZ648" s="52" t="str">
        <f t="shared" si="389"/>
        <v>FICO 640-659</v>
      </c>
      <c r="BA648" s="54" t="s">
        <v>150</v>
      </c>
      <c r="BB648" s="54" t="s">
        <v>150</v>
      </c>
      <c r="BC648" s="54" t="s">
        <v>150</v>
      </c>
      <c r="BD648" s="54" t="s">
        <v>150</v>
      </c>
      <c r="BE648" s="54" t="s">
        <v>150</v>
      </c>
      <c r="BF648" s="54" t="s">
        <v>150</v>
      </c>
    </row>
    <row r="650" spans="2:58" ht="15.75" customHeight="1" x14ac:dyDescent="0.45">
      <c r="B650" s="94" t="s">
        <v>157</v>
      </c>
      <c r="C650" s="94"/>
      <c r="D650" s="94"/>
      <c r="E650" s="94"/>
      <c r="F650" s="94"/>
      <c r="G650" s="94"/>
      <c r="H650" s="94"/>
      <c r="L650" s="94" t="s">
        <v>157</v>
      </c>
      <c r="M650" s="94"/>
      <c r="N650" s="94"/>
      <c r="O650" s="94"/>
      <c r="P650" s="94"/>
      <c r="Q650" s="94"/>
      <c r="R650" s="94"/>
      <c r="S650" s="39"/>
      <c r="T650" s="40"/>
      <c r="V650" s="94" t="s">
        <v>157</v>
      </c>
      <c r="W650" s="94"/>
      <c r="X650" s="94"/>
      <c r="Y650" s="94"/>
      <c r="Z650" s="94"/>
      <c r="AA650" s="94"/>
      <c r="AB650" s="94"/>
      <c r="AF650" s="94" t="s">
        <v>157</v>
      </c>
      <c r="AG650" s="94"/>
      <c r="AH650" s="94"/>
      <c r="AI650" s="94"/>
      <c r="AJ650" s="94"/>
      <c r="AK650" s="94"/>
      <c r="AL650" s="94"/>
      <c r="AM650" s="39"/>
      <c r="AN650" s="40"/>
      <c r="AP650" s="94" t="s">
        <v>157</v>
      </c>
      <c r="AQ650" s="94"/>
      <c r="AR650" s="94"/>
      <c r="AS650" s="94"/>
      <c r="AT650" s="94"/>
      <c r="AU650" s="94"/>
      <c r="AV650" s="94"/>
      <c r="AZ650" s="94" t="s">
        <v>157</v>
      </c>
      <c r="BA650" s="94"/>
      <c r="BB650" s="94"/>
      <c r="BC650" s="94"/>
      <c r="BD650" s="94"/>
      <c r="BE650" s="94"/>
      <c r="BF650" s="94"/>
    </row>
    <row r="651" spans="2:58" ht="15" customHeight="1" x14ac:dyDescent="0.45">
      <c r="B651" s="45"/>
      <c r="C651" s="95" t="s">
        <v>50</v>
      </c>
      <c r="D651" s="95"/>
      <c r="E651" s="95"/>
      <c r="F651" s="95"/>
      <c r="G651" s="95"/>
      <c r="H651" s="95"/>
      <c r="L651" s="45"/>
      <c r="M651" s="95" t="s">
        <v>50</v>
      </c>
      <c r="N651" s="95"/>
      <c r="O651" s="95"/>
      <c r="P651" s="95"/>
      <c r="Q651" s="95"/>
      <c r="R651" s="95"/>
      <c r="S651" s="41"/>
      <c r="T651" s="43"/>
      <c r="V651" s="45"/>
      <c r="W651" s="95" t="str">
        <f>C651</f>
        <v>LTC</v>
      </c>
      <c r="X651" s="95"/>
      <c r="Y651" s="95"/>
      <c r="Z651" s="95"/>
      <c r="AA651" s="95"/>
      <c r="AB651" s="95"/>
      <c r="AF651" s="45"/>
      <c r="AG651" s="95" t="str">
        <f>W651</f>
        <v>LTC</v>
      </c>
      <c r="AH651" s="95"/>
      <c r="AI651" s="95"/>
      <c r="AJ651" s="95"/>
      <c r="AK651" s="95"/>
      <c r="AL651" s="95"/>
      <c r="AM651" s="41"/>
      <c r="AN651" s="43"/>
      <c r="AP651" s="45"/>
      <c r="AQ651" s="95" t="str">
        <f>C651</f>
        <v>LTC</v>
      </c>
      <c r="AR651" s="95"/>
      <c r="AS651" s="95"/>
      <c r="AT651" s="95"/>
      <c r="AU651" s="95"/>
      <c r="AV651" s="95"/>
      <c r="AZ651" s="45"/>
      <c r="BA651" s="95" t="str">
        <f>C651</f>
        <v>LTC</v>
      </c>
      <c r="BB651" s="95"/>
      <c r="BC651" s="95"/>
      <c r="BD651" s="95"/>
      <c r="BE651" s="95"/>
      <c r="BF651" s="95"/>
    </row>
    <row r="652" spans="2:58" ht="15" customHeight="1" x14ac:dyDescent="0.45">
      <c r="B652" s="44" t="s">
        <v>52</v>
      </c>
      <c r="C652" s="45" t="s">
        <v>143</v>
      </c>
      <c r="D652" s="45" t="s">
        <v>144</v>
      </c>
      <c r="E652" s="45" t="s">
        <v>145</v>
      </c>
      <c r="F652" s="45" t="s">
        <v>146</v>
      </c>
      <c r="G652" s="45" t="s">
        <v>147</v>
      </c>
      <c r="H652" s="45" t="s">
        <v>148</v>
      </c>
      <c r="L652" s="44" t="s">
        <v>52</v>
      </c>
      <c r="M652" s="70" t="s">
        <v>143</v>
      </c>
      <c r="N652" s="70" t="s">
        <v>144</v>
      </c>
      <c r="O652" s="70" t="s">
        <v>145</v>
      </c>
      <c r="P652" s="70" t="s">
        <v>146</v>
      </c>
      <c r="Q652" s="70" t="s">
        <v>147</v>
      </c>
      <c r="R652" s="70" t="s">
        <v>148</v>
      </c>
      <c r="S652" s="41"/>
      <c r="T652" s="43"/>
      <c r="V652" s="44" t="str">
        <f t="shared" ref="V652:V659" si="390">B652</f>
        <v>AR-LTV</v>
      </c>
      <c r="W652" s="45" t="str">
        <f>C652</f>
        <v>&lt;74.99%</v>
      </c>
      <c r="X652" s="45" t="str">
        <f>D652</f>
        <v>75.00%-80.00%</v>
      </c>
      <c r="Y652" s="45" t="str">
        <f>E652</f>
        <v>80.01%-85.00%</v>
      </c>
      <c r="Z652" s="45" t="str">
        <f>F652</f>
        <v>85.01%-87.50%</v>
      </c>
      <c r="AA652" s="45" t="str">
        <f>G652</f>
        <v>87.51%-89.99%</v>
      </c>
      <c r="AB652" s="45" t="str">
        <f>H652</f>
        <v>90.00%-92.50%</v>
      </c>
      <c r="AF652" s="44" t="str">
        <f t="shared" ref="AF652:AF668" si="391">V652</f>
        <v>AR-LTV</v>
      </c>
      <c r="AG652" s="45" t="str">
        <f>W652</f>
        <v>&lt;74.99%</v>
      </c>
      <c r="AH652" s="45" t="str">
        <f>X652</f>
        <v>75.00%-80.00%</v>
      </c>
      <c r="AI652" s="45" t="str">
        <f>Y652</f>
        <v>80.01%-85.00%</v>
      </c>
      <c r="AJ652" s="45" t="str">
        <f>Z652</f>
        <v>85.01%-87.50%</v>
      </c>
      <c r="AK652" s="45" t="str">
        <f>AA652</f>
        <v>87.51%-89.99%</v>
      </c>
      <c r="AL652" s="45" t="str">
        <f>AB652</f>
        <v>90.00%-92.50%</v>
      </c>
      <c r="AM652" s="41"/>
      <c r="AN652" s="43"/>
      <c r="AP652" s="44" t="str">
        <f t="shared" ref="AP652:AP668" si="392">B652</f>
        <v>AR-LTV</v>
      </c>
      <c r="AQ652" s="45" t="str">
        <f>C652</f>
        <v>&lt;74.99%</v>
      </c>
      <c r="AR652" s="45" t="str">
        <f>D652</f>
        <v>75.00%-80.00%</v>
      </c>
      <c r="AS652" s="45" t="str">
        <f>E652</f>
        <v>80.01%-85.00%</v>
      </c>
      <c r="AT652" s="45" t="str">
        <f>F652</f>
        <v>85.01%-87.50%</v>
      </c>
      <c r="AU652" s="45" t="str">
        <f>G652</f>
        <v>87.51%-89.99%</v>
      </c>
      <c r="AV652" s="45" t="str">
        <f>H652</f>
        <v>90.00%-92.50%</v>
      </c>
      <c r="AZ652" s="71" t="str">
        <f t="shared" ref="AZ652:AZ668" si="393">B652</f>
        <v>AR-LTV</v>
      </c>
      <c r="BA652" s="45" t="str">
        <f>C652</f>
        <v>&lt;74.99%</v>
      </c>
      <c r="BB652" s="45" t="str">
        <f>D652</f>
        <v>75.00%-80.00%</v>
      </c>
      <c r="BC652" s="45" t="str">
        <f>E652</f>
        <v>80.01%-85.00%</v>
      </c>
      <c r="BD652" s="45" t="str">
        <f>F652</f>
        <v>85.01%-87.50%</v>
      </c>
      <c r="BE652" s="45" t="str">
        <f>G652</f>
        <v>87.51%-89.99%</v>
      </c>
      <c r="BF652" s="45" t="str">
        <f>H652</f>
        <v>90.00%-92.50%</v>
      </c>
    </row>
    <row r="653" spans="2:58" ht="15" hidden="1" customHeight="1" x14ac:dyDescent="0.45">
      <c r="B653" s="46" t="s">
        <v>164</v>
      </c>
      <c r="C653" s="74" t="s">
        <v>150</v>
      </c>
      <c r="D653" s="74" t="s">
        <v>150</v>
      </c>
      <c r="E653" s="74" t="s">
        <v>150</v>
      </c>
      <c r="F653" s="74" t="s">
        <v>150</v>
      </c>
      <c r="G653" s="74" t="s">
        <v>150</v>
      </c>
      <c r="H653" s="74" t="s">
        <v>150</v>
      </c>
      <c r="L653" s="46" t="s">
        <v>164</v>
      </c>
      <c r="M653" s="59" t="s">
        <v>150</v>
      </c>
      <c r="N653" s="59" t="s">
        <v>150</v>
      </c>
      <c r="O653" s="59" t="s">
        <v>150</v>
      </c>
      <c r="P653" s="59" t="s">
        <v>150</v>
      </c>
      <c r="Q653" s="59" t="s">
        <v>150</v>
      </c>
      <c r="R653" s="59" t="s">
        <v>150</v>
      </c>
      <c r="S653" s="55"/>
      <c r="T653" s="56"/>
      <c r="V653" s="46" t="str">
        <f t="shared" si="390"/>
        <v>75.01%-80.00%</v>
      </c>
      <c r="W653" s="74" t="s">
        <v>150</v>
      </c>
      <c r="X653" s="74" t="s">
        <v>150</v>
      </c>
      <c r="Y653" s="74" t="s">
        <v>150</v>
      </c>
      <c r="Z653" s="74" t="s">
        <v>150</v>
      </c>
      <c r="AA653" s="74" t="s">
        <v>150</v>
      </c>
      <c r="AB653" s="74" t="s">
        <v>150</v>
      </c>
      <c r="AF653" s="46" t="str">
        <f t="shared" si="391"/>
        <v>75.01%-80.00%</v>
      </c>
      <c r="AG653" s="59" t="s">
        <v>150</v>
      </c>
      <c r="AH653" s="59" t="s">
        <v>150</v>
      </c>
      <c r="AI653" s="59" t="s">
        <v>150</v>
      </c>
      <c r="AJ653" s="59" t="s">
        <v>150</v>
      </c>
      <c r="AK653" s="59" t="s">
        <v>150</v>
      </c>
      <c r="AL653" s="59" t="s">
        <v>150</v>
      </c>
      <c r="AM653" s="55"/>
      <c r="AN653" s="56"/>
      <c r="AP653" s="46" t="str">
        <f t="shared" si="392"/>
        <v>75.01%-80.00%</v>
      </c>
      <c r="AQ653" s="74" t="s">
        <v>150</v>
      </c>
      <c r="AR653" s="74" t="s">
        <v>150</v>
      </c>
      <c r="AS653" s="74" t="s">
        <v>150</v>
      </c>
      <c r="AT653" s="74" t="s">
        <v>150</v>
      </c>
      <c r="AU653" s="74" t="s">
        <v>150</v>
      </c>
      <c r="AV653" s="74" t="s">
        <v>150</v>
      </c>
      <c r="AZ653" s="46" t="str">
        <f t="shared" si="393"/>
        <v>75.01%-80.00%</v>
      </c>
      <c r="BA653" s="59" t="s">
        <v>150</v>
      </c>
      <c r="BB653" s="59" t="s">
        <v>150</v>
      </c>
      <c r="BC653" s="59" t="s">
        <v>150</v>
      </c>
      <c r="BD653" s="59" t="s">
        <v>150</v>
      </c>
      <c r="BE653" s="59" t="s">
        <v>150</v>
      </c>
      <c r="BF653" s="59" t="s">
        <v>150</v>
      </c>
    </row>
    <row r="654" spans="2:58" ht="15" hidden="1" customHeight="1" x14ac:dyDescent="0.45">
      <c r="B654" s="52" t="s">
        <v>151</v>
      </c>
      <c r="C654" s="54" t="s">
        <v>150</v>
      </c>
      <c r="D654" s="54" t="s">
        <v>150</v>
      </c>
      <c r="E654" s="54" t="s">
        <v>150</v>
      </c>
      <c r="F654" s="54" t="s">
        <v>150</v>
      </c>
      <c r="G654" s="54" t="s">
        <v>150</v>
      </c>
      <c r="H654" s="54" t="s">
        <v>150</v>
      </c>
      <c r="L654" s="52" t="s">
        <v>151</v>
      </c>
      <c r="M654" s="54" t="s">
        <v>150</v>
      </c>
      <c r="N654" s="54" t="s">
        <v>150</v>
      </c>
      <c r="O654" s="54" t="s">
        <v>150</v>
      </c>
      <c r="P654" s="54" t="s">
        <v>150</v>
      </c>
      <c r="Q654" s="54" t="s">
        <v>150</v>
      </c>
      <c r="R654" s="54" t="s">
        <v>150</v>
      </c>
      <c r="S654" s="55"/>
      <c r="T654" s="56"/>
      <c r="V654" s="52" t="str">
        <f t="shared" si="390"/>
        <v>FICO 700+</v>
      </c>
      <c r="W654" s="54" t="s">
        <v>150</v>
      </c>
      <c r="X654" s="54" t="s">
        <v>150</v>
      </c>
      <c r="Y654" s="54" t="s">
        <v>150</v>
      </c>
      <c r="Z654" s="54" t="s">
        <v>150</v>
      </c>
      <c r="AA654" s="54" t="s">
        <v>150</v>
      </c>
      <c r="AB654" s="54" t="s">
        <v>150</v>
      </c>
      <c r="AF654" s="52" t="str">
        <f t="shared" si="391"/>
        <v>FICO 700+</v>
      </c>
      <c r="AG654" s="54" t="s">
        <v>150</v>
      </c>
      <c r="AH654" s="54" t="s">
        <v>150</v>
      </c>
      <c r="AI654" s="54" t="s">
        <v>150</v>
      </c>
      <c r="AJ654" s="54" t="s">
        <v>150</v>
      </c>
      <c r="AK654" s="54" t="s">
        <v>150</v>
      </c>
      <c r="AL654" s="54" t="s">
        <v>150</v>
      </c>
      <c r="AM654" s="55"/>
      <c r="AN654" s="56"/>
      <c r="AP654" s="52" t="str">
        <f t="shared" si="392"/>
        <v>FICO 700+</v>
      </c>
      <c r="AQ654" s="54" t="s">
        <v>150</v>
      </c>
      <c r="AR654" s="54" t="s">
        <v>150</v>
      </c>
      <c r="AS654" s="54" t="s">
        <v>150</v>
      </c>
      <c r="AT654" s="54" t="s">
        <v>150</v>
      </c>
      <c r="AU654" s="54" t="s">
        <v>150</v>
      </c>
      <c r="AV654" s="54" t="s">
        <v>150</v>
      </c>
      <c r="AZ654" s="52" t="str">
        <f t="shared" si="393"/>
        <v>FICO 700+</v>
      </c>
      <c r="BA654" s="54" t="s">
        <v>150</v>
      </c>
      <c r="BB654" s="54" t="s">
        <v>150</v>
      </c>
      <c r="BC654" s="54" t="s">
        <v>150</v>
      </c>
      <c r="BD654" s="54" t="s">
        <v>150</v>
      </c>
      <c r="BE654" s="54" t="s">
        <v>150</v>
      </c>
      <c r="BF654" s="54" t="s">
        <v>150</v>
      </c>
    </row>
    <row r="655" spans="2:58" ht="15" hidden="1" customHeight="1" x14ac:dyDescent="0.45">
      <c r="B655" s="52" t="s">
        <v>158</v>
      </c>
      <c r="C655" s="54" t="s">
        <v>150</v>
      </c>
      <c r="D655" s="54" t="s">
        <v>150</v>
      </c>
      <c r="E655" s="54" t="s">
        <v>150</v>
      </c>
      <c r="F655" s="54" t="s">
        <v>150</v>
      </c>
      <c r="G655" s="54" t="s">
        <v>150</v>
      </c>
      <c r="H655" s="54" t="s">
        <v>150</v>
      </c>
      <c r="L655" s="52" t="s">
        <v>158</v>
      </c>
      <c r="M655" s="54" t="s">
        <v>150</v>
      </c>
      <c r="N655" s="54" t="s">
        <v>150</v>
      </c>
      <c r="O655" s="54" t="s">
        <v>150</v>
      </c>
      <c r="P655" s="54" t="s">
        <v>150</v>
      </c>
      <c r="Q655" s="54" t="s">
        <v>150</v>
      </c>
      <c r="R655" s="54" t="s">
        <v>150</v>
      </c>
      <c r="S655" s="55"/>
      <c r="T655" s="56"/>
      <c r="V655" s="52" t="str">
        <f t="shared" si="390"/>
        <v>FICO 680-699</v>
      </c>
      <c r="W655" s="54" t="s">
        <v>150</v>
      </c>
      <c r="X655" s="54" t="s">
        <v>150</v>
      </c>
      <c r="Y655" s="54" t="s">
        <v>150</v>
      </c>
      <c r="Z655" s="54" t="s">
        <v>150</v>
      </c>
      <c r="AA655" s="54" t="s">
        <v>150</v>
      </c>
      <c r="AB655" s="54" t="s">
        <v>150</v>
      </c>
      <c r="AF655" s="52" t="str">
        <f t="shared" si="391"/>
        <v>FICO 680-699</v>
      </c>
      <c r="AG655" s="54" t="s">
        <v>150</v>
      </c>
      <c r="AH655" s="54" t="s">
        <v>150</v>
      </c>
      <c r="AI655" s="54" t="s">
        <v>150</v>
      </c>
      <c r="AJ655" s="54" t="s">
        <v>150</v>
      </c>
      <c r="AK655" s="54" t="s">
        <v>150</v>
      </c>
      <c r="AL655" s="54" t="s">
        <v>150</v>
      </c>
      <c r="AM655" s="55"/>
      <c r="AN655" s="56"/>
      <c r="AP655" s="52" t="str">
        <f t="shared" si="392"/>
        <v>FICO 680-699</v>
      </c>
      <c r="AQ655" s="54" t="s">
        <v>150</v>
      </c>
      <c r="AR655" s="54" t="s">
        <v>150</v>
      </c>
      <c r="AS655" s="54" t="s">
        <v>150</v>
      </c>
      <c r="AT655" s="54" t="s">
        <v>150</v>
      </c>
      <c r="AU655" s="54" t="s">
        <v>150</v>
      </c>
      <c r="AV655" s="54" t="s">
        <v>150</v>
      </c>
      <c r="AZ655" s="52" t="str">
        <f t="shared" si="393"/>
        <v>FICO 680-699</v>
      </c>
      <c r="BA655" s="54" t="s">
        <v>150</v>
      </c>
      <c r="BB655" s="54" t="s">
        <v>150</v>
      </c>
      <c r="BC655" s="54" t="s">
        <v>150</v>
      </c>
      <c r="BD655" s="54" t="s">
        <v>150</v>
      </c>
      <c r="BE655" s="54" t="s">
        <v>150</v>
      </c>
      <c r="BF655" s="54" t="s">
        <v>150</v>
      </c>
    </row>
    <row r="656" spans="2:58" ht="15" hidden="1" customHeight="1" x14ac:dyDescent="0.45">
      <c r="B656" s="52" t="s">
        <v>153</v>
      </c>
      <c r="C656" s="59" t="s">
        <v>150</v>
      </c>
      <c r="D656" s="59" t="s">
        <v>150</v>
      </c>
      <c r="E656" s="59" t="s">
        <v>150</v>
      </c>
      <c r="F656" s="59" t="s">
        <v>150</v>
      </c>
      <c r="G656" s="59" t="s">
        <v>150</v>
      </c>
      <c r="H656" s="59" t="s">
        <v>150</v>
      </c>
      <c r="L656" s="52" t="s">
        <v>153</v>
      </c>
      <c r="M656" s="59" t="s">
        <v>150</v>
      </c>
      <c r="N656" s="59" t="s">
        <v>150</v>
      </c>
      <c r="O656" s="59" t="s">
        <v>150</v>
      </c>
      <c r="P656" s="59" t="s">
        <v>150</v>
      </c>
      <c r="Q656" s="59" t="s">
        <v>150</v>
      </c>
      <c r="R656" s="59" t="s">
        <v>150</v>
      </c>
      <c r="S656" s="55"/>
      <c r="T656" s="56"/>
      <c r="V656" s="57" t="str">
        <f t="shared" si="390"/>
        <v>FICO 640-659</v>
      </c>
      <c r="W656" s="59" t="s">
        <v>150</v>
      </c>
      <c r="X656" s="59" t="s">
        <v>150</v>
      </c>
      <c r="Y656" s="59" t="s">
        <v>150</v>
      </c>
      <c r="Z656" s="59" t="s">
        <v>150</v>
      </c>
      <c r="AA656" s="59" t="s">
        <v>150</v>
      </c>
      <c r="AB656" s="59" t="s">
        <v>150</v>
      </c>
      <c r="AF656" s="57" t="str">
        <f t="shared" si="391"/>
        <v>FICO 640-659</v>
      </c>
      <c r="AG656" s="59" t="s">
        <v>150</v>
      </c>
      <c r="AH656" s="59" t="s">
        <v>150</v>
      </c>
      <c r="AI656" s="59" t="s">
        <v>150</v>
      </c>
      <c r="AJ656" s="59" t="s">
        <v>150</v>
      </c>
      <c r="AK656" s="59" t="s">
        <v>150</v>
      </c>
      <c r="AL656" s="59" t="s">
        <v>150</v>
      </c>
      <c r="AM656" s="55"/>
      <c r="AN656" s="56"/>
      <c r="AP656" s="57" t="str">
        <f t="shared" si="392"/>
        <v>FICO 640-659</v>
      </c>
      <c r="AQ656" s="59" t="s">
        <v>150</v>
      </c>
      <c r="AR656" s="59" t="s">
        <v>150</v>
      </c>
      <c r="AS656" s="59" t="s">
        <v>150</v>
      </c>
      <c r="AT656" s="59" t="s">
        <v>150</v>
      </c>
      <c r="AU656" s="59" t="s">
        <v>150</v>
      </c>
      <c r="AV656" s="59" t="s">
        <v>150</v>
      </c>
      <c r="AZ656" s="57" t="str">
        <f t="shared" si="393"/>
        <v>FICO 640-659</v>
      </c>
      <c r="BA656" s="59" t="s">
        <v>150</v>
      </c>
      <c r="BB656" s="59" t="s">
        <v>150</v>
      </c>
      <c r="BC656" s="59" t="s">
        <v>150</v>
      </c>
      <c r="BD656" s="59" t="s">
        <v>150</v>
      </c>
      <c r="BE656" s="59" t="s">
        <v>150</v>
      </c>
      <c r="BF656" s="59" t="s">
        <v>150</v>
      </c>
    </row>
    <row r="657" spans="2:58" ht="15" customHeight="1" x14ac:dyDescent="0.45">
      <c r="B657" s="46" t="s">
        <v>149</v>
      </c>
      <c r="C657" s="49" t="s">
        <v>150</v>
      </c>
      <c r="D657" s="49" t="s">
        <v>150</v>
      </c>
      <c r="E657" s="49" t="s">
        <v>150</v>
      </c>
      <c r="F657" s="49" t="s">
        <v>150</v>
      </c>
      <c r="G657" s="49" t="s">
        <v>150</v>
      </c>
      <c r="H657" s="49" t="s">
        <v>150</v>
      </c>
      <c r="L657" s="46" t="s">
        <v>149</v>
      </c>
      <c r="M657" s="49" t="s">
        <v>150</v>
      </c>
      <c r="N657" s="49" t="s">
        <v>150</v>
      </c>
      <c r="O657" s="49" t="s">
        <v>150</v>
      </c>
      <c r="P657" s="49" t="s">
        <v>150</v>
      </c>
      <c r="Q657" s="49" t="s">
        <v>150</v>
      </c>
      <c r="R657" s="49" t="s">
        <v>150</v>
      </c>
      <c r="S657" s="55"/>
      <c r="T657" s="56"/>
      <c r="V657" s="46" t="str">
        <f t="shared" si="390"/>
        <v>70.01%-75.00%</v>
      </c>
      <c r="W657" s="49" t="s">
        <v>150</v>
      </c>
      <c r="X657" s="49" t="s">
        <v>150</v>
      </c>
      <c r="Y657" s="49" t="s">
        <v>150</v>
      </c>
      <c r="Z657" s="49" t="s">
        <v>150</v>
      </c>
      <c r="AA657" s="49" t="s">
        <v>150</v>
      </c>
      <c r="AB657" s="49" t="s">
        <v>150</v>
      </c>
      <c r="AF657" s="46" t="str">
        <f t="shared" si="391"/>
        <v>70.01%-75.00%</v>
      </c>
      <c r="AG657" s="49" t="s">
        <v>150</v>
      </c>
      <c r="AH657" s="49" t="s">
        <v>150</v>
      </c>
      <c r="AI657" s="49" t="s">
        <v>150</v>
      </c>
      <c r="AJ657" s="49" t="s">
        <v>150</v>
      </c>
      <c r="AK657" s="49" t="s">
        <v>150</v>
      </c>
      <c r="AL657" s="49" t="s">
        <v>150</v>
      </c>
      <c r="AM657" s="55"/>
      <c r="AN657" s="56"/>
      <c r="AP657" s="46" t="str">
        <f t="shared" si="392"/>
        <v>70.01%-75.00%</v>
      </c>
      <c r="AQ657" s="49" t="s">
        <v>150</v>
      </c>
      <c r="AR657" s="49" t="s">
        <v>150</v>
      </c>
      <c r="AS657" s="49" t="s">
        <v>150</v>
      </c>
      <c r="AT657" s="49" t="s">
        <v>150</v>
      </c>
      <c r="AU657" s="49" t="s">
        <v>150</v>
      </c>
      <c r="AV657" s="49" t="s">
        <v>150</v>
      </c>
      <c r="AZ657" s="46" t="str">
        <f t="shared" si="393"/>
        <v>70.01%-75.00%</v>
      </c>
      <c r="BA657" s="49" t="s">
        <v>150</v>
      </c>
      <c r="BB657" s="49" t="s">
        <v>150</v>
      </c>
      <c r="BC657" s="49" t="s">
        <v>150</v>
      </c>
      <c r="BD657" s="49" t="s">
        <v>150</v>
      </c>
      <c r="BE657" s="49" t="s">
        <v>150</v>
      </c>
      <c r="BF657" s="49" t="s">
        <v>150</v>
      </c>
    </row>
    <row r="658" spans="2:58" ht="15" customHeight="1" x14ac:dyDescent="0.45">
      <c r="B658" s="52" t="s">
        <v>151</v>
      </c>
      <c r="C658" s="54" t="s">
        <v>150</v>
      </c>
      <c r="D658" s="54" t="s">
        <v>150</v>
      </c>
      <c r="E658" s="54" t="s">
        <v>150</v>
      </c>
      <c r="F658" s="54" t="s">
        <v>150</v>
      </c>
      <c r="G658" s="54" t="s">
        <v>150</v>
      </c>
      <c r="H658" s="54" t="s">
        <v>150</v>
      </c>
      <c r="L658" s="52" t="s">
        <v>151</v>
      </c>
      <c r="M658" s="54" t="s">
        <v>150</v>
      </c>
      <c r="N658" s="54" t="s">
        <v>150</v>
      </c>
      <c r="O658" s="54" t="s">
        <v>150</v>
      </c>
      <c r="P658" s="54" t="s">
        <v>150</v>
      </c>
      <c r="Q658" s="54" t="s">
        <v>150</v>
      </c>
      <c r="R658" s="54" t="s">
        <v>150</v>
      </c>
      <c r="S658" s="55"/>
      <c r="T658" s="56"/>
      <c r="V658" s="52" t="str">
        <f t="shared" si="390"/>
        <v>FICO 700+</v>
      </c>
      <c r="W658" s="54" t="s">
        <v>150</v>
      </c>
      <c r="X658" s="54" t="s">
        <v>150</v>
      </c>
      <c r="Y658" s="54" t="s">
        <v>150</v>
      </c>
      <c r="Z658" s="54" t="s">
        <v>150</v>
      </c>
      <c r="AA658" s="54" t="s">
        <v>150</v>
      </c>
      <c r="AB658" s="54" t="s">
        <v>150</v>
      </c>
      <c r="AF658" s="52" t="str">
        <f t="shared" si="391"/>
        <v>FICO 700+</v>
      </c>
      <c r="AG658" s="54" t="s">
        <v>150</v>
      </c>
      <c r="AH658" s="54" t="s">
        <v>150</v>
      </c>
      <c r="AI658" s="54" t="s">
        <v>150</v>
      </c>
      <c r="AJ658" s="54" t="s">
        <v>150</v>
      </c>
      <c r="AK658" s="54" t="s">
        <v>150</v>
      </c>
      <c r="AL658" s="54" t="s">
        <v>150</v>
      </c>
      <c r="AM658" s="55"/>
      <c r="AN658" s="56"/>
      <c r="AP658" s="52" t="str">
        <f t="shared" si="392"/>
        <v>FICO 700+</v>
      </c>
      <c r="AQ658" s="54" t="s">
        <v>150</v>
      </c>
      <c r="AR658" s="54" t="s">
        <v>150</v>
      </c>
      <c r="AS658" s="54" t="s">
        <v>150</v>
      </c>
      <c r="AT658" s="54" t="s">
        <v>150</v>
      </c>
      <c r="AU658" s="54" t="s">
        <v>150</v>
      </c>
      <c r="AV658" s="54" t="s">
        <v>150</v>
      </c>
      <c r="AZ658" s="52" t="str">
        <f t="shared" si="393"/>
        <v>FICO 700+</v>
      </c>
      <c r="BA658" s="54" t="s">
        <v>150</v>
      </c>
      <c r="BB658" s="54" t="s">
        <v>150</v>
      </c>
      <c r="BC658" s="54" t="s">
        <v>150</v>
      </c>
      <c r="BD658" s="54" t="s">
        <v>150</v>
      </c>
      <c r="BE658" s="54" t="s">
        <v>150</v>
      </c>
      <c r="BF658" s="54" t="s">
        <v>150</v>
      </c>
    </row>
    <row r="659" spans="2:58" ht="15" customHeight="1" x14ac:dyDescent="0.45">
      <c r="B659" s="52" t="s">
        <v>158</v>
      </c>
      <c r="C659" s="54" t="s">
        <v>150</v>
      </c>
      <c r="D659" s="54" t="s">
        <v>150</v>
      </c>
      <c r="E659" s="54" t="s">
        <v>150</v>
      </c>
      <c r="F659" s="54" t="s">
        <v>150</v>
      </c>
      <c r="G659" s="54" t="s">
        <v>150</v>
      </c>
      <c r="H659" s="54" t="s">
        <v>150</v>
      </c>
      <c r="L659" s="52" t="s">
        <v>158</v>
      </c>
      <c r="M659" s="54" t="s">
        <v>150</v>
      </c>
      <c r="N659" s="54" t="s">
        <v>150</v>
      </c>
      <c r="O659" s="54" t="s">
        <v>150</v>
      </c>
      <c r="P659" s="54" t="s">
        <v>150</v>
      </c>
      <c r="Q659" s="54" t="s">
        <v>150</v>
      </c>
      <c r="R659" s="54" t="s">
        <v>150</v>
      </c>
      <c r="S659" s="55"/>
      <c r="T659" s="56"/>
      <c r="V659" s="52" t="str">
        <f t="shared" si="390"/>
        <v>FICO 680-699</v>
      </c>
      <c r="W659" s="54" t="s">
        <v>150</v>
      </c>
      <c r="X659" s="54" t="s">
        <v>150</v>
      </c>
      <c r="Y659" s="54" t="s">
        <v>150</v>
      </c>
      <c r="Z659" s="54" t="s">
        <v>150</v>
      </c>
      <c r="AA659" s="54" t="s">
        <v>150</v>
      </c>
      <c r="AB659" s="54" t="s">
        <v>150</v>
      </c>
      <c r="AF659" s="52" t="str">
        <f t="shared" si="391"/>
        <v>FICO 680-699</v>
      </c>
      <c r="AG659" s="54" t="s">
        <v>150</v>
      </c>
      <c r="AH659" s="54" t="s">
        <v>150</v>
      </c>
      <c r="AI659" s="54" t="s">
        <v>150</v>
      </c>
      <c r="AJ659" s="54" t="s">
        <v>150</v>
      </c>
      <c r="AK659" s="54" t="s">
        <v>150</v>
      </c>
      <c r="AL659" s="54" t="s">
        <v>150</v>
      </c>
      <c r="AM659" s="55"/>
      <c r="AN659" s="56"/>
      <c r="AP659" s="52" t="str">
        <f t="shared" si="392"/>
        <v>FICO 680-699</v>
      </c>
      <c r="AQ659" s="54" t="s">
        <v>150</v>
      </c>
      <c r="AR659" s="54" t="s">
        <v>150</v>
      </c>
      <c r="AS659" s="54" t="s">
        <v>150</v>
      </c>
      <c r="AT659" s="54" t="s">
        <v>150</v>
      </c>
      <c r="AU659" s="54" t="s">
        <v>150</v>
      </c>
      <c r="AV659" s="54" t="s">
        <v>150</v>
      </c>
      <c r="AZ659" s="52" t="str">
        <f t="shared" si="393"/>
        <v>FICO 680-699</v>
      </c>
      <c r="BA659" s="54" t="s">
        <v>150</v>
      </c>
      <c r="BB659" s="54" t="s">
        <v>150</v>
      </c>
      <c r="BC659" s="54" t="s">
        <v>150</v>
      </c>
      <c r="BD659" s="54" t="s">
        <v>150</v>
      </c>
      <c r="BE659" s="54" t="s">
        <v>150</v>
      </c>
      <c r="BF659" s="54" t="s">
        <v>150</v>
      </c>
    </row>
    <row r="660" spans="2:58" ht="15" customHeight="1" x14ac:dyDescent="0.45">
      <c r="B660" s="57" t="s">
        <v>159</v>
      </c>
      <c r="C660" s="59" t="s">
        <v>150</v>
      </c>
      <c r="D660" s="59" t="s">
        <v>150</v>
      </c>
      <c r="E660" s="59" t="s">
        <v>150</v>
      </c>
      <c r="F660" s="59" t="s">
        <v>150</v>
      </c>
      <c r="G660" s="59" t="s">
        <v>150</v>
      </c>
      <c r="H660" s="59" t="s">
        <v>150</v>
      </c>
      <c r="L660" s="57" t="s">
        <v>159</v>
      </c>
      <c r="M660" s="59" t="s">
        <v>150</v>
      </c>
      <c r="N660" s="59" t="s">
        <v>150</v>
      </c>
      <c r="O660" s="59" t="s">
        <v>150</v>
      </c>
      <c r="P660" s="59" t="s">
        <v>150</v>
      </c>
      <c r="Q660" s="59" t="s">
        <v>150</v>
      </c>
      <c r="R660" s="59" t="s">
        <v>150</v>
      </c>
      <c r="S660" s="55"/>
      <c r="T660" s="56"/>
      <c r="V660" s="57" t="s">
        <v>159</v>
      </c>
      <c r="W660" s="59" t="s">
        <v>150</v>
      </c>
      <c r="X660" s="59" t="s">
        <v>150</v>
      </c>
      <c r="Y660" s="59" t="s">
        <v>150</v>
      </c>
      <c r="Z660" s="59" t="s">
        <v>150</v>
      </c>
      <c r="AA660" s="59" t="s">
        <v>150</v>
      </c>
      <c r="AB660" s="59" t="s">
        <v>150</v>
      </c>
      <c r="AF660" s="57" t="str">
        <f t="shared" si="391"/>
        <v>FICO 640-679</v>
      </c>
      <c r="AG660" s="59" t="s">
        <v>150</v>
      </c>
      <c r="AH660" s="59" t="s">
        <v>150</v>
      </c>
      <c r="AI660" s="59" t="s">
        <v>150</v>
      </c>
      <c r="AJ660" s="59" t="s">
        <v>150</v>
      </c>
      <c r="AK660" s="59" t="s">
        <v>150</v>
      </c>
      <c r="AL660" s="59" t="s">
        <v>150</v>
      </c>
      <c r="AM660" s="55"/>
      <c r="AN660" s="56"/>
      <c r="AP660" s="57" t="str">
        <f t="shared" si="392"/>
        <v>FICO 640-679</v>
      </c>
      <c r="AQ660" s="59" t="s">
        <v>150</v>
      </c>
      <c r="AR660" s="59" t="s">
        <v>150</v>
      </c>
      <c r="AS660" s="59" t="s">
        <v>150</v>
      </c>
      <c r="AT660" s="59" t="s">
        <v>150</v>
      </c>
      <c r="AU660" s="59" t="s">
        <v>150</v>
      </c>
      <c r="AV660" s="59" t="s">
        <v>150</v>
      </c>
      <c r="AZ660" s="57" t="str">
        <f t="shared" si="393"/>
        <v>FICO 640-679</v>
      </c>
      <c r="BA660" s="59" t="s">
        <v>150</v>
      </c>
      <c r="BB660" s="59" t="s">
        <v>150</v>
      </c>
      <c r="BC660" s="59" t="s">
        <v>150</v>
      </c>
      <c r="BD660" s="59" t="s">
        <v>150</v>
      </c>
      <c r="BE660" s="59" t="s">
        <v>150</v>
      </c>
      <c r="BF660" s="59" t="s">
        <v>150</v>
      </c>
    </row>
    <row r="661" spans="2:58" ht="15" customHeight="1" x14ac:dyDescent="0.45">
      <c r="B661" s="46" t="s">
        <v>154</v>
      </c>
      <c r="C661" s="64" t="s">
        <v>150</v>
      </c>
      <c r="D661" s="64" t="s">
        <v>150</v>
      </c>
      <c r="E661" s="64" t="s">
        <v>150</v>
      </c>
      <c r="F661" s="64" t="s">
        <v>150</v>
      </c>
      <c r="G661" s="64" t="s">
        <v>150</v>
      </c>
      <c r="H661" s="64" t="s">
        <v>150</v>
      </c>
      <c r="L661" s="46" t="s">
        <v>154</v>
      </c>
      <c r="M661" s="64" t="s">
        <v>150</v>
      </c>
      <c r="N661" s="64" t="s">
        <v>150</v>
      </c>
      <c r="O661" s="64" t="s">
        <v>150</v>
      </c>
      <c r="P661" s="64" t="s">
        <v>150</v>
      </c>
      <c r="Q661" s="64" t="s">
        <v>150</v>
      </c>
      <c r="R661" s="64" t="s">
        <v>150</v>
      </c>
      <c r="S661" s="55"/>
      <c r="T661" s="56"/>
      <c r="V661" s="46" t="str">
        <f>B661</f>
        <v>65.00%-70.00%</v>
      </c>
      <c r="W661" s="64" t="s">
        <v>150</v>
      </c>
      <c r="X661" s="64" t="s">
        <v>150</v>
      </c>
      <c r="Y661" s="64" t="s">
        <v>150</v>
      </c>
      <c r="Z661" s="64" t="s">
        <v>150</v>
      </c>
      <c r="AA661" s="64" t="s">
        <v>150</v>
      </c>
      <c r="AB661" s="64" t="s">
        <v>150</v>
      </c>
      <c r="AF661" s="46" t="str">
        <f t="shared" si="391"/>
        <v>65.00%-70.00%</v>
      </c>
      <c r="AG661" s="64" t="s">
        <v>150</v>
      </c>
      <c r="AH661" s="64" t="s">
        <v>150</v>
      </c>
      <c r="AI661" s="64" t="s">
        <v>150</v>
      </c>
      <c r="AJ661" s="64" t="s">
        <v>150</v>
      </c>
      <c r="AK661" s="64" t="s">
        <v>150</v>
      </c>
      <c r="AL661" s="64" t="s">
        <v>150</v>
      </c>
      <c r="AM661" s="55"/>
      <c r="AN661" s="56"/>
      <c r="AP661" s="46" t="str">
        <f t="shared" si="392"/>
        <v>65.00%-70.00%</v>
      </c>
      <c r="AQ661" s="64" t="s">
        <v>150</v>
      </c>
      <c r="AR661" s="64" t="s">
        <v>150</v>
      </c>
      <c r="AS661" s="64" t="s">
        <v>150</v>
      </c>
      <c r="AT661" s="64" t="s">
        <v>150</v>
      </c>
      <c r="AU661" s="64" t="s">
        <v>150</v>
      </c>
      <c r="AV661" s="64" t="s">
        <v>150</v>
      </c>
      <c r="AZ661" s="46" t="str">
        <f t="shared" si="393"/>
        <v>65.00%-70.00%</v>
      </c>
      <c r="BA661" s="64" t="s">
        <v>150</v>
      </c>
      <c r="BB661" s="64" t="s">
        <v>150</v>
      </c>
      <c r="BC661" s="64" t="s">
        <v>150</v>
      </c>
      <c r="BD661" s="64" t="s">
        <v>150</v>
      </c>
      <c r="BE661" s="64" t="s">
        <v>150</v>
      </c>
      <c r="BF661" s="64" t="s">
        <v>150</v>
      </c>
    </row>
    <row r="662" spans="2:58" ht="15" customHeight="1" x14ac:dyDescent="0.45">
      <c r="B662" s="52" t="s">
        <v>151</v>
      </c>
      <c r="C662" s="54" t="s">
        <v>150</v>
      </c>
      <c r="D662" s="54" t="s">
        <v>150</v>
      </c>
      <c r="E662" s="54" t="s">
        <v>150</v>
      </c>
      <c r="F662" s="54" t="s">
        <v>150</v>
      </c>
      <c r="G662" s="54" t="s">
        <v>150</v>
      </c>
      <c r="H662" s="54" t="s">
        <v>150</v>
      </c>
      <c r="L662" s="52" t="s">
        <v>151</v>
      </c>
      <c r="M662" s="54" t="s">
        <v>150</v>
      </c>
      <c r="N662" s="54" t="s">
        <v>150</v>
      </c>
      <c r="O662" s="54" t="s">
        <v>150</v>
      </c>
      <c r="P662" s="54" t="s">
        <v>150</v>
      </c>
      <c r="Q662" s="54" t="s">
        <v>150</v>
      </c>
      <c r="R662" s="54" t="s">
        <v>150</v>
      </c>
      <c r="S662" s="55"/>
      <c r="T662" s="56"/>
      <c r="V662" s="52" t="str">
        <f>B662</f>
        <v>FICO 700+</v>
      </c>
      <c r="W662" s="54" t="s">
        <v>150</v>
      </c>
      <c r="X662" s="54" t="s">
        <v>150</v>
      </c>
      <c r="Y662" s="54" t="s">
        <v>150</v>
      </c>
      <c r="Z662" s="54" t="s">
        <v>150</v>
      </c>
      <c r="AA662" s="54" t="s">
        <v>150</v>
      </c>
      <c r="AB662" s="54" t="s">
        <v>150</v>
      </c>
      <c r="AF662" s="52" t="str">
        <f t="shared" si="391"/>
        <v>FICO 700+</v>
      </c>
      <c r="AG662" s="54" t="s">
        <v>150</v>
      </c>
      <c r="AH662" s="54" t="s">
        <v>150</v>
      </c>
      <c r="AI662" s="54" t="s">
        <v>150</v>
      </c>
      <c r="AJ662" s="54" t="s">
        <v>150</v>
      </c>
      <c r="AK662" s="54" t="s">
        <v>150</v>
      </c>
      <c r="AL662" s="54" t="s">
        <v>150</v>
      </c>
      <c r="AM662" s="55"/>
      <c r="AN662" s="56"/>
      <c r="AP662" s="52" t="str">
        <f t="shared" si="392"/>
        <v>FICO 700+</v>
      </c>
      <c r="AQ662" s="54" t="s">
        <v>150</v>
      </c>
      <c r="AR662" s="54" t="s">
        <v>150</v>
      </c>
      <c r="AS662" s="54" t="s">
        <v>150</v>
      </c>
      <c r="AT662" s="54" t="s">
        <v>150</v>
      </c>
      <c r="AU662" s="54" t="s">
        <v>150</v>
      </c>
      <c r="AV662" s="54" t="s">
        <v>150</v>
      </c>
      <c r="AZ662" s="52" t="str">
        <f t="shared" si="393"/>
        <v>FICO 700+</v>
      </c>
      <c r="BA662" s="54" t="s">
        <v>150</v>
      </c>
      <c r="BB662" s="54" t="s">
        <v>150</v>
      </c>
      <c r="BC662" s="54" t="s">
        <v>150</v>
      </c>
      <c r="BD662" s="54" t="s">
        <v>150</v>
      </c>
      <c r="BE662" s="54" t="s">
        <v>150</v>
      </c>
      <c r="BF662" s="54" t="s">
        <v>150</v>
      </c>
    </row>
    <row r="663" spans="2:58" ht="15" customHeight="1" x14ac:dyDescent="0.45">
      <c r="B663" s="52" t="s">
        <v>158</v>
      </c>
      <c r="C663" s="54" t="s">
        <v>150</v>
      </c>
      <c r="D663" s="54" t="s">
        <v>150</v>
      </c>
      <c r="E663" s="54" t="s">
        <v>150</v>
      </c>
      <c r="F663" s="54" t="s">
        <v>150</v>
      </c>
      <c r="G663" s="54" t="s">
        <v>150</v>
      </c>
      <c r="H663" s="54" t="s">
        <v>150</v>
      </c>
      <c r="L663" s="52" t="s">
        <v>158</v>
      </c>
      <c r="M663" s="54" t="s">
        <v>150</v>
      </c>
      <c r="N663" s="54" t="s">
        <v>150</v>
      </c>
      <c r="O663" s="54" t="s">
        <v>150</v>
      </c>
      <c r="P663" s="54" t="s">
        <v>150</v>
      </c>
      <c r="Q663" s="54" t="s">
        <v>150</v>
      </c>
      <c r="R663" s="54" t="s">
        <v>150</v>
      </c>
      <c r="S663" s="55"/>
      <c r="T663" s="56"/>
      <c r="V663" s="52" t="str">
        <f>B663</f>
        <v>FICO 680-699</v>
      </c>
      <c r="W663" s="54" t="s">
        <v>150</v>
      </c>
      <c r="X663" s="54" t="s">
        <v>150</v>
      </c>
      <c r="Y663" s="54" t="s">
        <v>150</v>
      </c>
      <c r="Z663" s="54" t="s">
        <v>150</v>
      </c>
      <c r="AA663" s="54" t="s">
        <v>150</v>
      </c>
      <c r="AB663" s="54" t="s">
        <v>150</v>
      </c>
      <c r="AF663" s="52" t="str">
        <f t="shared" si="391"/>
        <v>FICO 680-699</v>
      </c>
      <c r="AG663" s="54" t="s">
        <v>150</v>
      </c>
      <c r="AH663" s="54" t="s">
        <v>150</v>
      </c>
      <c r="AI663" s="54" t="s">
        <v>150</v>
      </c>
      <c r="AJ663" s="54" t="s">
        <v>150</v>
      </c>
      <c r="AK663" s="54" t="s">
        <v>150</v>
      </c>
      <c r="AL663" s="54" t="s">
        <v>150</v>
      </c>
      <c r="AM663" s="55"/>
      <c r="AN663" s="56"/>
      <c r="AP663" s="52" t="str">
        <f t="shared" si="392"/>
        <v>FICO 680-699</v>
      </c>
      <c r="AQ663" s="54" t="s">
        <v>150</v>
      </c>
      <c r="AR663" s="54" t="s">
        <v>150</v>
      </c>
      <c r="AS663" s="54" t="s">
        <v>150</v>
      </c>
      <c r="AT663" s="54" t="s">
        <v>150</v>
      </c>
      <c r="AU663" s="54" t="s">
        <v>150</v>
      </c>
      <c r="AV663" s="54" t="s">
        <v>150</v>
      </c>
      <c r="AZ663" s="52" t="str">
        <f t="shared" si="393"/>
        <v>FICO 680-699</v>
      </c>
      <c r="BA663" s="54" t="s">
        <v>150</v>
      </c>
      <c r="BB663" s="54" t="s">
        <v>150</v>
      </c>
      <c r="BC663" s="54" t="s">
        <v>150</v>
      </c>
      <c r="BD663" s="54" t="s">
        <v>150</v>
      </c>
      <c r="BE663" s="54" t="s">
        <v>150</v>
      </c>
      <c r="BF663" s="54" t="s">
        <v>150</v>
      </c>
    </row>
    <row r="664" spans="2:58" ht="15" customHeight="1" x14ac:dyDescent="0.45">
      <c r="B664" s="57" t="s">
        <v>159</v>
      </c>
      <c r="C664" s="59" t="s">
        <v>150</v>
      </c>
      <c r="D664" s="59" t="s">
        <v>150</v>
      </c>
      <c r="E664" s="59" t="s">
        <v>150</v>
      </c>
      <c r="F664" s="59" t="s">
        <v>150</v>
      </c>
      <c r="G664" s="59" t="s">
        <v>150</v>
      </c>
      <c r="H664" s="59" t="s">
        <v>150</v>
      </c>
      <c r="L664" s="57" t="s">
        <v>159</v>
      </c>
      <c r="M664" s="59" t="s">
        <v>150</v>
      </c>
      <c r="N664" s="59" t="s">
        <v>150</v>
      </c>
      <c r="O664" s="59" t="s">
        <v>150</v>
      </c>
      <c r="P664" s="59" t="s">
        <v>150</v>
      </c>
      <c r="Q664" s="59" t="s">
        <v>150</v>
      </c>
      <c r="R664" s="59" t="s">
        <v>150</v>
      </c>
      <c r="S664" s="55"/>
      <c r="T664" s="56"/>
      <c r="V664" s="57" t="s">
        <v>159</v>
      </c>
      <c r="W664" s="59" t="s">
        <v>150</v>
      </c>
      <c r="X664" s="59" t="s">
        <v>150</v>
      </c>
      <c r="Y664" s="59" t="s">
        <v>150</v>
      </c>
      <c r="Z664" s="59" t="s">
        <v>150</v>
      </c>
      <c r="AA664" s="59" t="s">
        <v>150</v>
      </c>
      <c r="AB664" s="59" t="s">
        <v>150</v>
      </c>
      <c r="AF664" s="57" t="str">
        <f t="shared" si="391"/>
        <v>FICO 640-679</v>
      </c>
      <c r="AG664" s="59" t="s">
        <v>150</v>
      </c>
      <c r="AH664" s="59" t="s">
        <v>150</v>
      </c>
      <c r="AI664" s="59" t="s">
        <v>150</v>
      </c>
      <c r="AJ664" s="59" t="s">
        <v>150</v>
      </c>
      <c r="AK664" s="59" t="s">
        <v>150</v>
      </c>
      <c r="AL664" s="59" t="s">
        <v>150</v>
      </c>
      <c r="AM664" s="55"/>
      <c r="AN664" s="56"/>
      <c r="AP664" s="57" t="str">
        <f t="shared" si="392"/>
        <v>FICO 640-679</v>
      </c>
      <c r="AQ664" s="59" t="s">
        <v>150</v>
      </c>
      <c r="AR664" s="59" t="s">
        <v>150</v>
      </c>
      <c r="AS664" s="59" t="s">
        <v>150</v>
      </c>
      <c r="AT664" s="59" t="s">
        <v>150</v>
      </c>
      <c r="AU664" s="59" t="s">
        <v>150</v>
      </c>
      <c r="AV664" s="59" t="s">
        <v>150</v>
      </c>
      <c r="AZ664" s="57" t="str">
        <f t="shared" si="393"/>
        <v>FICO 640-679</v>
      </c>
      <c r="BA664" s="59" t="s">
        <v>150</v>
      </c>
      <c r="BB664" s="59" t="s">
        <v>150</v>
      </c>
      <c r="BC664" s="59" t="s">
        <v>150</v>
      </c>
      <c r="BD664" s="59" t="s">
        <v>150</v>
      </c>
      <c r="BE664" s="59" t="s">
        <v>150</v>
      </c>
      <c r="BF664" s="59" t="s">
        <v>150</v>
      </c>
    </row>
    <row r="665" spans="2:58" ht="15" customHeight="1" x14ac:dyDescent="0.45">
      <c r="B665" s="60" t="s">
        <v>155</v>
      </c>
      <c r="C665" s="64" t="s">
        <v>150</v>
      </c>
      <c r="D665" s="64" t="s">
        <v>150</v>
      </c>
      <c r="E665" s="64" t="s">
        <v>150</v>
      </c>
      <c r="F665" s="64" t="s">
        <v>150</v>
      </c>
      <c r="G665" s="64" t="s">
        <v>150</v>
      </c>
      <c r="H665" s="64" t="s">
        <v>150</v>
      </c>
      <c r="L665" s="60" t="s">
        <v>155</v>
      </c>
      <c r="M665" s="64" t="s">
        <v>150</v>
      </c>
      <c r="N665" s="64" t="s">
        <v>150</v>
      </c>
      <c r="O665" s="64" t="s">
        <v>150</v>
      </c>
      <c r="P665" s="64" t="s">
        <v>150</v>
      </c>
      <c r="Q665" s="64" t="s">
        <v>150</v>
      </c>
      <c r="R665" s="64" t="s">
        <v>150</v>
      </c>
      <c r="S665" s="55"/>
      <c r="T665" s="56"/>
      <c r="V665" s="60" t="s">
        <v>155</v>
      </c>
      <c r="W665" s="64" t="s">
        <v>150</v>
      </c>
      <c r="X665" s="64" t="s">
        <v>150</v>
      </c>
      <c r="Y665" s="64" t="s">
        <v>150</v>
      </c>
      <c r="Z665" s="64" t="s">
        <v>150</v>
      </c>
      <c r="AA665" s="64" t="s">
        <v>150</v>
      </c>
      <c r="AB665" s="64" t="s">
        <v>150</v>
      </c>
      <c r="AF665" s="60" t="str">
        <f t="shared" si="391"/>
        <v>&lt;64.99%</v>
      </c>
      <c r="AG665" s="64" t="s">
        <v>150</v>
      </c>
      <c r="AH665" s="64" t="s">
        <v>150</v>
      </c>
      <c r="AI665" s="64" t="s">
        <v>150</v>
      </c>
      <c r="AJ665" s="64" t="s">
        <v>150</v>
      </c>
      <c r="AK665" s="64" t="s">
        <v>150</v>
      </c>
      <c r="AL665" s="64" t="s">
        <v>150</v>
      </c>
      <c r="AM665" s="55"/>
      <c r="AN665" s="56"/>
      <c r="AP665" s="60" t="str">
        <f t="shared" si="392"/>
        <v>&lt;64.99%</v>
      </c>
      <c r="AQ665" s="64" t="s">
        <v>150</v>
      </c>
      <c r="AR665" s="64" t="s">
        <v>150</v>
      </c>
      <c r="AS665" s="64" t="s">
        <v>150</v>
      </c>
      <c r="AT665" s="64" t="s">
        <v>150</v>
      </c>
      <c r="AU665" s="64" t="s">
        <v>150</v>
      </c>
      <c r="AV665" s="64" t="s">
        <v>150</v>
      </c>
      <c r="AZ665" s="60" t="str">
        <f t="shared" si="393"/>
        <v>&lt;64.99%</v>
      </c>
      <c r="BA665" s="64" t="s">
        <v>150</v>
      </c>
      <c r="BB665" s="64" t="s">
        <v>150</v>
      </c>
      <c r="BC665" s="64" t="s">
        <v>150</v>
      </c>
      <c r="BD665" s="64" t="s">
        <v>150</v>
      </c>
      <c r="BE665" s="64" t="s">
        <v>150</v>
      </c>
      <c r="BF665" s="64" t="s">
        <v>150</v>
      </c>
    </row>
    <row r="666" spans="2:58" ht="15" customHeight="1" x14ac:dyDescent="0.45">
      <c r="B666" s="52" t="s">
        <v>151</v>
      </c>
      <c r="C666" s="54" t="s">
        <v>150</v>
      </c>
      <c r="D666" s="54" t="s">
        <v>150</v>
      </c>
      <c r="E666" s="54" t="s">
        <v>150</v>
      </c>
      <c r="F666" s="54" t="s">
        <v>150</v>
      </c>
      <c r="G666" s="54" t="s">
        <v>150</v>
      </c>
      <c r="H666" s="54" t="s">
        <v>150</v>
      </c>
      <c r="L666" s="52" t="s">
        <v>151</v>
      </c>
      <c r="M666" s="54" t="s">
        <v>150</v>
      </c>
      <c r="N666" s="54" t="s">
        <v>150</v>
      </c>
      <c r="O666" s="54" t="s">
        <v>150</v>
      </c>
      <c r="P666" s="54" t="s">
        <v>150</v>
      </c>
      <c r="Q666" s="54" t="s">
        <v>150</v>
      </c>
      <c r="R666" s="54" t="s">
        <v>150</v>
      </c>
      <c r="S666" s="55"/>
      <c r="T666" s="56"/>
      <c r="V666" s="52" t="s">
        <v>151</v>
      </c>
      <c r="W666" s="54" t="s">
        <v>150</v>
      </c>
      <c r="X666" s="54" t="s">
        <v>150</v>
      </c>
      <c r="Y666" s="54" t="s">
        <v>150</v>
      </c>
      <c r="Z666" s="54" t="s">
        <v>150</v>
      </c>
      <c r="AA666" s="54" t="s">
        <v>150</v>
      </c>
      <c r="AB666" s="54" t="s">
        <v>150</v>
      </c>
      <c r="AF666" s="52" t="str">
        <f t="shared" si="391"/>
        <v>FICO 700+</v>
      </c>
      <c r="AG666" s="54" t="s">
        <v>150</v>
      </c>
      <c r="AH666" s="54" t="s">
        <v>150</v>
      </c>
      <c r="AI666" s="54" t="s">
        <v>150</v>
      </c>
      <c r="AJ666" s="54" t="s">
        <v>150</v>
      </c>
      <c r="AK666" s="54" t="s">
        <v>150</v>
      </c>
      <c r="AL666" s="54" t="s">
        <v>150</v>
      </c>
      <c r="AM666" s="55"/>
      <c r="AN666" s="56"/>
      <c r="AP666" s="52" t="str">
        <f t="shared" si="392"/>
        <v>FICO 700+</v>
      </c>
      <c r="AQ666" s="54" t="s">
        <v>150</v>
      </c>
      <c r="AR666" s="54" t="s">
        <v>150</v>
      </c>
      <c r="AS666" s="54" t="s">
        <v>150</v>
      </c>
      <c r="AT666" s="54" t="s">
        <v>150</v>
      </c>
      <c r="AU666" s="54" t="s">
        <v>150</v>
      </c>
      <c r="AV666" s="54" t="s">
        <v>150</v>
      </c>
      <c r="AZ666" s="52" t="str">
        <f t="shared" si="393"/>
        <v>FICO 700+</v>
      </c>
      <c r="BA666" s="54" t="s">
        <v>150</v>
      </c>
      <c r="BB666" s="54" t="s">
        <v>150</v>
      </c>
      <c r="BC666" s="54" t="s">
        <v>150</v>
      </c>
      <c r="BD666" s="54" t="s">
        <v>150</v>
      </c>
      <c r="BE666" s="54" t="s">
        <v>150</v>
      </c>
      <c r="BF666" s="54" t="s">
        <v>150</v>
      </c>
    </row>
    <row r="667" spans="2:58" ht="15" customHeight="1" x14ac:dyDescent="0.45">
      <c r="B667" s="52" t="s">
        <v>158</v>
      </c>
      <c r="C667" s="54" t="s">
        <v>150</v>
      </c>
      <c r="D667" s="54" t="s">
        <v>150</v>
      </c>
      <c r="E667" s="54" t="s">
        <v>150</v>
      </c>
      <c r="F667" s="54" t="s">
        <v>150</v>
      </c>
      <c r="G667" s="54" t="s">
        <v>150</v>
      </c>
      <c r="H667" s="54" t="s">
        <v>150</v>
      </c>
      <c r="L667" s="52" t="s">
        <v>158</v>
      </c>
      <c r="M667" s="54" t="s">
        <v>150</v>
      </c>
      <c r="N667" s="54" t="s">
        <v>150</v>
      </c>
      <c r="O667" s="54" t="s">
        <v>150</v>
      </c>
      <c r="P667" s="54" t="s">
        <v>150</v>
      </c>
      <c r="Q667" s="54" t="s">
        <v>150</v>
      </c>
      <c r="R667" s="54" t="s">
        <v>150</v>
      </c>
      <c r="S667" s="55"/>
      <c r="T667" s="56"/>
      <c r="V667" s="52" t="s">
        <v>158</v>
      </c>
      <c r="W667" s="54" t="s">
        <v>150</v>
      </c>
      <c r="X667" s="54" t="s">
        <v>150</v>
      </c>
      <c r="Y667" s="54" t="s">
        <v>150</v>
      </c>
      <c r="Z667" s="54" t="s">
        <v>150</v>
      </c>
      <c r="AA667" s="54" t="s">
        <v>150</v>
      </c>
      <c r="AB667" s="54" t="s">
        <v>150</v>
      </c>
      <c r="AF667" s="52" t="str">
        <f t="shared" si="391"/>
        <v>FICO 680-699</v>
      </c>
      <c r="AG667" s="54" t="s">
        <v>150</v>
      </c>
      <c r="AH667" s="54" t="s">
        <v>150</v>
      </c>
      <c r="AI667" s="54" t="s">
        <v>150</v>
      </c>
      <c r="AJ667" s="54" t="s">
        <v>150</v>
      </c>
      <c r="AK667" s="54" t="s">
        <v>150</v>
      </c>
      <c r="AL667" s="54" t="s">
        <v>150</v>
      </c>
      <c r="AM667" s="55"/>
      <c r="AN667" s="56"/>
      <c r="AP667" s="52" t="str">
        <f t="shared" si="392"/>
        <v>FICO 680-699</v>
      </c>
      <c r="AQ667" s="54" t="s">
        <v>150</v>
      </c>
      <c r="AR667" s="54" t="s">
        <v>150</v>
      </c>
      <c r="AS667" s="54" t="s">
        <v>150</v>
      </c>
      <c r="AT667" s="54" t="s">
        <v>150</v>
      </c>
      <c r="AU667" s="54" t="s">
        <v>150</v>
      </c>
      <c r="AV667" s="54" t="s">
        <v>150</v>
      </c>
      <c r="AZ667" s="52" t="str">
        <f t="shared" si="393"/>
        <v>FICO 680-699</v>
      </c>
      <c r="BA667" s="54" t="s">
        <v>150</v>
      </c>
      <c r="BB667" s="54" t="s">
        <v>150</v>
      </c>
      <c r="BC667" s="54" t="s">
        <v>150</v>
      </c>
      <c r="BD667" s="54" t="s">
        <v>150</v>
      </c>
      <c r="BE667" s="54" t="s">
        <v>150</v>
      </c>
      <c r="BF667" s="54" t="s">
        <v>150</v>
      </c>
    </row>
    <row r="668" spans="2:58" ht="15" customHeight="1" x14ac:dyDescent="0.45">
      <c r="B668" s="52" t="s">
        <v>159</v>
      </c>
      <c r="C668" s="54" t="s">
        <v>150</v>
      </c>
      <c r="D668" s="54" t="s">
        <v>150</v>
      </c>
      <c r="E668" s="54" t="s">
        <v>150</v>
      </c>
      <c r="F668" s="54" t="s">
        <v>150</v>
      </c>
      <c r="G668" s="54" t="s">
        <v>150</v>
      </c>
      <c r="H668" s="54" t="s">
        <v>150</v>
      </c>
      <c r="L668" s="52" t="s">
        <v>159</v>
      </c>
      <c r="M668" s="54" t="s">
        <v>150</v>
      </c>
      <c r="N668" s="54" t="s">
        <v>150</v>
      </c>
      <c r="O668" s="54" t="s">
        <v>150</v>
      </c>
      <c r="P668" s="54" t="s">
        <v>150</v>
      </c>
      <c r="Q668" s="54" t="s">
        <v>150</v>
      </c>
      <c r="R668" s="54" t="s">
        <v>150</v>
      </c>
      <c r="S668" s="55"/>
      <c r="T668" s="56"/>
      <c r="V668" s="52" t="s">
        <v>159</v>
      </c>
      <c r="W668" s="54" t="s">
        <v>150</v>
      </c>
      <c r="X668" s="54" t="s">
        <v>150</v>
      </c>
      <c r="Y668" s="54" t="s">
        <v>150</v>
      </c>
      <c r="Z668" s="54" t="s">
        <v>150</v>
      </c>
      <c r="AA668" s="54" t="s">
        <v>150</v>
      </c>
      <c r="AB668" s="54" t="s">
        <v>150</v>
      </c>
      <c r="AF668" s="52" t="str">
        <f t="shared" si="391"/>
        <v>FICO 640-679</v>
      </c>
      <c r="AG668" s="54" t="s">
        <v>150</v>
      </c>
      <c r="AH668" s="54" t="s">
        <v>150</v>
      </c>
      <c r="AI668" s="54" t="s">
        <v>150</v>
      </c>
      <c r="AJ668" s="54" t="s">
        <v>150</v>
      </c>
      <c r="AK668" s="54" t="s">
        <v>150</v>
      </c>
      <c r="AL668" s="54" t="s">
        <v>150</v>
      </c>
      <c r="AM668" s="55"/>
      <c r="AN668" s="56"/>
      <c r="AP668" s="52" t="str">
        <f t="shared" si="392"/>
        <v>FICO 640-679</v>
      </c>
      <c r="AQ668" s="54" t="s">
        <v>150</v>
      </c>
      <c r="AR668" s="54" t="s">
        <v>150</v>
      </c>
      <c r="AS668" s="54" t="s">
        <v>150</v>
      </c>
      <c r="AT668" s="54" t="s">
        <v>150</v>
      </c>
      <c r="AU668" s="54" t="s">
        <v>150</v>
      </c>
      <c r="AV668" s="54" t="s">
        <v>150</v>
      </c>
      <c r="AZ668" s="52" t="str">
        <f t="shared" si="393"/>
        <v>FICO 640-679</v>
      </c>
      <c r="BA668" s="54" t="s">
        <v>150</v>
      </c>
      <c r="BB668" s="54" t="s">
        <v>150</v>
      </c>
      <c r="BC668" s="54" t="s">
        <v>150</v>
      </c>
      <c r="BD668" s="54" t="s">
        <v>150</v>
      </c>
      <c r="BE668" s="54" t="s">
        <v>150</v>
      </c>
      <c r="BF668" s="54" t="s">
        <v>150</v>
      </c>
    </row>
  </sheetData>
  <sheetProtection password="C3F8" sheet="1"/>
  <mergeCells count="541">
    <mergeCell ref="B1:R1"/>
    <mergeCell ref="V1:AL1"/>
    <mergeCell ref="AP1:BF1"/>
    <mergeCell ref="B2:R2"/>
    <mergeCell ref="V2:AL2"/>
    <mergeCell ref="AP2:BF2"/>
    <mergeCell ref="B3:R3"/>
    <mergeCell ref="V3:AL3"/>
    <mergeCell ref="AP3:BF3"/>
    <mergeCell ref="B5:H5"/>
    <mergeCell ref="L5:R5"/>
    <mergeCell ref="V5:AB5"/>
    <mergeCell ref="AF5:AL5"/>
    <mergeCell ref="AP5:AV5"/>
    <mergeCell ref="AZ5:BF5"/>
    <mergeCell ref="B6:H6"/>
    <mergeCell ref="L6:R6"/>
    <mergeCell ref="V6:AB6"/>
    <mergeCell ref="AF6:AL6"/>
    <mergeCell ref="AP6:AV6"/>
    <mergeCell ref="AZ6:BF6"/>
    <mergeCell ref="C7:H7"/>
    <mergeCell ref="M7:R7"/>
    <mergeCell ref="W7:AB7"/>
    <mergeCell ref="AG7:AL7"/>
    <mergeCell ref="AQ7:AV7"/>
    <mergeCell ref="BA7:BF7"/>
    <mergeCell ref="B22:H22"/>
    <mergeCell ref="L22:R22"/>
    <mergeCell ref="V22:AB22"/>
    <mergeCell ref="AF22:AL22"/>
    <mergeCell ref="AP22:AV22"/>
    <mergeCell ref="AZ22:BF22"/>
    <mergeCell ref="C23:H23"/>
    <mergeCell ref="M23:R23"/>
    <mergeCell ref="W23:AB23"/>
    <mergeCell ref="AG23:AL23"/>
    <mergeCell ref="AQ23:AV23"/>
    <mergeCell ref="BA23:BF23"/>
    <mergeCell ref="B38:H38"/>
    <mergeCell ref="L38:R38"/>
    <mergeCell ref="V38:AB38"/>
    <mergeCell ref="AF38:AL38"/>
    <mergeCell ref="AP38:AV38"/>
    <mergeCell ref="AZ38:BF38"/>
    <mergeCell ref="C39:H39"/>
    <mergeCell ref="M39:R39"/>
    <mergeCell ref="W39:AB39"/>
    <mergeCell ref="AG39:AL39"/>
    <mergeCell ref="AQ39:AV39"/>
    <mergeCell ref="BA39:BF39"/>
    <mergeCell ref="B56:H56"/>
    <mergeCell ref="L56:R56"/>
    <mergeCell ref="V56:AB56"/>
    <mergeCell ref="AF56:AL56"/>
    <mergeCell ref="AP56:AV56"/>
    <mergeCell ref="AZ56:BF56"/>
    <mergeCell ref="B57:H57"/>
    <mergeCell ref="L57:R57"/>
    <mergeCell ref="V57:AB57"/>
    <mergeCell ref="AF57:AL57"/>
    <mergeCell ref="AP57:AV57"/>
    <mergeCell ref="AZ57:BF57"/>
    <mergeCell ref="C58:H58"/>
    <mergeCell ref="M58:R58"/>
    <mergeCell ref="W58:AB58"/>
    <mergeCell ref="AG58:AL58"/>
    <mergeCell ref="AQ58:AV58"/>
    <mergeCell ref="BA58:BF58"/>
    <mergeCell ref="B73:H73"/>
    <mergeCell ref="L73:R73"/>
    <mergeCell ref="V73:AB73"/>
    <mergeCell ref="AF73:AL73"/>
    <mergeCell ref="AP73:AV73"/>
    <mergeCell ref="AZ73:BF73"/>
    <mergeCell ref="C74:H74"/>
    <mergeCell ref="M74:R74"/>
    <mergeCell ref="W74:AB74"/>
    <mergeCell ref="AG74:AL74"/>
    <mergeCell ref="AQ74:AV74"/>
    <mergeCell ref="BA74:BF74"/>
    <mergeCell ref="B89:H89"/>
    <mergeCell ref="L89:R89"/>
    <mergeCell ref="V89:AB89"/>
    <mergeCell ref="AF89:AL89"/>
    <mergeCell ref="AP89:AV89"/>
    <mergeCell ref="AZ89:BF89"/>
    <mergeCell ref="C90:H90"/>
    <mergeCell ref="M90:R90"/>
    <mergeCell ref="W90:AB90"/>
    <mergeCell ref="AG90:AL90"/>
    <mergeCell ref="AQ90:AV90"/>
    <mergeCell ref="BA90:BF90"/>
    <mergeCell ref="B107:H107"/>
    <mergeCell ref="L107:R107"/>
    <mergeCell ref="V107:AB107"/>
    <mergeCell ref="AF107:AL107"/>
    <mergeCell ref="AP107:AV107"/>
    <mergeCell ref="AZ107:BF107"/>
    <mergeCell ref="B108:H108"/>
    <mergeCell ref="L108:R108"/>
    <mergeCell ref="V108:AB108"/>
    <mergeCell ref="AF108:AL108"/>
    <mergeCell ref="AP108:AV108"/>
    <mergeCell ref="AZ108:BF108"/>
    <mergeCell ref="C109:H109"/>
    <mergeCell ref="M109:R109"/>
    <mergeCell ref="W109:AB109"/>
    <mergeCell ref="AG109:AL109"/>
    <mergeCell ref="AQ109:AV109"/>
    <mergeCell ref="BA109:BF109"/>
    <mergeCell ref="B128:H128"/>
    <mergeCell ref="L128:R128"/>
    <mergeCell ref="V128:AB128"/>
    <mergeCell ref="AF128:AL128"/>
    <mergeCell ref="AP128:AV128"/>
    <mergeCell ref="AZ128:BF128"/>
    <mergeCell ref="C129:H129"/>
    <mergeCell ref="M129:R129"/>
    <mergeCell ref="W129:AB129"/>
    <mergeCell ref="AG129:AL129"/>
    <mergeCell ref="AQ129:AV129"/>
    <mergeCell ref="BA129:BF129"/>
    <mergeCell ref="B148:H148"/>
    <mergeCell ref="L148:R148"/>
    <mergeCell ref="V148:AB148"/>
    <mergeCell ref="AF148:AL148"/>
    <mergeCell ref="AP148:AV148"/>
    <mergeCell ref="AZ148:BF148"/>
    <mergeCell ref="C149:H149"/>
    <mergeCell ref="M149:R149"/>
    <mergeCell ref="W149:AB149"/>
    <mergeCell ref="AG149:AL149"/>
    <mergeCell ref="AQ149:AV149"/>
    <mergeCell ref="BA149:BF149"/>
    <mergeCell ref="B168:R168"/>
    <mergeCell ref="V168:AL168"/>
    <mergeCell ref="AP168:BF168"/>
    <mergeCell ref="B169:R169"/>
    <mergeCell ref="V169:AL169"/>
    <mergeCell ref="AP169:BF169"/>
    <mergeCell ref="B170:R170"/>
    <mergeCell ref="V170:AL170"/>
    <mergeCell ref="AP170:BF170"/>
    <mergeCell ref="B172:H172"/>
    <mergeCell ref="L172:R172"/>
    <mergeCell ref="V172:AB172"/>
    <mergeCell ref="AF172:AL172"/>
    <mergeCell ref="AP172:AV172"/>
    <mergeCell ref="AZ172:BF172"/>
    <mergeCell ref="B173:H173"/>
    <mergeCell ref="L173:R173"/>
    <mergeCell ref="V173:AB173"/>
    <mergeCell ref="AF173:AL173"/>
    <mergeCell ref="AP173:AV173"/>
    <mergeCell ref="AZ173:BF173"/>
    <mergeCell ref="C174:H174"/>
    <mergeCell ref="M174:R174"/>
    <mergeCell ref="W174:AB174"/>
    <mergeCell ref="AG174:AL174"/>
    <mergeCell ref="AQ174:AV174"/>
    <mergeCell ref="BA174:BF174"/>
    <mergeCell ref="B189:H189"/>
    <mergeCell ref="L189:R189"/>
    <mergeCell ref="V189:AB189"/>
    <mergeCell ref="AF189:AL189"/>
    <mergeCell ref="AP189:AV189"/>
    <mergeCell ref="AZ189:BF189"/>
    <mergeCell ref="C190:H190"/>
    <mergeCell ref="M190:R190"/>
    <mergeCell ref="W190:AB190"/>
    <mergeCell ref="AG190:AL190"/>
    <mergeCell ref="AQ190:AV190"/>
    <mergeCell ref="BA190:BF190"/>
    <mergeCell ref="B205:H205"/>
    <mergeCell ref="L205:R205"/>
    <mergeCell ref="V205:AB205"/>
    <mergeCell ref="AF205:AL205"/>
    <mergeCell ref="AP205:AV205"/>
    <mergeCell ref="AZ205:BF205"/>
    <mergeCell ref="C206:H206"/>
    <mergeCell ref="M206:R206"/>
    <mergeCell ref="W206:AB206"/>
    <mergeCell ref="AG206:AL206"/>
    <mergeCell ref="AQ206:AV206"/>
    <mergeCell ref="BA206:BF206"/>
    <mergeCell ref="B223:H223"/>
    <mergeCell ref="L223:R223"/>
    <mergeCell ref="V223:AB223"/>
    <mergeCell ref="AF223:AL223"/>
    <mergeCell ref="AP223:AV223"/>
    <mergeCell ref="AZ223:BF223"/>
    <mergeCell ref="B224:H224"/>
    <mergeCell ref="L224:R224"/>
    <mergeCell ref="V224:AB224"/>
    <mergeCell ref="AF224:AL224"/>
    <mergeCell ref="AP224:AV224"/>
    <mergeCell ref="AZ224:BF224"/>
    <mergeCell ref="C225:H225"/>
    <mergeCell ref="M225:R225"/>
    <mergeCell ref="W225:AB225"/>
    <mergeCell ref="AG225:AL225"/>
    <mergeCell ref="AQ225:AV225"/>
    <mergeCell ref="BA225:BF225"/>
    <mergeCell ref="B240:H240"/>
    <mergeCell ref="L240:R240"/>
    <mergeCell ref="V240:AB240"/>
    <mergeCell ref="AF240:AL240"/>
    <mergeCell ref="AP240:AV240"/>
    <mergeCell ref="AZ240:BF240"/>
    <mergeCell ref="C241:H241"/>
    <mergeCell ref="M241:R241"/>
    <mergeCell ref="W241:AB241"/>
    <mergeCell ref="AG241:AL241"/>
    <mergeCell ref="AQ241:AV241"/>
    <mergeCell ref="BA241:BF241"/>
    <mergeCell ref="B256:H256"/>
    <mergeCell ref="L256:R256"/>
    <mergeCell ref="V256:AB256"/>
    <mergeCell ref="AF256:AL256"/>
    <mergeCell ref="AP256:AV256"/>
    <mergeCell ref="AZ256:BF256"/>
    <mergeCell ref="C257:H257"/>
    <mergeCell ref="M257:R257"/>
    <mergeCell ref="W257:AB257"/>
    <mergeCell ref="AG257:AL257"/>
    <mergeCell ref="AQ257:AV257"/>
    <mergeCell ref="BA257:BF257"/>
    <mergeCell ref="B274:H274"/>
    <mergeCell ref="L274:R274"/>
    <mergeCell ref="V274:AB274"/>
    <mergeCell ref="AF274:AL274"/>
    <mergeCell ref="AP274:AV274"/>
    <mergeCell ref="AZ274:BF274"/>
    <mergeCell ref="B275:H275"/>
    <mergeCell ref="L275:R275"/>
    <mergeCell ref="V275:AB275"/>
    <mergeCell ref="AF275:AL275"/>
    <mergeCell ref="AP275:AV275"/>
    <mergeCell ref="AZ275:BF275"/>
    <mergeCell ref="C276:H276"/>
    <mergeCell ref="M276:R276"/>
    <mergeCell ref="W276:AB276"/>
    <mergeCell ref="AG276:AL276"/>
    <mergeCell ref="AQ276:AV276"/>
    <mergeCell ref="BA276:BF276"/>
    <mergeCell ref="B295:H295"/>
    <mergeCell ref="L295:R295"/>
    <mergeCell ref="V295:AB295"/>
    <mergeCell ref="AF295:AL295"/>
    <mergeCell ref="AP295:AV295"/>
    <mergeCell ref="AZ295:BF295"/>
    <mergeCell ref="C296:H296"/>
    <mergeCell ref="M296:R296"/>
    <mergeCell ref="W296:AB296"/>
    <mergeCell ref="AG296:AL296"/>
    <mergeCell ref="AQ296:AV296"/>
    <mergeCell ref="BA296:BF296"/>
    <mergeCell ref="B315:H315"/>
    <mergeCell ref="L315:R315"/>
    <mergeCell ref="V315:AB315"/>
    <mergeCell ref="AF315:AL315"/>
    <mergeCell ref="AP315:AV315"/>
    <mergeCell ref="AZ315:BF315"/>
    <mergeCell ref="C316:H316"/>
    <mergeCell ref="M316:R316"/>
    <mergeCell ref="W316:AB316"/>
    <mergeCell ref="AG316:AL316"/>
    <mergeCell ref="AQ316:AV316"/>
    <mergeCell ref="BA316:BF316"/>
    <mergeCell ref="B335:BF335"/>
    <mergeCell ref="B336:R336"/>
    <mergeCell ref="V336:AL336"/>
    <mergeCell ref="AP336:BF336"/>
    <mergeCell ref="B337:R337"/>
    <mergeCell ref="V337:AL337"/>
    <mergeCell ref="AP337:BF337"/>
    <mergeCell ref="B338:R338"/>
    <mergeCell ref="V338:AL338"/>
    <mergeCell ref="AP338:BF338"/>
    <mergeCell ref="B340:H340"/>
    <mergeCell ref="L340:R340"/>
    <mergeCell ref="V340:AB340"/>
    <mergeCell ref="AF340:AL340"/>
    <mergeCell ref="AP340:AV340"/>
    <mergeCell ref="AZ340:BF340"/>
    <mergeCell ref="B341:H341"/>
    <mergeCell ref="L341:R341"/>
    <mergeCell ref="V341:AB341"/>
    <mergeCell ref="AF341:AL341"/>
    <mergeCell ref="AP341:AV341"/>
    <mergeCell ref="AZ341:BF341"/>
    <mergeCell ref="C342:H342"/>
    <mergeCell ref="M342:R342"/>
    <mergeCell ref="W342:AB342"/>
    <mergeCell ref="AG342:AL342"/>
    <mergeCell ref="AQ342:AV342"/>
    <mergeCell ref="BA342:BF342"/>
    <mergeCell ref="B357:H357"/>
    <mergeCell ref="L357:R357"/>
    <mergeCell ref="V357:AB357"/>
    <mergeCell ref="AF357:AL357"/>
    <mergeCell ref="AP357:AV357"/>
    <mergeCell ref="AZ357:BF357"/>
    <mergeCell ref="C358:H358"/>
    <mergeCell ref="M358:R358"/>
    <mergeCell ref="W358:AB358"/>
    <mergeCell ref="AG358:AL358"/>
    <mergeCell ref="AQ358:AV358"/>
    <mergeCell ref="BA358:BF358"/>
    <mergeCell ref="B373:H373"/>
    <mergeCell ref="L373:R373"/>
    <mergeCell ref="V373:AB373"/>
    <mergeCell ref="AF373:AL373"/>
    <mergeCell ref="AP373:AV373"/>
    <mergeCell ref="AZ373:BF373"/>
    <mergeCell ref="C374:H374"/>
    <mergeCell ref="M374:R374"/>
    <mergeCell ref="W374:AB374"/>
    <mergeCell ref="AG374:AL374"/>
    <mergeCell ref="AQ374:AV374"/>
    <mergeCell ref="BA374:BF374"/>
    <mergeCell ref="B391:H391"/>
    <mergeCell ref="L391:R391"/>
    <mergeCell ref="V391:AB391"/>
    <mergeCell ref="AF391:AL391"/>
    <mergeCell ref="AP391:AV391"/>
    <mergeCell ref="AZ391:BF391"/>
    <mergeCell ref="B392:H392"/>
    <mergeCell ref="L392:R392"/>
    <mergeCell ref="V392:AB392"/>
    <mergeCell ref="AF392:AL392"/>
    <mergeCell ref="AP392:AV392"/>
    <mergeCell ref="AZ392:BF392"/>
    <mergeCell ref="C393:H393"/>
    <mergeCell ref="M393:R393"/>
    <mergeCell ref="W393:AB393"/>
    <mergeCell ref="AG393:AL393"/>
    <mergeCell ref="AQ393:AV393"/>
    <mergeCell ref="BA393:BF393"/>
    <mergeCell ref="B408:H408"/>
    <mergeCell ref="L408:R408"/>
    <mergeCell ref="V408:AB408"/>
    <mergeCell ref="AF408:AL408"/>
    <mergeCell ref="AP408:AV408"/>
    <mergeCell ref="AZ408:BF408"/>
    <mergeCell ref="C409:H409"/>
    <mergeCell ref="M409:R409"/>
    <mergeCell ref="W409:AB409"/>
    <mergeCell ref="AG409:AL409"/>
    <mergeCell ref="AQ409:AV409"/>
    <mergeCell ref="BA409:BF409"/>
    <mergeCell ref="B424:H424"/>
    <mergeCell ref="L424:R424"/>
    <mergeCell ref="V424:AB424"/>
    <mergeCell ref="AF424:AL424"/>
    <mergeCell ref="AP424:AV424"/>
    <mergeCell ref="AZ424:BF424"/>
    <mergeCell ref="C425:H425"/>
    <mergeCell ref="M425:R425"/>
    <mergeCell ref="W425:AB425"/>
    <mergeCell ref="AG425:AL425"/>
    <mergeCell ref="AQ425:AV425"/>
    <mergeCell ref="BA425:BF425"/>
    <mergeCell ref="B442:H442"/>
    <mergeCell ref="L442:R442"/>
    <mergeCell ref="V442:AB442"/>
    <mergeCell ref="AF442:AL442"/>
    <mergeCell ref="AP442:AV442"/>
    <mergeCell ref="AZ442:BF442"/>
    <mergeCell ref="B443:H443"/>
    <mergeCell ref="L443:R443"/>
    <mergeCell ref="V443:AB443"/>
    <mergeCell ref="AF443:AL443"/>
    <mergeCell ref="AP443:AV443"/>
    <mergeCell ref="AZ443:BF443"/>
    <mergeCell ref="C444:H444"/>
    <mergeCell ref="M444:R444"/>
    <mergeCell ref="W444:AB444"/>
    <mergeCell ref="AG444:AL444"/>
    <mergeCell ref="AQ444:AV444"/>
    <mergeCell ref="BA444:BF444"/>
    <mergeCell ref="B463:H463"/>
    <mergeCell ref="L463:R463"/>
    <mergeCell ref="V463:AB463"/>
    <mergeCell ref="AF463:AL463"/>
    <mergeCell ref="AP463:AV463"/>
    <mergeCell ref="AZ463:BF463"/>
    <mergeCell ref="C464:H464"/>
    <mergeCell ref="M464:R464"/>
    <mergeCell ref="W464:AB464"/>
    <mergeCell ref="AG464:AL464"/>
    <mergeCell ref="AQ464:AV464"/>
    <mergeCell ref="BA464:BF464"/>
    <mergeCell ref="B483:H483"/>
    <mergeCell ref="L483:R483"/>
    <mergeCell ref="V483:AB483"/>
    <mergeCell ref="AF483:AL483"/>
    <mergeCell ref="AP483:AV483"/>
    <mergeCell ref="AZ483:BF483"/>
    <mergeCell ref="C484:H484"/>
    <mergeCell ref="M484:R484"/>
    <mergeCell ref="W484:AB484"/>
    <mergeCell ref="AG484:AL484"/>
    <mergeCell ref="AQ484:AV484"/>
    <mergeCell ref="BA484:BF484"/>
    <mergeCell ref="B503:R503"/>
    <mergeCell ref="V503:AL503"/>
    <mergeCell ref="AP503:BF503"/>
    <mergeCell ref="B504:R504"/>
    <mergeCell ref="V504:AL504"/>
    <mergeCell ref="AP504:BF504"/>
    <mergeCell ref="B505:R505"/>
    <mergeCell ref="V505:AL505"/>
    <mergeCell ref="AP505:BF505"/>
    <mergeCell ref="B507:H507"/>
    <mergeCell ref="L507:R507"/>
    <mergeCell ref="V507:AB507"/>
    <mergeCell ref="AF507:AL507"/>
    <mergeCell ref="AP507:AV507"/>
    <mergeCell ref="AZ507:BF507"/>
    <mergeCell ref="B508:H508"/>
    <mergeCell ref="L508:R508"/>
    <mergeCell ref="V508:AB508"/>
    <mergeCell ref="AF508:AL508"/>
    <mergeCell ref="AP508:AV508"/>
    <mergeCell ref="AZ508:BF508"/>
    <mergeCell ref="C509:H509"/>
    <mergeCell ref="M509:R509"/>
    <mergeCell ref="W509:AB509"/>
    <mergeCell ref="AG509:AL509"/>
    <mergeCell ref="AQ509:AV509"/>
    <mergeCell ref="BA509:BF509"/>
    <mergeCell ref="B524:H524"/>
    <mergeCell ref="L524:R524"/>
    <mergeCell ref="V524:AB524"/>
    <mergeCell ref="AF524:AL524"/>
    <mergeCell ref="AP524:AV524"/>
    <mergeCell ref="AZ524:BF524"/>
    <mergeCell ref="C525:H525"/>
    <mergeCell ref="M525:R525"/>
    <mergeCell ref="W525:AB525"/>
    <mergeCell ref="AG525:AL525"/>
    <mergeCell ref="AQ525:AV525"/>
    <mergeCell ref="BA525:BF525"/>
    <mergeCell ref="B540:H540"/>
    <mergeCell ref="L540:R540"/>
    <mergeCell ref="V540:AB540"/>
    <mergeCell ref="AF540:AL540"/>
    <mergeCell ref="AP540:AV540"/>
    <mergeCell ref="AZ540:BF540"/>
    <mergeCell ref="C541:H541"/>
    <mergeCell ref="M541:R541"/>
    <mergeCell ref="W541:AB541"/>
    <mergeCell ref="AG541:AL541"/>
    <mergeCell ref="AQ541:AV541"/>
    <mergeCell ref="BA541:BF541"/>
    <mergeCell ref="B558:H558"/>
    <mergeCell ref="L558:R558"/>
    <mergeCell ref="V558:AB558"/>
    <mergeCell ref="AF558:AL558"/>
    <mergeCell ref="AP558:AV558"/>
    <mergeCell ref="AZ558:BF558"/>
    <mergeCell ref="B559:H559"/>
    <mergeCell ref="L559:R559"/>
    <mergeCell ref="V559:AB559"/>
    <mergeCell ref="AF559:AL559"/>
    <mergeCell ref="AP559:AV559"/>
    <mergeCell ref="AZ559:BF559"/>
    <mergeCell ref="C560:H560"/>
    <mergeCell ref="M560:R560"/>
    <mergeCell ref="W560:AB560"/>
    <mergeCell ref="AG560:AL560"/>
    <mergeCell ref="AQ560:AV560"/>
    <mergeCell ref="BA560:BF560"/>
    <mergeCell ref="B575:H575"/>
    <mergeCell ref="L575:R575"/>
    <mergeCell ref="V575:AB575"/>
    <mergeCell ref="AF575:AL575"/>
    <mergeCell ref="AP575:AV575"/>
    <mergeCell ref="AZ575:BF575"/>
    <mergeCell ref="C576:H576"/>
    <mergeCell ref="M576:R576"/>
    <mergeCell ref="W576:AB576"/>
    <mergeCell ref="AG576:AL576"/>
    <mergeCell ref="AQ576:AV576"/>
    <mergeCell ref="BA576:BF576"/>
    <mergeCell ref="B591:H591"/>
    <mergeCell ref="L591:R591"/>
    <mergeCell ref="V591:AB591"/>
    <mergeCell ref="AF591:AL591"/>
    <mergeCell ref="AP591:AV591"/>
    <mergeCell ref="AZ591:BF591"/>
    <mergeCell ref="C592:H592"/>
    <mergeCell ref="M592:R592"/>
    <mergeCell ref="W592:AB592"/>
    <mergeCell ref="AG592:AL592"/>
    <mergeCell ref="AQ592:AV592"/>
    <mergeCell ref="BA592:BF592"/>
    <mergeCell ref="B609:H609"/>
    <mergeCell ref="L609:R609"/>
    <mergeCell ref="V609:AB609"/>
    <mergeCell ref="AF609:AL609"/>
    <mergeCell ref="AP609:AV609"/>
    <mergeCell ref="AZ609:BF609"/>
    <mergeCell ref="B610:H610"/>
    <mergeCell ref="L610:R610"/>
    <mergeCell ref="V610:AB610"/>
    <mergeCell ref="AF610:AL610"/>
    <mergeCell ref="AP610:AV610"/>
    <mergeCell ref="AZ610:BF610"/>
    <mergeCell ref="C611:H611"/>
    <mergeCell ref="M611:R611"/>
    <mergeCell ref="W611:AB611"/>
    <mergeCell ref="AG611:AL611"/>
    <mergeCell ref="AQ611:AV611"/>
    <mergeCell ref="BA611:BF611"/>
    <mergeCell ref="B630:H630"/>
    <mergeCell ref="L630:R630"/>
    <mergeCell ref="V630:AB630"/>
    <mergeCell ref="AF630:AL630"/>
    <mergeCell ref="AP630:AV630"/>
    <mergeCell ref="AZ630:BF630"/>
    <mergeCell ref="C631:H631"/>
    <mergeCell ref="M631:R631"/>
    <mergeCell ref="W631:AB631"/>
    <mergeCell ref="AG631:AL631"/>
    <mergeCell ref="AQ631:AV631"/>
    <mergeCell ref="BA631:BF631"/>
    <mergeCell ref="B650:H650"/>
    <mergeCell ref="L650:R650"/>
    <mergeCell ref="V650:AB650"/>
    <mergeCell ref="AF650:AL650"/>
    <mergeCell ref="AP650:AV650"/>
    <mergeCell ref="AZ650:BF650"/>
    <mergeCell ref="C651:H651"/>
    <mergeCell ref="M651:R651"/>
    <mergeCell ref="W651:AB651"/>
    <mergeCell ref="AG651:AL651"/>
    <mergeCell ref="AQ651:AV651"/>
    <mergeCell ref="BA651:BF651"/>
  </mergeCells>
  <printOptions horizontalCentered="1"/>
  <pageMargins left="0.2" right="0.2" top="0.5" bottom="0.2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showGridLines="0" zoomScaleNormal="100" workbookViewId="0">
      <selection activeCell="T7" sqref="T7"/>
    </sheetView>
  </sheetViews>
  <sheetFormatPr defaultColWidth="9.1328125" defaultRowHeight="14.25" x14ac:dyDescent="0.45"/>
  <cols>
    <col min="1" max="1" width="14.86328125" style="79" customWidth="1"/>
    <col min="2" max="2" width="17.1328125" style="79" customWidth="1"/>
    <col min="3" max="3" width="8.265625" style="79" customWidth="1"/>
    <col min="4" max="4" width="10.1328125" style="79" customWidth="1"/>
    <col min="5" max="5" width="11.59765625" style="79" customWidth="1"/>
    <col min="6" max="6" width="7.86328125" style="79" customWidth="1"/>
    <col min="7" max="7" width="12.59765625" style="79" customWidth="1"/>
    <col min="8" max="8" width="9.1328125" style="79"/>
    <col min="9" max="9" width="14.86328125" style="79" customWidth="1"/>
    <col min="10" max="10" width="17.1328125" style="79" customWidth="1"/>
    <col min="11" max="11" width="8.265625" style="79" customWidth="1"/>
    <col min="12" max="12" width="10.1328125" style="79" customWidth="1"/>
    <col min="13" max="13" width="11.59765625" style="79" customWidth="1"/>
    <col min="14" max="14" width="7.86328125" style="79" customWidth="1"/>
    <col min="15" max="15" width="12.59765625" style="79" customWidth="1"/>
    <col min="16" max="16384" width="9.1328125" style="79"/>
  </cols>
  <sheetData>
    <row r="1" spans="1:15" ht="15" customHeight="1" x14ac:dyDescent="0.45">
      <c r="A1" s="102" t="s">
        <v>243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15" s="80" customFormat="1" ht="5.25" customHeight="1" x14ac:dyDescent="0.45"/>
    <row r="3" spans="1:15" ht="24" customHeight="1" x14ac:dyDescent="0.45">
      <c r="A3" s="101" t="s">
        <v>244</v>
      </c>
      <c r="B3" s="101"/>
      <c r="C3" s="101"/>
      <c r="D3" s="101"/>
      <c r="E3" s="101"/>
      <c r="F3" s="101"/>
      <c r="G3" s="101"/>
      <c r="H3" s="81"/>
      <c r="I3" s="101" t="s">
        <v>245</v>
      </c>
      <c r="J3" s="101"/>
      <c r="K3" s="101"/>
      <c r="L3" s="101"/>
      <c r="M3" s="101"/>
      <c r="N3" s="101"/>
      <c r="O3" s="101"/>
    </row>
    <row r="4" spans="1:15" s="84" customFormat="1" ht="46.5" customHeight="1" x14ac:dyDescent="0.45">
      <c r="A4" s="82" t="s">
        <v>246</v>
      </c>
      <c r="B4" s="82" t="s">
        <v>247</v>
      </c>
      <c r="C4" s="82" t="s">
        <v>86</v>
      </c>
      <c r="D4" s="82" t="s">
        <v>88</v>
      </c>
      <c r="E4" s="82" t="s">
        <v>90</v>
      </c>
      <c r="F4" s="82" t="s">
        <v>92</v>
      </c>
      <c r="G4" s="82" t="s">
        <v>248</v>
      </c>
      <c r="H4" s="83"/>
      <c r="I4" s="82" t="s">
        <v>246</v>
      </c>
      <c r="J4" s="82" t="s">
        <v>247</v>
      </c>
      <c r="K4" s="82" t="s">
        <v>86</v>
      </c>
      <c r="L4" s="82" t="s">
        <v>88</v>
      </c>
      <c r="M4" s="82" t="s">
        <v>90</v>
      </c>
      <c r="N4" s="82" t="s">
        <v>92</v>
      </c>
      <c r="O4" s="82" t="s">
        <v>248</v>
      </c>
    </row>
    <row r="5" spans="1:15" ht="15" customHeight="1" x14ac:dyDescent="0.45">
      <c r="A5" s="81" t="s">
        <v>170</v>
      </c>
      <c r="B5" s="81" t="s">
        <v>249</v>
      </c>
      <c r="C5" s="81">
        <v>640</v>
      </c>
      <c r="D5" s="85">
        <v>0.9</v>
      </c>
      <c r="E5" s="85">
        <v>0.75</v>
      </c>
      <c r="F5" s="85">
        <v>0.92500000000000004</v>
      </c>
      <c r="G5" s="81" t="s">
        <v>250</v>
      </c>
      <c r="H5" s="81"/>
      <c r="I5" s="81" t="s">
        <v>170</v>
      </c>
      <c r="J5" s="81" t="s">
        <v>251</v>
      </c>
      <c r="K5" s="81">
        <v>700</v>
      </c>
      <c r="L5" s="85">
        <v>0.75</v>
      </c>
      <c r="M5" s="85">
        <v>0.7</v>
      </c>
      <c r="N5" s="85">
        <v>0.85</v>
      </c>
      <c r="O5" s="81" t="s">
        <v>250</v>
      </c>
    </row>
    <row r="6" spans="1:15" ht="15" customHeight="1" x14ac:dyDescent="0.45">
      <c r="A6" s="81" t="s">
        <v>171</v>
      </c>
      <c r="B6" s="81" t="s">
        <v>251</v>
      </c>
      <c r="C6" s="81">
        <v>660</v>
      </c>
      <c r="D6" s="85">
        <v>0.9</v>
      </c>
      <c r="E6" s="85">
        <v>0.75</v>
      </c>
      <c r="F6" s="85">
        <v>0.92500000000000004</v>
      </c>
      <c r="G6" s="81" t="s">
        <v>250</v>
      </c>
      <c r="H6" s="81"/>
      <c r="I6" s="81" t="s">
        <v>171</v>
      </c>
      <c r="J6" s="81" t="s">
        <v>251</v>
      </c>
      <c r="K6" s="81">
        <v>700</v>
      </c>
      <c r="L6" s="85">
        <v>0.65</v>
      </c>
      <c r="M6" s="85">
        <v>0.7</v>
      </c>
      <c r="N6" s="85">
        <v>0.75</v>
      </c>
      <c r="O6" s="81" t="s">
        <v>250</v>
      </c>
    </row>
    <row r="7" spans="1:15" ht="15" customHeight="1" x14ac:dyDescent="0.45">
      <c r="A7" s="81" t="s">
        <v>172</v>
      </c>
      <c r="B7" s="81" t="s">
        <v>252</v>
      </c>
      <c r="C7" s="81">
        <v>680</v>
      </c>
      <c r="D7" s="85">
        <v>0.75</v>
      </c>
      <c r="E7" s="85">
        <v>0.65</v>
      </c>
      <c r="F7" s="85">
        <v>0.85</v>
      </c>
      <c r="G7" s="81" t="s">
        <v>250</v>
      </c>
      <c r="H7" s="81"/>
      <c r="I7" s="81" t="s">
        <v>172</v>
      </c>
      <c r="J7" s="81" t="s">
        <v>150</v>
      </c>
      <c r="K7" s="81" t="s">
        <v>150</v>
      </c>
      <c r="L7" s="86" t="s">
        <v>150</v>
      </c>
      <c r="M7" s="86" t="s">
        <v>150</v>
      </c>
      <c r="N7" s="86" t="s">
        <v>150</v>
      </c>
      <c r="O7" s="81" t="s">
        <v>250</v>
      </c>
    </row>
    <row r="8" spans="1:15" ht="15" customHeight="1" x14ac:dyDescent="0.45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</row>
    <row r="9" spans="1:15" ht="24" customHeight="1" x14ac:dyDescent="0.45">
      <c r="A9" s="101" t="s">
        <v>253</v>
      </c>
      <c r="B9" s="101"/>
      <c r="C9" s="101"/>
      <c r="D9" s="101"/>
      <c r="E9" s="101"/>
      <c r="F9" s="101"/>
      <c r="G9" s="101"/>
      <c r="H9" s="81"/>
      <c r="I9" s="101" t="s">
        <v>254</v>
      </c>
      <c r="J9" s="101"/>
      <c r="K9" s="101"/>
      <c r="L9" s="101"/>
      <c r="M9" s="101"/>
      <c r="N9" s="101"/>
      <c r="O9" s="101"/>
    </row>
    <row r="10" spans="1:15" s="84" customFormat="1" ht="46.5" customHeight="1" x14ac:dyDescent="0.45">
      <c r="A10" s="82" t="s">
        <v>246</v>
      </c>
      <c r="B10" s="82" t="s">
        <v>247</v>
      </c>
      <c r="C10" s="82" t="s">
        <v>86</v>
      </c>
      <c r="D10" s="82" t="s">
        <v>88</v>
      </c>
      <c r="E10" s="82" t="s">
        <v>90</v>
      </c>
      <c r="F10" s="82" t="s">
        <v>92</v>
      </c>
      <c r="G10" s="82" t="s">
        <v>248</v>
      </c>
      <c r="H10" s="83"/>
      <c r="I10" s="82" t="s">
        <v>246</v>
      </c>
      <c r="J10" s="82" t="s">
        <v>247</v>
      </c>
      <c r="K10" s="82" t="s">
        <v>86</v>
      </c>
      <c r="L10" s="82" t="s">
        <v>88</v>
      </c>
      <c r="M10" s="82" t="s">
        <v>90</v>
      </c>
      <c r="N10" s="82" t="s">
        <v>92</v>
      </c>
      <c r="O10" s="82" t="s">
        <v>248</v>
      </c>
    </row>
    <row r="11" spans="1:15" ht="15" customHeight="1" x14ac:dyDescent="0.45">
      <c r="A11" s="81" t="s">
        <v>170</v>
      </c>
      <c r="B11" s="81" t="s">
        <v>249</v>
      </c>
      <c r="C11" s="81">
        <v>640</v>
      </c>
      <c r="D11" s="85">
        <v>0.8</v>
      </c>
      <c r="E11" s="85">
        <v>0.75</v>
      </c>
      <c r="F11" s="85">
        <v>0.92500000000000004</v>
      </c>
      <c r="G11" s="81" t="s">
        <v>255</v>
      </c>
      <c r="H11" s="81"/>
      <c r="I11" s="81" t="s">
        <v>170</v>
      </c>
      <c r="J11" s="81" t="s">
        <v>249</v>
      </c>
      <c r="K11" s="81">
        <v>640</v>
      </c>
      <c r="L11" s="85">
        <v>0.8</v>
      </c>
      <c r="M11" s="85">
        <v>0.75</v>
      </c>
      <c r="N11" s="85">
        <v>0.92500000000000004</v>
      </c>
      <c r="O11" s="81" t="s">
        <v>255</v>
      </c>
    </row>
    <row r="12" spans="1:15" ht="15" customHeight="1" x14ac:dyDescent="0.45">
      <c r="A12" s="81" t="s">
        <v>171</v>
      </c>
      <c r="B12" s="81" t="s">
        <v>251</v>
      </c>
      <c r="C12" s="81">
        <v>660</v>
      </c>
      <c r="D12" s="85">
        <v>0.7</v>
      </c>
      <c r="E12" s="85">
        <v>0.75</v>
      </c>
      <c r="F12" s="85">
        <v>0.92500000000000004</v>
      </c>
      <c r="G12" s="81" t="s">
        <v>255</v>
      </c>
      <c r="H12" s="81"/>
      <c r="I12" s="81" t="s">
        <v>171</v>
      </c>
      <c r="J12" s="81" t="s">
        <v>251</v>
      </c>
      <c r="K12" s="81">
        <v>660</v>
      </c>
      <c r="L12" s="85">
        <v>0.7</v>
      </c>
      <c r="M12" s="85">
        <v>0.75</v>
      </c>
      <c r="N12" s="85">
        <v>0.92500000000000004</v>
      </c>
      <c r="O12" s="81" t="s">
        <v>255</v>
      </c>
    </row>
    <row r="13" spans="1:15" ht="15" customHeight="1" x14ac:dyDescent="0.45">
      <c r="A13" s="81" t="s">
        <v>172</v>
      </c>
      <c r="B13" s="81" t="s">
        <v>252</v>
      </c>
      <c r="C13" s="81">
        <v>680</v>
      </c>
      <c r="D13" s="85">
        <v>0.65</v>
      </c>
      <c r="E13" s="85">
        <v>0.65</v>
      </c>
      <c r="F13" s="85">
        <v>0.8</v>
      </c>
      <c r="G13" s="81" t="s">
        <v>255</v>
      </c>
      <c r="H13" s="81"/>
      <c r="I13" s="81" t="s">
        <v>172</v>
      </c>
      <c r="J13" s="81" t="s">
        <v>252</v>
      </c>
      <c r="K13" s="81">
        <v>680</v>
      </c>
      <c r="L13" s="85">
        <v>0.65</v>
      </c>
      <c r="M13" s="85">
        <v>0.65</v>
      </c>
      <c r="N13" s="85">
        <v>0.8</v>
      </c>
      <c r="O13" s="81" t="s">
        <v>255</v>
      </c>
    </row>
    <row r="14" spans="1:15" ht="15" customHeight="1" x14ac:dyDescent="0.45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</row>
    <row r="15" spans="1:15" ht="24" customHeight="1" x14ac:dyDescent="0.45">
      <c r="A15" s="101" t="s">
        <v>256</v>
      </c>
      <c r="B15" s="101"/>
      <c r="C15" s="101"/>
      <c r="D15" s="101"/>
      <c r="E15" s="101"/>
      <c r="F15" s="101"/>
      <c r="G15" s="101"/>
      <c r="H15" s="81"/>
      <c r="I15" s="101" t="s">
        <v>257</v>
      </c>
      <c r="J15" s="101"/>
      <c r="K15" s="101"/>
      <c r="L15" s="101"/>
      <c r="M15" s="101"/>
      <c r="N15" s="101"/>
      <c r="O15" s="101"/>
    </row>
    <row r="16" spans="1:15" s="84" customFormat="1" ht="46.5" customHeight="1" x14ac:dyDescent="0.45">
      <c r="A16" s="82" t="s">
        <v>246</v>
      </c>
      <c r="B16" s="82" t="s">
        <v>247</v>
      </c>
      <c r="C16" s="82" t="s">
        <v>86</v>
      </c>
      <c r="D16" s="82" t="s">
        <v>88</v>
      </c>
      <c r="E16" s="82" t="s">
        <v>90</v>
      </c>
      <c r="F16" s="82" t="s">
        <v>92</v>
      </c>
      <c r="G16" s="82" t="s">
        <v>248</v>
      </c>
      <c r="H16" s="83"/>
      <c r="I16" s="82" t="s">
        <v>246</v>
      </c>
      <c r="J16" s="82" t="s">
        <v>247</v>
      </c>
      <c r="K16" s="82" t="s">
        <v>86</v>
      </c>
      <c r="L16" s="82" t="s">
        <v>88</v>
      </c>
      <c r="M16" s="82" t="s">
        <v>90</v>
      </c>
      <c r="N16" s="82" t="s">
        <v>92</v>
      </c>
      <c r="O16" s="82" t="s">
        <v>248</v>
      </c>
    </row>
    <row r="17" spans="1:15" ht="15" customHeight="1" x14ac:dyDescent="0.45">
      <c r="A17" s="81" t="s">
        <v>170</v>
      </c>
      <c r="B17" s="81" t="s">
        <v>249</v>
      </c>
      <c r="C17" s="81">
        <v>670</v>
      </c>
      <c r="D17" s="85">
        <v>0.75</v>
      </c>
      <c r="E17" s="85">
        <v>0.75</v>
      </c>
      <c r="F17" s="85">
        <v>0.75</v>
      </c>
      <c r="G17" s="81" t="s">
        <v>258</v>
      </c>
      <c r="H17" s="81"/>
      <c r="I17" s="81" t="s">
        <v>170</v>
      </c>
      <c r="J17" s="81" t="s">
        <v>251</v>
      </c>
      <c r="K17" s="81">
        <v>700</v>
      </c>
      <c r="L17" s="85">
        <v>0.75</v>
      </c>
      <c r="M17" s="85">
        <v>0.75</v>
      </c>
      <c r="N17" s="85">
        <v>0.75</v>
      </c>
      <c r="O17" s="81" t="s">
        <v>258</v>
      </c>
    </row>
    <row r="18" spans="1:15" ht="15" customHeight="1" x14ac:dyDescent="0.45">
      <c r="A18" s="81" t="s">
        <v>171</v>
      </c>
      <c r="B18" s="81" t="s">
        <v>251</v>
      </c>
      <c r="C18" s="81">
        <v>670</v>
      </c>
      <c r="D18" s="85">
        <v>0.75</v>
      </c>
      <c r="E18" s="85">
        <v>0.75</v>
      </c>
      <c r="F18" s="85">
        <v>0.75</v>
      </c>
      <c r="G18" s="81" t="s">
        <v>258</v>
      </c>
      <c r="H18" s="81"/>
      <c r="I18" s="81" t="s">
        <v>171</v>
      </c>
      <c r="J18" s="81" t="s">
        <v>251</v>
      </c>
      <c r="K18" s="81">
        <v>700</v>
      </c>
      <c r="L18" s="85">
        <v>0.7</v>
      </c>
      <c r="M18" s="85">
        <v>0.7</v>
      </c>
      <c r="N18" s="85">
        <v>0.7</v>
      </c>
      <c r="O18" s="81" t="s">
        <v>258</v>
      </c>
    </row>
    <row r="19" spans="1:15" ht="15" customHeight="1" x14ac:dyDescent="0.45">
      <c r="A19" s="81" t="s">
        <v>172</v>
      </c>
      <c r="B19" s="81" t="s">
        <v>252</v>
      </c>
      <c r="C19" s="81">
        <v>680</v>
      </c>
      <c r="D19" s="85">
        <v>0.7</v>
      </c>
      <c r="E19" s="85">
        <v>0.7</v>
      </c>
      <c r="F19" s="85">
        <v>0.7</v>
      </c>
      <c r="G19" s="81" t="s">
        <v>258</v>
      </c>
      <c r="H19" s="81"/>
      <c r="I19" s="81" t="s">
        <v>172</v>
      </c>
      <c r="J19" s="81" t="s">
        <v>252</v>
      </c>
      <c r="K19" s="81">
        <v>700</v>
      </c>
      <c r="L19" s="85">
        <v>0.65</v>
      </c>
      <c r="M19" s="85">
        <v>0.65</v>
      </c>
      <c r="N19" s="85">
        <v>0.65</v>
      </c>
      <c r="O19" s="81" t="s">
        <v>258</v>
      </c>
    </row>
  </sheetData>
  <sheetProtection password="C3F8" sheet="1"/>
  <mergeCells count="7">
    <mergeCell ref="A15:G15"/>
    <mergeCell ref="I15:O15"/>
    <mergeCell ref="A1:O1"/>
    <mergeCell ref="A3:G3"/>
    <mergeCell ref="I3:O3"/>
    <mergeCell ref="A9:G9"/>
    <mergeCell ref="I9:O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"/>
  <sheetViews>
    <sheetView showGridLines="0" zoomScaleNormal="100" workbookViewId="0">
      <selection activeCell="L41" sqref="L41"/>
    </sheetView>
  </sheetViews>
  <sheetFormatPr defaultColWidth="9.1328125" defaultRowHeight="13.15" x14ac:dyDescent="0.4"/>
  <cols>
    <col min="1" max="1" width="22.73046875" style="76" customWidth="1"/>
    <col min="2" max="3" width="9.1328125" style="76"/>
    <col min="4" max="4" width="16.86328125" style="76" customWidth="1"/>
    <col min="5" max="16384" width="9.1328125" style="76"/>
  </cols>
  <sheetData>
    <row r="1" spans="1:4" ht="13.5" customHeight="1" x14ac:dyDescent="0.4">
      <c r="A1" s="77" t="s">
        <v>173</v>
      </c>
      <c r="B1" s="77"/>
      <c r="C1" s="77"/>
      <c r="D1" s="77"/>
    </row>
    <row r="2" spans="1:4" ht="13.5" customHeight="1" x14ac:dyDescent="0.4">
      <c r="A2" s="78" t="s">
        <v>174</v>
      </c>
    </row>
    <row r="3" spans="1:4" ht="12.75" customHeight="1" x14ac:dyDescent="0.4">
      <c r="A3" s="78"/>
      <c r="B3" s="78" t="s">
        <v>175</v>
      </c>
    </row>
    <row r="4" spans="1:4" ht="12.75" customHeight="1" x14ac:dyDescent="0.4">
      <c r="A4" s="78"/>
      <c r="B4" s="78" t="s">
        <v>176</v>
      </c>
    </row>
    <row r="5" spans="1:4" ht="12.75" customHeight="1" x14ac:dyDescent="0.4">
      <c r="A5" s="78"/>
      <c r="B5" s="78" t="s">
        <v>177</v>
      </c>
    </row>
    <row r="6" spans="1:4" ht="12.75" customHeight="1" x14ac:dyDescent="0.4">
      <c r="A6" s="78" t="s">
        <v>178</v>
      </c>
    </row>
    <row r="7" spans="1:4" ht="12.75" customHeight="1" x14ac:dyDescent="0.4">
      <c r="A7" s="78"/>
      <c r="B7" s="78" t="s">
        <v>175</v>
      </c>
    </row>
    <row r="8" spans="1:4" ht="12.75" customHeight="1" x14ac:dyDescent="0.4">
      <c r="A8" s="78"/>
      <c r="B8" s="78" t="s">
        <v>179</v>
      </c>
    </row>
    <row r="9" spans="1:4" ht="12.75" customHeight="1" x14ac:dyDescent="0.4">
      <c r="A9" s="78"/>
      <c r="B9" s="78" t="s">
        <v>177</v>
      </c>
    </row>
    <row r="10" spans="1:4" ht="12.75" customHeight="1" x14ac:dyDescent="0.4">
      <c r="A10" s="78" t="s">
        <v>180</v>
      </c>
    </row>
    <row r="11" spans="1:4" ht="12.75" customHeight="1" x14ac:dyDescent="0.4">
      <c r="B11" s="78" t="s">
        <v>181</v>
      </c>
    </row>
    <row r="12" spans="1:4" ht="12.75" customHeight="1" x14ac:dyDescent="0.4">
      <c r="B12" s="78" t="s">
        <v>182</v>
      </c>
    </row>
    <row r="13" spans="1:4" ht="12.75" customHeight="1" x14ac:dyDescent="0.4">
      <c r="A13" s="78" t="s">
        <v>183</v>
      </c>
    </row>
    <row r="14" spans="1:4" ht="12.75" customHeight="1" x14ac:dyDescent="0.4">
      <c r="A14" s="78" t="s">
        <v>184</v>
      </c>
    </row>
    <row r="16" spans="1:4" ht="13.5" customHeight="1" x14ac:dyDescent="0.4">
      <c r="A16" s="77" t="s">
        <v>185</v>
      </c>
      <c r="B16" s="77"/>
      <c r="C16" s="77"/>
      <c r="D16" s="77"/>
    </row>
    <row r="17" spans="1:2" ht="13.5" customHeight="1" x14ac:dyDescent="0.4">
      <c r="A17" s="78" t="s">
        <v>186</v>
      </c>
    </row>
    <row r="18" spans="1:2" ht="12.75" customHeight="1" x14ac:dyDescent="0.4">
      <c r="A18" s="78" t="s">
        <v>187</v>
      </c>
    </row>
    <row r="19" spans="1:2" ht="12.75" customHeight="1" x14ac:dyDescent="0.4">
      <c r="B19" s="78" t="s">
        <v>188</v>
      </c>
    </row>
    <row r="20" spans="1:2" ht="12.75" customHeight="1" x14ac:dyDescent="0.4">
      <c r="A20" s="78" t="s">
        <v>189</v>
      </c>
    </row>
    <row r="21" spans="1:2" ht="12.75" customHeight="1" x14ac:dyDescent="0.4">
      <c r="B21" s="78" t="s">
        <v>190</v>
      </c>
    </row>
    <row r="22" spans="1:2" ht="12.75" customHeight="1" x14ac:dyDescent="0.4">
      <c r="B22" s="78" t="s">
        <v>191</v>
      </c>
    </row>
    <row r="23" spans="1:2" ht="12.75" customHeight="1" x14ac:dyDescent="0.4">
      <c r="A23" s="78" t="s">
        <v>192</v>
      </c>
    </row>
    <row r="24" spans="1:2" ht="12.75" customHeight="1" x14ac:dyDescent="0.4">
      <c r="B24" s="78" t="s">
        <v>193</v>
      </c>
    </row>
    <row r="25" spans="1:2" ht="12.75" customHeight="1" x14ac:dyDescent="0.4">
      <c r="B25" s="78" t="s">
        <v>194</v>
      </c>
    </row>
    <row r="26" spans="1:2" ht="12.75" customHeight="1" x14ac:dyDescent="0.4">
      <c r="B26" s="78" t="s">
        <v>195</v>
      </c>
    </row>
    <row r="27" spans="1:2" ht="12.75" customHeight="1" x14ac:dyDescent="0.4">
      <c r="B27" s="78" t="s">
        <v>196</v>
      </c>
    </row>
    <row r="28" spans="1:2" ht="12.75" customHeight="1" x14ac:dyDescent="0.4">
      <c r="B28" s="78" t="s">
        <v>197</v>
      </c>
    </row>
    <row r="29" spans="1:2" ht="12.75" customHeight="1" x14ac:dyDescent="0.4">
      <c r="B29" s="78" t="s">
        <v>198</v>
      </c>
    </row>
    <row r="30" spans="1:2" ht="12.75" customHeight="1" x14ac:dyDescent="0.4">
      <c r="A30" s="78" t="s">
        <v>199</v>
      </c>
    </row>
    <row r="31" spans="1:2" ht="12.75" customHeight="1" x14ac:dyDescent="0.4">
      <c r="A31" s="78" t="s">
        <v>200</v>
      </c>
    </row>
    <row r="33" spans="1:4" ht="13.5" customHeight="1" x14ac:dyDescent="0.4">
      <c r="A33" s="77" t="s">
        <v>201</v>
      </c>
      <c r="B33" s="77"/>
      <c r="C33" s="77"/>
      <c r="D33" s="77"/>
    </row>
    <row r="34" spans="1:4" ht="13.5" customHeight="1" x14ac:dyDescent="0.4">
      <c r="A34" s="78" t="s">
        <v>202</v>
      </c>
    </row>
    <row r="35" spans="1:4" ht="12.75" customHeight="1" x14ac:dyDescent="0.4">
      <c r="B35" s="78" t="s">
        <v>203</v>
      </c>
    </row>
    <row r="36" spans="1:4" ht="12.75" customHeight="1" x14ac:dyDescent="0.4">
      <c r="A36" s="78" t="s">
        <v>204</v>
      </c>
      <c r="B36" s="78"/>
    </row>
    <row r="37" spans="1:4" ht="12.75" customHeight="1" x14ac:dyDescent="0.4">
      <c r="B37" s="78" t="s">
        <v>205</v>
      </c>
    </row>
    <row r="38" spans="1:4" ht="12.75" customHeight="1" x14ac:dyDescent="0.4">
      <c r="C38" s="78" t="s">
        <v>206</v>
      </c>
    </row>
    <row r="39" spans="1:4" ht="12.75" customHeight="1" x14ac:dyDescent="0.4">
      <c r="D39" s="78" t="s">
        <v>207</v>
      </c>
    </row>
    <row r="40" spans="1:4" ht="12.75" customHeight="1" x14ac:dyDescent="0.4">
      <c r="D40" s="78" t="s">
        <v>208</v>
      </c>
    </row>
    <row r="41" spans="1:4" ht="12.75" customHeight="1" x14ac:dyDescent="0.4">
      <c r="D41" s="78" t="s">
        <v>209</v>
      </c>
    </row>
    <row r="42" spans="1:4" ht="12.75" customHeight="1" x14ac:dyDescent="0.4">
      <c r="C42" s="78" t="s">
        <v>210</v>
      </c>
    </row>
    <row r="43" spans="1:4" ht="12.75" customHeight="1" x14ac:dyDescent="0.4">
      <c r="D43" s="78" t="s">
        <v>208</v>
      </c>
    </row>
    <row r="44" spans="1:4" ht="12.75" customHeight="1" x14ac:dyDescent="0.4">
      <c r="D44" s="78" t="s">
        <v>209</v>
      </c>
    </row>
    <row r="45" spans="1:4" ht="12.75" customHeight="1" x14ac:dyDescent="0.4">
      <c r="A45" s="78" t="s">
        <v>211</v>
      </c>
    </row>
    <row r="46" spans="1:4" ht="12.75" customHeight="1" x14ac:dyDescent="0.4">
      <c r="B46" s="78" t="s">
        <v>212</v>
      </c>
    </row>
    <row r="47" spans="1:4" ht="12.75" customHeight="1" x14ac:dyDescent="0.4">
      <c r="B47" s="78" t="s">
        <v>213</v>
      </c>
    </row>
    <row r="48" spans="1:4" ht="12.75" customHeight="1" x14ac:dyDescent="0.4">
      <c r="B48" s="78" t="s">
        <v>214</v>
      </c>
    </row>
    <row r="49" spans="1:4" ht="12.75" customHeight="1" x14ac:dyDescent="0.4">
      <c r="B49" s="78" t="s">
        <v>215</v>
      </c>
    </row>
    <row r="51" spans="1:4" ht="13.5" customHeight="1" x14ac:dyDescent="0.4">
      <c r="A51" s="77" t="s">
        <v>216</v>
      </c>
      <c r="B51" s="77"/>
      <c r="C51" s="77"/>
      <c r="D51" s="77"/>
    </row>
    <row r="52" spans="1:4" ht="13.5" customHeight="1" x14ac:dyDescent="0.4">
      <c r="A52" s="78" t="s">
        <v>217</v>
      </c>
    </row>
    <row r="53" spans="1:4" ht="12.75" customHeight="1" x14ac:dyDescent="0.4">
      <c r="A53" s="78" t="s">
        <v>218</v>
      </c>
    </row>
    <row r="55" spans="1:4" ht="13.5" customHeight="1" x14ac:dyDescent="0.4">
      <c r="A55" s="77" t="s">
        <v>219</v>
      </c>
      <c r="B55" s="77"/>
      <c r="C55" s="77"/>
      <c r="D55" s="77"/>
    </row>
    <row r="56" spans="1:4" ht="13.5" customHeight="1" x14ac:dyDescent="0.4">
      <c r="A56" s="78" t="s">
        <v>220</v>
      </c>
    </row>
    <row r="57" spans="1:4" ht="12.75" customHeight="1" x14ac:dyDescent="0.4">
      <c r="B57" s="78" t="s">
        <v>221</v>
      </c>
    </row>
    <row r="58" spans="1:4" ht="12.75" customHeight="1" x14ac:dyDescent="0.4">
      <c r="B58" s="78" t="s">
        <v>222</v>
      </c>
    </row>
    <row r="59" spans="1:4" ht="12.75" customHeight="1" x14ac:dyDescent="0.4">
      <c r="B59" s="78" t="s">
        <v>223</v>
      </c>
    </row>
    <row r="60" spans="1:4" ht="12.75" customHeight="1" x14ac:dyDescent="0.4">
      <c r="B60" s="78" t="s">
        <v>224</v>
      </c>
    </row>
    <row r="61" spans="1:4" ht="12.75" customHeight="1" x14ac:dyDescent="0.4">
      <c r="B61" s="78" t="s">
        <v>225</v>
      </c>
    </row>
    <row r="62" spans="1:4" ht="12.75" customHeight="1" x14ac:dyDescent="0.4">
      <c r="B62" s="78" t="s">
        <v>226</v>
      </c>
    </row>
    <row r="63" spans="1:4" ht="12.75" customHeight="1" x14ac:dyDescent="0.4">
      <c r="B63" s="78" t="s">
        <v>227</v>
      </c>
    </row>
    <row r="64" spans="1:4" ht="12.75" customHeight="1" x14ac:dyDescent="0.4">
      <c r="B64" s="78" t="s">
        <v>228</v>
      </c>
    </row>
    <row r="65" spans="1:4" ht="12.75" customHeight="1" x14ac:dyDescent="0.4">
      <c r="B65" s="78" t="s">
        <v>229</v>
      </c>
    </row>
    <row r="67" spans="1:4" ht="13.5" customHeight="1" x14ac:dyDescent="0.4">
      <c r="A67" s="77" t="s">
        <v>230</v>
      </c>
      <c r="B67" s="77"/>
      <c r="C67" s="77"/>
      <c r="D67" s="77"/>
    </row>
    <row r="68" spans="1:4" ht="13.5" customHeight="1" x14ac:dyDescent="0.4">
      <c r="A68" s="78" t="s">
        <v>231</v>
      </c>
    </row>
    <row r="69" spans="1:4" ht="12.75" customHeight="1" x14ac:dyDescent="0.4">
      <c r="A69" s="78" t="s">
        <v>232</v>
      </c>
    </row>
    <row r="71" spans="1:4" ht="13.5" customHeight="1" x14ac:dyDescent="0.4">
      <c r="A71" s="77" t="s">
        <v>233</v>
      </c>
      <c r="B71" s="77"/>
      <c r="C71" s="77"/>
      <c r="D71" s="77"/>
    </row>
    <row r="72" spans="1:4" ht="13.5" customHeight="1" x14ac:dyDescent="0.4">
      <c r="A72" s="78" t="s">
        <v>234</v>
      </c>
    </row>
    <row r="73" spans="1:4" ht="12.75" customHeight="1" x14ac:dyDescent="0.4">
      <c r="A73" s="78" t="s">
        <v>235</v>
      </c>
    </row>
    <row r="74" spans="1:4" ht="12.75" customHeight="1" x14ac:dyDescent="0.4">
      <c r="A74" s="78" t="s">
        <v>236</v>
      </c>
    </row>
    <row r="75" spans="1:4" ht="12.75" customHeight="1" x14ac:dyDescent="0.4">
      <c r="A75" s="78" t="s">
        <v>237</v>
      </c>
    </row>
    <row r="77" spans="1:4" ht="13.5" customHeight="1" x14ac:dyDescent="0.4">
      <c r="A77" s="77" t="s">
        <v>238</v>
      </c>
      <c r="B77" s="77"/>
      <c r="C77" s="77"/>
      <c r="D77" s="77"/>
    </row>
    <row r="78" spans="1:4" ht="13.5" customHeight="1" x14ac:dyDescent="0.4">
      <c r="A78" s="78" t="s">
        <v>239</v>
      </c>
    </row>
    <row r="79" spans="1:4" ht="12.75" customHeight="1" x14ac:dyDescent="0.4">
      <c r="A79" s="78" t="s">
        <v>240</v>
      </c>
    </row>
    <row r="80" spans="1:4" ht="12.75" customHeight="1" x14ac:dyDescent="0.4">
      <c r="A80" s="78" t="s">
        <v>241</v>
      </c>
    </row>
    <row r="81" spans="1:1" ht="12.75" customHeight="1" x14ac:dyDescent="0.4">
      <c r="A81" s="78" t="s">
        <v>242</v>
      </c>
    </row>
  </sheetData>
  <sheetProtection password="C3F8" sheet="1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556"/>
  <sheetViews>
    <sheetView zoomScaleNormal="100" workbookViewId="0"/>
  </sheetViews>
  <sheetFormatPr defaultColWidth="8.73046875" defaultRowHeight="14.25" x14ac:dyDescent="0.45"/>
  <sheetData>
    <row r="1" spans="1:21" ht="15" customHeight="1" x14ac:dyDescent="0.45">
      <c r="A1" s="87" t="s">
        <v>259</v>
      </c>
      <c r="B1" s="87" t="s">
        <v>38</v>
      </c>
      <c r="C1" s="87" t="s">
        <v>260</v>
      </c>
      <c r="E1" s="87" t="s">
        <v>261</v>
      </c>
      <c r="F1" s="87" t="s">
        <v>262</v>
      </c>
      <c r="G1" s="87" t="s">
        <v>263</v>
      </c>
      <c r="H1" s="87" t="s">
        <v>264</v>
      </c>
      <c r="I1" s="87" t="s">
        <v>265</v>
      </c>
      <c r="J1" s="87" t="s">
        <v>266</v>
      </c>
      <c r="L1" s="87" t="s">
        <v>267</v>
      </c>
      <c r="M1" s="87" t="s">
        <v>268</v>
      </c>
      <c r="N1" s="87" t="s">
        <v>269</v>
      </c>
      <c r="O1" s="87" t="s">
        <v>270</v>
      </c>
      <c r="P1" s="87" t="s">
        <v>271</v>
      </c>
      <c r="Q1" s="87" t="s">
        <v>272</v>
      </c>
      <c r="R1" s="87" t="s">
        <v>273</v>
      </c>
      <c r="S1" s="87" t="s">
        <v>274</v>
      </c>
      <c r="T1" s="87" t="s">
        <v>275</v>
      </c>
      <c r="U1" s="87" t="s">
        <v>276</v>
      </c>
    </row>
    <row r="2" spans="1:21" ht="15" customHeight="1" x14ac:dyDescent="0.45">
      <c r="A2" t="s">
        <v>277</v>
      </c>
      <c r="B2" s="8">
        <f>'EMCAP_Pricing Matrix'!C10</f>
        <v>8.2500000000000004E-2</v>
      </c>
      <c r="C2" t="s">
        <v>278</v>
      </c>
      <c r="E2" t="s">
        <v>279</v>
      </c>
      <c r="F2">
        <v>4500000</v>
      </c>
      <c r="G2">
        <v>640</v>
      </c>
      <c r="H2">
        <v>0.9</v>
      </c>
      <c r="I2">
        <v>0.75</v>
      </c>
      <c r="J2">
        <v>0.92500000000000004</v>
      </c>
      <c r="L2" t="s">
        <v>5</v>
      </c>
      <c r="M2" t="s">
        <v>280</v>
      </c>
      <c r="N2" t="s">
        <v>8</v>
      </c>
      <c r="O2" t="s">
        <v>281</v>
      </c>
      <c r="P2" t="s">
        <v>13</v>
      </c>
      <c r="Q2" t="s">
        <v>282</v>
      </c>
      <c r="R2" t="s">
        <v>18</v>
      </c>
      <c r="S2" t="s">
        <v>283</v>
      </c>
      <c r="T2">
        <v>12</v>
      </c>
      <c r="U2" t="s">
        <v>284</v>
      </c>
    </row>
    <row r="3" spans="1:21" ht="15" customHeight="1" x14ac:dyDescent="0.45">
      <c r="A3" t="s">
        <v>285</v>
      </c>
      <c r="B3" s="8">
        <f>'EMCAP_Pricing Matrix'!D10</f>
        <v>8.3750000000000005E-2</v>
      </c>
      <c r="C3" t="s">
        <v>286</v>
      </c>
      <c r="E3" t="s">
        <v>287</v>
      </c>
      <c r="F3">
        <v>2500000</v>
      </c>
      <c r="G3">
        <v>700</v>
      </c>
      <c r="H3">
        <v>0.75</v>
      </c>
      <c r="I3">
        <v>0.7</v>
      </c>
      <c r="J3">
        <v>0.85</v>
      </c>
      <c r="L3" t="s">
        <v>288</v>
      </c>
      <c r="M3" t="s">
        <v>255</v>
      </c>
      <c r="N3" t="s">
        <v>289</v>
      </c>
      <c r="O3" t="s">
        <v>290</v>
      </c>
      <c r="P3" t="s">
        <v>291</v>
      </c>
      <c r="Q3" t="s">
        <v>292</v>
      </c>
      <c r="R3" t="s">
        <v>293</v>
      </c>
      <c r="S3" t="s">
        <v>294</v>
      </c>
      <c r="T3">
        <v>18</v>
      </c>
      <c r="U3" t="s">
        <v>26</v>
      </c>
    </row>
    <row r="4" spans="1:21" ht="15" customHeight="1" x14ac:dyDescent="0.45">
      <c r="A4" t="s">
        <v>295</v>
      </c>
      <c r="B4" s="8">
        <f>'EMCAP_Pricing Matrix'!E10</f>
        <v>8.5000000000000006E-2</v>
      </c>
      <c r="C4" t="s">
        <v>296</v>
      </c>
      <c r="E4" t="s">
        <v>297</v>
      </c>
      <c r="F4">
        <v>2500000</v>
      </c>
      <c r="G4">
        <v>660</v>
      </c>
      <c r="H4">
        <v>0.9</v>
      </c>
      <c r="I4">
        <v>0.75</v>
      </c>
      <c r="J4">
        <v>0.92500000000000004</v>
      </c>
      <c r="L4" t="s">
        <v>298</v>
      </c>
      <c r="M4" t="s">
        <v>299</v>
      </c>
      <c r="R4" t="s">
        <v>300</v>
      </c>
      <c r="S4" t="s">
        <v>258</v>
      </c>
      <c r="T4">
        <v>24</v>
      </c>
    </row>
    <row r="5" spans="1:21" ht="15" customHeight="1" x14ac:dyDescent="0.45">
      <c r="A5" t="s">
        <v>301</v>
      </c>
      <c r="B5" s="8">
        <f>'EMCAP_Pricing Matrix'!F10</f>
        <v>8.6250000000000007E-2</v>
      </c>
      <c r="C5" t="s">
        <v>302</v>
      </c>
      <c r="E5" t="s">
        <v>303</v>
      </c>
      <c r="F5">
        <v>2500000</v>
      </c>
      <c r="G5">
        <v>700</v>
      </c>
      <c r="H5">
        <v>0.65</v>
      </c>
      <c r="I5">
        <v>0.7</v>
      </c>
      <c r="J5">
        <v>0.75</v>
      </c>
    </row>
    <row r="6" spans="1:21" ht="15" customHeight="1" x14ac:dyDescent="0.45">
      <c r="A6" t="s">
        <v>304</v>
      </c>
      <c r="B6" s="8">
        <f>'EMCAP_Pricing Matrix'!G10</f>
        <v>8.7500000000000008E-2</v>
      </c>
      <c r="C6" t="s">
        <v>305</v>
      </c>
      <c r="E6" t="s">
        <v>306</v>
      </c>
      <c r="F6">
        <v>950000</v>
      </c>
      <c r="G6">
        <v>680</v>
      </c>
      <c r="H6">
        <v>0.75</v>
      </c>
      <c r="I6">
        <v>0.65</v>
      </c>
      <c r="J6">
        <v>0.85</v>
      </c>
    </row>
    <row r="7" spans="1:21" ht="15" customHeight="1" x14ac:dyDescent="0.45">
      <c r="A7" t="s">
        <v>307</v>
      </c>
      <c r="B7" s="8">
        <f>'EMCAP_Pricing Matrix'!H10</f>
        <v>8.7500000000000008E-2</v>
      </c>
      <c r="C7" t="s">
        <v>308</v>
      </c>
      <c r="E7" t="s">
        <v>309</v>
      </c>
      <c r="F7">
        <v>0</v>
      </c>
    </row>
    <row r="8" spans="1:21" ht="15" customHeight="1" x14ac:dyDescent="0.45">
      <c r="A8" t="s">
        <v>310</v>
      </c>
      <c r="B8" s="8">
        <f>'EMCAP_Pricing Matrix'!M10</f>
        <v>0.11</v>
      </c>
      <c r="C8" t="s">
        <v>311</v>
      </c>
      <c r="E8" t="s">
        <v>312</v>
      </c>
      <c r="F8">
        <v>4500000</v>
      </c>
      <c r="G8">
        <v>640</v>
      </c>
      <c r="H8">
        <v>0.8</v>
      </c>
      <c r="I8">
        <v>0.75</v>
      </c>
      <c r="J8">
        <v>0.92500000000000004</v>
      </c>
    </row>
    <row r="9" spans="1:21" ht="15" customHeight="1" x14ac:dyDescent="0.45">
      <c r="A9" t="s">
        <v>313</v>
      </c>
      <c r="B9" s="8">
        <f>'EMCAP_Pricing Matrix'!N10</f>
        <v>0.1125</v>
      </c>
      <c r="C9" t="s">
        <v>314</v>
      </c>
      <c r="E9" t="s">
        <v>315</v>
      </c>
      <c r="F9">
        <v>4500000</v>
      </c>
      <c r="G9">
        <v>640</v>
      </c>
      <c r="H9">
        <v>0.8</v>
      </c>
      <c r="I9">
        <v>0.75</v>
      </c>
      <c r="J9">
        <v>0.92500000000000004</v>
      </c>
    </row>
    <row r="10" spans="1:21" ht="15" customHeight="1" x14ac:dyDescent="0.45">
      <c r="A10" t="s">
        <v>316</v>
      </c>
      <c r="B10" s="8">
        <f>'EMCAP_Pricing Matrix'!O10</f>
        <v>0.115</v>
      </c>
      <c r="C10" t="s">
        <v>317</v>
      </c>
      <c r="E10" t="s">
        <v>318</v>
      </c>
      <c r="F10">
        <v>2500000</v>
      </c>
      <c r="G10">
        <v>660</v>
      </c>
      <c r="H10">
        <v>0.7</v>
      </c>
      <c r="I10">
        <v>0.75</v>
      </c>
      <c r="J10">
        <v>0.92500000000000004</v>
      </c>
    </row>
    <row r="11" spans="1:21" ht="15" customHeight="1" x14ac:dyDescent="0.45">
      <c r="A11" t="s">
        <v>319</v>
      </c>
      <c r="B11" s="8">
        <f>'EMCAP_Pricing Matrix'!W10</f>
        <v>8.3750000000000005E-2</v>
      </c>
      <c r="C11" t="s">
        <v>320</v>
      </c>
      <c r="E11" t="s">
        <v>321</v>
      </c>
      <c r="F11">
        <v>2500000</v>
      </c>
      <c r="G11">
        <v>660</v>
      </c>
      <c r="H11">
        <v>0.7</v>
      </c>
      <c r="I11">
        <v>0.75</v>
      </c>
      <c r="J11">
        <v>0.92500000000000004</v>
      </c>
    </row>
    <row r="12" spans="1:21" ht="15" customHeight="1" x14ac:dyDescent="0.45">
      <c r="A12" t="s">
        <v>322</v>
      </c>
      <c r="B12" s="8">
        <f>'EMCAP_Pricing Matrix'!X10</f>
        <v>8.5000000000000006E-2</v>
      </c>
      <c r="C12" t="s">
        <v>323</v>
      </c>
      <c r="E12" t="s">
        <v>324</v>
      </c>
      <c r="F12">
        <v>950000</v>
      </c>
      <c r="G12">
        <v>680</v>
      </c>
      <c r="H12">
        <v>0.65</v>
      </c>
      <c r="I12">
        <v>0.65</v>
      </c>
      <c r="J12">
        <v>0.8</v>
      </c>
    </row>
    <row r="13" spans="1:21" ht="15" customHeight="1" x14ac:dyDescent="0.45">
      <c r="A13" t="s">
        <v>325</v>
      </c>
      <c r="B13" s="8">
        <f>'EMCAP_Pricing Matrix'!Y10</f>
        <v>8.6250000000000007E-2</v>
      </c>
      <c r="C13" t="s">
        <v>326</v>
      </c>
      <c r="E13" t="s">
        <v>327</v>
      </c>
      <c r="F13">
        <v>950000</v>
      </c>
      <c r="G13">
        <v>680</v>
      </c>
      <c r="H13">
        <v>0.65</v>
      </c>
      <c r="I13">
        <v>0.65</v>
      </c>
      <c r="J13">
        <v>0.8</v>
      </c>
    </row>
    <row r="14" spans="1:21" ht="15" customHeight="1" x14ac:dyDescent="0.45">
      <c r="A14" t="s">
        <v>328</v>
      </c>
      <c r="B14" s="8">
        <f>'EMCAP_Pricing Matrix'!Z10</f>
        <v>8.7500000000000008E-2</v>
      </c>
      <c r="C14" t="s">
        <v>329</v>
      </c>
      <c r="E14" t="s">
        <v>330</v>
      </c>
      <c r="F14">
        <v>4500000</v>
      </c>
      <c r="G14">
        <v>670</v>
      </c>
      <c r="H14">
        <v>0.75</v>
      </c>
      <c r="I14">
        <v>0.75</v>
      </c>
      <c r="J14">
        <v>0.75</v>
      </c>
    </row>
    <row r="15" spans="1:21" ht="15" customHeight="1" x14ac:dyDescent="0.45">
      <c r="A15" t="s">
        <v>331</v>
      </c>
      <c r="B15" s="8">
        <f>'EMCAP_Pricing Matrix'!AA10</f>
        <v>8.8750000000000009E-2</v>
      </c>
      <c r="C15" t="s">
        <v>332</v>
      </c>
      <c r="E15" t="s">
        <v>333</v>
      </c>
      <c r="F15">
        <v>2500000</v>
      </c>
      <c r="G15">
        <v>700</v>
      </c>
      <c r="H15">
        <v>0.75</v>
      </c>
      <c r="I15">
        <v>0.75</v>
      </c>
      <c r="J15">
        <v>0.75</v>
      </c>
    </row>
    <row r="16" spans="1:21" ht="15" customHeight="1" x14ac:dyDescent="0.45">
      <c r="A16" t="s">
        <v>334</v>
      </c>
      <c r="B16" s="8">
        <f>'EMCAP_Pricing Matrix'!AB10</f>
        <v>8.8750000000000009E-2</v>
      </c>
      <c r="C16" t="s">
        <v>335</v>
      </c>
      <c r="E16" t="s">
        <v>336</v>
      </c>
      <c r="F16">
        <v>2500000</v>
      </c>
      <c r="G16">
        <v>670</v>
      </c>
      <c r="H16">
        <v>0.75</v>
      </c>
      <c r="I16">
        <v>0.75</v>
      </c>
      <c r="J16">
        <v>0.75</v>
      </c>
    </row>
    <row r="17" spans="1:10" ht="15" customHeight="1" x14ac:dyDescent="0.45">
      <c r="A17" t="s">
        <v>337</v>
      </c>
      <c r="B17" s="8">
        <f>'EMCAP_Pricing Matrix'!AG10</f>
        <v>0.11125</v>
      </c>
      <c r="C17" t="s">
        <v>338</v>
      </c>
      <c r="E17" t="s">
        <v>339</v>
      </c>
      <c r="F17">
        <v>2500000</v>
      </c>
      <c r="G17">
        <v>700</v>
      </c>
      <c r="H17">
        <v>0.7</v>
      </c>
      <c r="I17">
        <v>0.7</v>
      </c>
      <c r="J17">
        <v>0.7</v>
      </c>
    </row>
    <row r="18" spans="1:10" ht="15" customHeight="1" x14ac:dyDescent="0.45">
      <c r="A18" t="s">
        <v>340</v>
      </c>
      <c r="B18" s="8">
        <f>'EMCAP_Pricing Matrix'!AH10</f>
        <v>0.11375</v>
      </c>
      <c r="C18" t="s">
        <v>341</v>
      </c>
      <c r="E18" t="s">
        <v>342</v>
      </c>
      <c r="F18">
        <v>950000</v>
      </c>
      <c r="G18">
        <v>680</v>
      </c>
      <c r="H18">
        <v>0.7</v>
      </c>
      <c r="I18">
        <v>0.7</v>
      </c>
      <c r="J18">
        <v>0.7</v>
      </c>
    </row>
    <row r="19" spans="1:10" ht="15" customHeight="1" x14ac:dyDescent="0.45">
      <c r="A19" t="s">
        <v>343</v>
      </c>
      <c r="B19" s="8">
        <f>'EMCAP_Pricing Matrix'!AI10</f>
        <v>0.11625000000000001</v>
      </c>
      <c r="C19" t="s">
        <v>344</v>
      </c>
      <c r="E19" t="s">
        <v>345</v>
      </c>
      <c r="F19">
        <v>950000</v>
      </c>
      <c r="G19">
        <v>700</v>
      </c>
      <c r="H19">
        <v>0.65</v>
      </c>
      <c r="I19">
        <v>0.65</v>
      </c>
      <c r="J19">
        <v>0.65</v>
      </c>
    </row>
    <row r="20" spans="1:10" ht="15" customHeight="1" x14ac:dyDescent="0.45">
      <c r="A20" t="s">
        <v>346</v>
      </c>
      <c r="B20" s="8">
        <f>'EMCAP_Pricing Matrix'!AQ10</f>
        <v>8.5000000000000006E-2</v>
      </c>
      <c r="C20" t="s">
        <v>347</v>
      </c>
    </row>
    <row r="21" spans="1:10" ht="15" customHeight="1" x14ac:dyDescent="0.45">
      <c r="A21" t="s">
        <v>348</v>
      </c>
      <c r="B21" s="8">
        <f>'EMCAP_Pricing Matrix'!AR10</f>
        <v>8.6250000000000007E-2</v>
      </c>
      <c r="C21" t="s">
        <v>349</v>
      </c>
    </row>
    <row r="22" spans="1:10" ht="15" customHeight="1" x14ac:dyDescent="0.45">
      <c r="A22" t="s">
        <v>350</v>
      </c>
      <c r="B22" s="8">
        <f>'EMCAP_Pricing Matrix'!AS10</f>
        <v>8.7500000000000008E-2</v>
      </c>
      <c r="C22" t="s">
        <v>351</v>
      </c>
    </row>
    <row r="23" spans="1:10" ht="15" customHeight="1" x14ac:dyDescent="0.45">
      <c r="A23" t="s">
        <v>352</v>
      </c>
      <c r="B23" s="8">
        <f>'EMCAP_Pricing Matrix'!AT10</f>
        <v>8.8750000000000009E-2</v>
      </c>
      <c r="C23" t="s">
        <v>353</v>
      </c>
    </row>
    <row r="24" spans="1:10" ht="15" customHeight="1" x14ac:dyDescent="0.45">
      <c r="A24" t="s">
        <v>354</v>
      </c>
      <c r="B24" s="8">
        <f>'EMCAP_Pricing Matrix'!AU10</f>
        <v>9.0000000000000011E-2</v>
      </c>
      <c r="C24" t="s">
        <v>355</v>
      </c>
    </row>
    <row r="25" spans="1:10" ht="15" customHeight="1" x14ac:dyDescent="0.45">
      <c r="A25" t="s">
        <v>356</v>
      </c>
      <c r="B25" s="8">
        <f>'EMCAP_Pricing Matrix'!AV10</f>
        <v>9.0000000000000011E-2</v>
      </c>
      <c r="C25" t="s">
        <v>357</v>
      </c>
    </row>
    <row r="26" spans="1:10" ht="15" customHeight="1" x14ac:dyDescent="0.45">
      <c r="A26" t="s">
        <v>358</v>
      </c>
      <c r="B26" s="8">
        <f>'EMCAP_Pricing Matrix'!C11</f>
        <v>8.7500000000000008E-2</v>
      </c>
      <c r="C26" t="s">
        <v>359</v>
      </c>
    </row>
    <row r="27" spans="1:10" ht="15" customHeight="1" x14ac:dyDescent="0.45">
      <c r="A27" t="s">
        <v>360</v>
      </c>
      <c r="B27" s="8">
        <f>'EMCAP_Pricing Matrix'!D11</f>
        <v>8.8750000000000009E-2</v>
      </c>
      <c r="C27" t="s">
        <v>361</v>
      </c>
    </row>
    <row r="28" spans="1:10" ht="15" customHeight="1" x14ac:dyDescent="0.45">
      <c r="A28" t="s">
        <v>362</v>
      </c>
      <c r="B28" s="8">
        <f>'EMCAP_Pricing Matrix'!E11</f>
        <v>9.0000000000000011E-2</v>
      </c>
      <c r="C28" t="s">
        <v>363</v>
      </c>
    </row>
    <row r="29" spans="1:10" ht="15" customHeight="1" x14ac:dyDescent="0.45">
      <c r="A29" t="s">
        <v>364</v>
      </c>
      <c r="B29" s="8">
        <f>'EMCAP_Pricing Matrix'!F11</f>
        <v>9.1250000000000012E-2</v>
      </c>
      <c r="C29" t="s">
        <v>365</v>
      </c>
    </row>
    <row r="30" spans="1:10" ht="15" customHeight="1" x14ac:dyDescent="0.45">
      <c r="A30" t="s">
        <v>366</v>
      </c>
      <c r="B30" s="8">
        <f>'EMCAP_Pricing Matrix'!G11</f>
        <v>9.2500000000000013E-2</v>
      </c>
      <c r="C30" t="s">
        <v>367</v>
      </c>
    </row>
    <row r="31" spans="1:10" ht="15" customHeight="1" x14ac:dyDescent="0.45">
      <c r="A31" t="s">
        <v>368</v>
      </c>
      <c r="B31" s="8">
        <f>'EMCAP_Pricing Matrix'!H11</f>
        <v>9.2500000000000013E-2</v>
      </c>
      <c r="C31" t="s">
        <v>369</v>
      </c>
    </row>
    <row r="32" spans="1:10" ht="15" customHeight="1" x14ac:dyDescent="0.45">
      <c r="A32" t="s">
        <v>370</v>
      </c>
      <c r="B32" s="8">
        <f>'EMCAP_Pricing Matrix'!M11</f>
        <v>0.1125</v>
      </c>
      <c r="C32" t="s">
        <v>371</v>
      </c>
    </row>
    <row r="33" spans="1:3" ht="15" customHeight="1" x14ac:dyDescent="0.45">
      <c r="A33" t="s">
        <v>372</v>
      </c>
      <c r="B33" s="8">
        <f>'EMCAP_Pricing Matrix'!N11</f>
        <v>0.115</v>
      </c>
      <c r="C33" t="s">
        <v>373</v>
      </c>
    </row>
    <row r="34" spans="1:3" ht="15" customHeight="1" x14ac:dyDescent="0.45">
      <c r="A34" t="s">
        <v>374</v>
      </c>
      <c r="B34" s="8">
        <f>'EMCAP_Pricing Matrix'!O11</f>
        <v>0.11750000000000001</v>
      </c>
      <c r="C34" t="s">
        <v>375</v>
      </c>
    </row>
    <row r="35" spans="1:3" ht="15" customHeight="1" x14ac:dyDescent="0.45">
      <c r="A35" t="s">
        <v>376</v>
      </c>
      <c r="B35" s="8">
        <f>'EMCAP_Pricing Matrix'!W11</f>
        <v>8.8750000000000009E-2</v>
      </c>
      <c r="C35" t="s">
        <v>377</v>
      </c>
    </row>
    <row r="36" spans="1:3" ht="15" customHeight="1" x14ac:dyDescent="0.45">
      <c r="A36" t="s">
        <v>378</v>
      </c>
      <c r="B36" s="8">
        <f>'EMCAP_Pricing Matrix'!X11</f>
        <v>9.0000000000000011E-2</v>
      </c>
      <c r="C36" t="s">
        <v>379</v>
      </c>
    </row>
    <row r="37" spans="1:3" ht="15" customHeight="1" x14ac:dyDescent="0.45">
      <c r="A37" t="s">
        <v>380</v>
      </c>
      <c r="B37" s="8">
        <f>'EMCAP_Pricing Matrix'!Y11</f>
        <v>9.1250000000000012E-2</v>
      </c>
      <c r="C37" t="s">
        <v>381</v>
      </c>
    </row>
    <row r="38" spans="1:3" ht="15" customHeight="1" x14ac:dyDescent="0.45">
      <c r="A38" t="s">
        <v>382</v>
      </c>
      <c r="B38" s="8">
        <f>'EMCAP_Pricing Matrix'!Z11</f>
        <v>9.2500000000000013E-2</v>
      </c>
      <c r="C38" t="s">
        <v>383</v>
      </c>
    </row>
    <row r="39" spans="1:3" ht="15" customHeight="1" x14ac:dyDescent="0.45">
      <c r="A39" t="s">
        <v>384</v>
      </c>
      <c r="B39" s="8">
        <f>'EMCAP_Pricing Matrix'!AA11</f>
        <v>9.3750000000000014E-2</v>
      </c>
      <c r="C39" t="s">
        <v>385</v>
      </c>
    </row>
    <row r="40" spans="1:3" ht="15" customHeight="1" x14ac:dyDescent="0.45">
      <c r="A40" t="s">
        <v>386</v>
      </c>
      <c r="B40" s="8">
        <f>'EMCAP_Pricing Matrix'!AB11</f>
        <v>9.3750000000000014E-2</v>
      </c>
      <c r="C40" t="s">
        <v>387</v>
      </c>
    </row>
    <row r="41" spans="1:3" ht="15" customHeight="1" x14ac:dyDescent="0.45">
      <c r="A41" t="s">
        <v>388</v>
      </c>
      <c r="B41" s="8">
        <f>'EMCAP_Pricing Matrix'!AG11</f>
        <v>0.11625000000000001</v>
      </c>
      <c r="C41" t="s">
        <v>389</v>
      </c>
    </row>
    <row r="42" spans="1:3" ht="15" customHeight="1" x14ac:dyDescent="0.45">
      <c r="A42" t="s">
        <v>390</v>
      </c>
      <c r="B42" s="8">
        <f>'EMCAP_Pricing Matrix'!AH11</f>
        <v>0.11875000000000001</v>
      </c>
      <c r="C42" t="s">
        <v>391</v>
      </c>
    </row>
    <row r="43" spans="1:3" ht="15" customHeight="1" x14ac:dyDescent="0.45">
      <c r="A43" t="s">
        <v>392</v>
      </c>
      <c r="B43" s="8">
        <f>'EMCAP_Pricing Matrix'!AI11</f>
        <v>0.12125000000000001</v>
      </c>
      <c r="C43" t="s">
        <v>393</v>
      </c>
    </row>
    <row r="44" spans="1:3" ht="15" customHeight="1" x14ac:dyDescent="0.45">
      <c r="A44" t="s">
        <v>394</v>
      </c>
      <c r="B44" s="8">
        <f>'EMCAP_Pricing Matrix'!AQ11</f>
        <v>9.0000000000000011E-2</v>
      </c>
      <c r="C44" t="s">
        <v>395</v>
      </c>
    </row>
    <row r="45" spans="1:3" ht="15" customHeight="1" x14ac:dyDescent="0.45">
      <c r="A45" t="s">
        <v>396</v>
      </c>
      <c r="B45" s="8">
        <f>'EMCAP_Pricing Matrix'!AR11</f>
        <v>9.1250000000000012E-2</v>
      </c>
      <c r="C45" t="s">
        <v>397</v>
      </c>
    </row>
    <row r="46" spans="1:3" ht="15" customHeight="1" x14ac:dyDescent="0.45">
      <c r="A46" t="s">
        <v>398</v>
      </c>
      <c r="B46" s="8">
        <f>'EMCAP_Pricing Matrix'!AS11</f>
        <v>9.2500000000000013E-2</v>
      </c>
      <c r="C46" t="s">
        <v>399</v>
      </c>
    </row>
    <row r="47" spans="1:3" ht="15" customHeight="1" x14ac:dyDescent="0.45">
      <c r="A47" t="s">
        <v>400</v>
      </c>
      <c r="B47" s="8">
        <f>'EMCAP_Pricing Matrix'!AT11</f>
        <v>9.3750000000000014E-2</v>
      </c>
      <c r="C47" t="s">
        <v>401</v>
      </c>
    </row>
    <row r="48" spans="1:3" ht="15" customHeight="1" x14ac:dyDescent="0.45">
      <c r="A48" t="s">
        <v>402</v>
      </c>
      <c r="B48" s="8">
        <f>'EMCAP_Pricing Matrix'!AU11</f>
        <v>9.5000000000000015E-2</v>
      </c>
      <c r="C48" t="s">
        <v>403</v>
      </c>
    </row>
    <row r="49" spans="1:3" ht="15" customHeight="1" x14ac:dyDescent="0.45">
      <c r="A49" t="s">
        <v>404</v>
      </c>
      <c r="B49" s="8">
        <f>'EMCAP_Pricing Matrix'!AV11</f>
        <v>9.5000000000000015E-2</v>
      </c>
      <c r="C49" t="s">
        <v>405</v>
      </c>
    </row>
    <row r="50" spans="1:3" ht="15" customHeight="1" x14ac:dyDescent="0.45">
      <c r="A50" t="s">
        <v>406</v>
      </c>
      <c r="B50" s="8">
        <f>'EMCAP_Pricing Matrix'!C12</f>
        <v>0.09</v>
      </c>
      <c r="C50" t="s">
        <v>407</v>
      </c>
    </row>
    <row r="51" spans="1:3" ht="15" customHeight="1" x14ac:dyDescent="0.45">
      <c r="A51" t="s">
        <v>408</v>
      </c>
      <c r="B51" s="8">
        <f>'EMCAP_Pricing Matrix'!D12</f>
        <v>9.1249999999999998E-2</v>
      </c>
      <c r="C51" t="s">
        <v>409</v>
      </c>
    </row>
    <row r="52" spans="1:3" ht="15" customHeight="1" x14ac:dyDescent="0.45">
      <c r="A52" t="s">
        <v>410</v>
      </c>
      <c r="B52" s="8">
        <f>'EMCAP_Pricing Matrix'!E12</f>
        <v>9.2499999999999999E-2</v>
      </c>
      <c r="C52" t="s">
        <v>411</v>
      </c>
    </row>
    <row r="53" spans="1:3" ht="15" customHeight="1" x14ac:dyDescent="0.45">
      <c r="A53" t="s">
        <v>412</v>
      </c>
      <c r="B53" s="8">
        <f>'EMCAP_Pricing Matrix'!F12</f>
        <v>9.375E-2</v>
      </c>
      <c r="C53" t="s">
        <v>413</v>
      </c>
    </row>
    <row r="54" spans="1:3" ht="15" customHeight="1" x14ac:dyDescent="0.45">
      <c r="A54" t="s">
        <v>414</v>
      </c>
      <c r="B54" s="8">
        <f>'EMCAP_Pricing Matrix'!G12</f>
        <v>9.5000000000000001E-2</v>
      </c>
      <c r="C54" t="s">
        <v>415</v>
      </c>
    </row>
    <row r="55" spans="1:3" ht="15" customHeight="1" x14ac:dyDescent="0.45">
      <c r="A55" t="s">
        <v>416</v>
      </c>
      <c r="B55" s="8">
        <f>'EMCAP_Pricing Matrix'!M12</f>
        <v>0.115</v>
      </c>
      <c r="C55" t="s">
        <v>417</v>
      </c>
    </row>
    <row r="56" spans="1:3" ht="15" customHeight="1" x14ac:dyDescent="0.45">
      <c r="A56" t="s">
        <v>418</v>
      </c>
      <c r="B56" s="8">
        <f>'EMCAP_Pricing Matrix'!N12</f>
        <v>0.11750000000000001</v>
      </c>
      <c r="C56" t="s">
        <v>419</v>
      </c>
    </row>
    <row r="57" spans="1:3" ht="15" customHeight="1" x14ac:dyDescent="0.45">
      <c r="A57" t="s">
        <v>420</v>
      </c>
      <c r="B57" s="8">
        <f>'EMCAP_Pricing Matrix'!O12</f>
        <v>0.12000000000000001</v>
      </c>
      <c r="C57" t="s">
        <v>421</v>
      </c>
    </row>
    <row r="58" spans="1:3" ht="15" customHeight="1" x14ac:dyDescent="0.45">
      <c r="A58" t="s">
        <v>422</v>
      </c>
      <c r="B58" s="8">
        <f>'EMCAP_Pricing Matrix'!W12</f>
        <v>9.1249999999999998E-2</v>
      </c>
      <c r="C58" t="s">
        <v>423</v>
      </c>
    </row>
    <row r="59" spans="1:3" ht="15" customHeight="1" x14ac:dyDescent="0.45">
      <c r="A59" t="s">
        <v>424</v>
      </c>
      <c r="B59" s="8">
        <f>'EMCAP_Pricing Matrix'!X12</f>
        <v>9.2499999999999999E-2</v>
      </c>
      <c r="C59" t="s">
        <v>425</v>
      </c>
    </row>
    <row r="60" spans="1:3" ht="15" customHeight="1" x14ac:dyDescent="0.45">
      <c r="A60" t="s">
        <v>426</v>
      </c>
      <c r="B60" s="8">
        <f>'EMCAP_Pricing Matrix'!Y12</f>
        <v>9.375E-2</v>
      </c>
      <c r="C60" t="s">
        <v>427</v>
      </c>
    </row>
    <row r="61" spans="1:3" ht="15" customHeight="1" x14ac:dyDescent="0.45">
      <c r="A61" t="s">
        <v>428</v>
      </c>
      <c r="B61" s="8">
        <f>'EMCAP_Pricing Matrix'!Z12</f>
        <v>9.5000000000000001E-2</v>
      </c>
      <c r="C61" t="s">
        <v>429</v>
      </c>
    </row>
    <row r="62" spans="1:3" ht="15" customHeight="1" x14ac:dyDescent="0.45">
      <c r="A62" t="s">
        <v>430</v>
      </c>
      <c r="B62" s="8">
        <f>'EMCAP_Pricing Matrix'!AA12</f>
        <v>9.6250000000000002E-2</v>
      </c>
      <c r="C62" t="s">
        <v>431</v>
      </c>
    </row>
    <row r="63" spans="1:3" ht="15" customHeight="1" x14ac:dyDescent="0.45">
      <c r="A63" t="s">
        <v>432</v>
      </c>
      <c r="B63" s="8">
        <f>'EMCAP_Pricing Matrix'!AG12</f>
        <v>0.11874999999999999</v>
      </c>
      <c r="C63" t="s">
        <v>433</v>
      </c>
    </row>
    <row r="64" spans="1:3" ht="15" customHeight="1" x14ac:dyDescent="0.45">
      <c r="A64" t="s">
        <v>434</v>
      </c>
      <c r="B64" s="8">
        <f>'EMCAP_Pricing Matrix'!AH12</f>
        <v>0.12125</v>
      </c>
      <c r="C64" t="s">
        <v>435</v>
      </c>
    </row>
    <row r="65" spans="1:3" ht="15" customHeight="1" x14ac:dyDescent="0.45">
      <c r="A65" t="s">
        <v>436</v>
      </c>
      <c r="B65" s="8">
        <f>'EMCAP_Pricing Matrix'!AI12</f>
        <v>0.12375</v>
      </c>
      <c r="C65" t="s">
        <v>437</v>
      </c>
    </row>
    <row r="66" spans="1:3" ht="15" customHeight="1" x14ac:dyDescent="0.45">
      <c r="A66" t="s">
        <v>438</v>
      </c>
      <c r="B66" s="8">
        <f>'EMCAP_Pricing Matrix'!AQ12</f>
        <v>9.2499999999999999E-2</v>
      </c>
      <c r="C66" t="s">
        <v>439</v>
      </c>
    </row>
    <row r="67" spans="1:3" ht="15" customHeight="1" x14ac:dyDescent="0.45">
      <c r="A67" t="s">
        <v>440</v>
      </c>
      <c r="B67" s="8">
        <f>'EMCAP_Pricing Matrix'!AR12</f>
        <v>9.375E-2</v>
      </c>
      <c r="C67" t="s">
        <v>441</v>
      </c>
    </row>
    <row r="68" spans="1:3" ht="15" customHeight="1" x14ac:dyDescent="0.45">
      <c r="A68" t="s">
        <v>442</v>
      </c>
      <c r="B68" s="8">
        <f>'EMCAP_Pricing Matrix'!AS12</f>
        <v>9.5000000000000001E-2</v>
      </c>
      <c r="C68" t="s">
        <v>443</v>
      </c>
    </row>
    <row r="69" spans="1:3" ht="15" customHeight="1" x14ac:dyDescent="0.45">
      <c r="A69" t="s">
        <v>444</v>
      </c>
      <c r="B69" s="8">
        <f>'EMCAP_Pricing Matrix'!AT12</f>
        <v>9.6250000000000002E-2</v>
      </c>
      <c r="C69" t="s">
        <v>445</v>
      </c>
    </row>
    <row r="70" spans="1:3" ht="15" customHeight="1" x14ac:dyDescent="0.45">
      <c r="A70" t="s">
        <v>446</v>
      </c>
      <c r="B70" s="8">
        <f>'EMCAP_Pricing Matrix'!AU12</f>
        <v>9.7500000000000003E-2</v>
      </c>
      <c r="C70" t="s">
        <v>447</v>
      </c>
    </row>
    <row r="71" spans="1:3" ht="15" customHeight="1" x14ac:dyDescent="0.45">
      <c r="A71" t="s">
        <v>448</v>
      </c>
      <c r="B71" s="8">
        <f>'EMCAP_Pricing Matrix'!AV12</f>
        <v>9.7500000000000003E-2</v>
      </c>
      <c r="C71" t="s">
        <v>449</v>
      </c>
    </row>
    <row r="72" spans="1:3" ht="15" customHeight="1" x14ac:dyDescent="0.45">
      <c r="A72" t="s">
        <v>450</v>
      </c>
      <c r="B72" s="8">
        <f>'EMCAP_Pricing Matrix'!C14</f>
        <v>8.1250000000000003E-2</v>
      </c>
      <c r="C72" t="s">
        <v>451</v>
      </c>
    </row>
    <row r="73" spans="1:3" ht="15" customHeight="1" x14ac:dyDescent="0.45">
      <c r="A73" t="s">
        <v>452</v>
      </c>
      <c r="B73" s="8">
        <f>'EMCAP_Pricing Matrix'!D14</f>
        <v>8.2500000000000004E-2</v>
      </c>
      <c r="C73" t="s">
        <v>453</v>
      </c>
    </row>
    <row r="74" spans="1:3" ht="15" customHeight="1" x14ac:dyDescent="0.45">
      <c r="A74" t="s">
        <v>454</v>
      </c>
      <c r="B74" s="8">
        <f>'EMCAP_Pricing Matrix'!E14</f>
        <v>8.3750000000000005E-2</v>
      </c>
      <c r="C74" t="s">
        <v>455</v>
      </c>
    </row>
    <row r="75" spans="1:3" ht="15" customHeight="1" x14ac:dyDescent="0.45">
      <c r="A75" t="s">
        <v>456</v>
      </c>
      <c r="B75" s="8">
        <f>'EMCAP_Pricing Matrix'!F14</f>
        <v>8.5000000000000006E-2</v>
      </c>
      <c r="C75" t="s">
        <v>457</v>
      </c>
    </row>
    <row r="76" spans="1:3" ht="15" customHeight="1" x14ac:dyDescent="0.45">
      <c r="A76" t="s">
        <v>458</v>
      </c>
      <c r="B76" s="8">
        <f>'EMCAP_Pricing Matrix'!G14</f>
        <v>8.6250000000000007E-2</v>
      </c>
      <c r="C76" t="s">
        <v>459</v>
      </c>
    </row>
    <row r="77" spans="1:3" ht="15" customHeight="1" x14ac:dyDescent="0.45">
      <c r="A77" t="s">
        <v>460</v>
      </c>
      <c r="B77" s="8">
        <f>'EMCAP_Pricing Matrix'!H14</f>
        <v>8.6250000000000007E-2</v>
      </c>
      <c r="C77" t="s">
        <v>461</v>
      </c>
    </row>
    <row r="78" spans="1:3" ht="15" customHeight="1" x14ac:dyDescent="0.45">
      <c r="A78" t="s">
        <v>462</v>
      </c>
      <c r="B78" s="8">
        <f>'EMCAP_Pricing Matrix'!M14</f>
        <v>0.1075</v>
      </c>
      <c r="C78" t="s">
        <v>463</v>
      </c>
    </row>
    <row r="79" spans="1:3" ht="15" customHeight="1" x14ac:dyDescent="0.45">
      <c r="A79" t="s">
        <v>464</v>
      </c>
      <c r="B79" s="8">
        <f>'EMCAP_Pricing Matrix'!N14</f>
        <v>0.11</v>
      </c>
      <c r="C79" t="s">
        <v>465</v>
      </c>
    </row>
    <row r="80" spans="1:3" ht="15" customHeight="1" x14ac:dyDescent="0.45">
      <c r="A80" t="s">
        <v>466</v>
      </c>
      <c r="B80" s="8">
        <f>'EMCAP_Pricing Matrix'!O14</f>
        <v>0.1125</v>
      </c>
      <c r="C80" t="s">
        <v>467</v>
      </c>
    </row>
    <row r="81" spans="1:3" ht="15" customHeight="1" x14ac:dyDescent="0.45">
      <c r="A81" t="s">
        <v>468</v>
      </c>
      <c r="B81" s="8">
        <f>'EMCAP_Pricing Matrix'!W14</f>
        <v>8.2500000000000004E-2</v>
      </c>
      <c r="C81" t="s">
        <v>469</v>
      </c>
    </row>
    <row r="82" spans="1:3" ht="15" customHeight="1" x14ac:dyDescent="0.45">
      <c r="A82" t="s">
        <v>470</v>
      </c>
      <c r="B82" s="8">
        <f>'EMCAP_Pricing Matrix'!X14</f>
        <v>8.3750000000000005E-2</v>
      </c>
      <c r="C82" t="s">
        <v>471</v>
      </c>
    </row>
    <row r="83" spans="1:3" ht="15" customHeight="1" x14ac:dyDescent="0.45">
      <c r="A83" t="s">
        <v>472</v>
      </c>
      <c r="B83" s="8">
        <f>'EMCAP_Pricing Matrix'!Y14</f>
        <v>8.5000000000000006E-2</v>
      </c>
      <c r="C83" t="s">
        <v>473</v>
      </c>
    </row>
    <row r="84" spans="1:3" ht="15" customHeight="1" x14ac:dyDescent="0.45">
      <c r="A84" t="s">
        <v>474</v>
      </c>
      <c r="B84" s="8">
        <f>'EMCAP_Pricing Matrix'!Z14</f>
        <v>8.6250000000000007E-2</v>
      </c>
      <c r="C84" t="s">
        <v>475</v>
      </c>
    </row>
    <row r="85" spans="1:3" ht="15" customHeight="1" x14ac:dyDescent="0.45">
      <c r="A85" t="s">
        <v>476</v>
      </c>
      <c r="B85" s="8">
        <f>'EMCAP_Pricing Matrix'!AA14</f>
        <v>8.7500000000000008E-2</v>
      </c>
      <c r="C85" t="s">
        <v>477</v>
      </c>
    </row>
    <row r="86" spans="1:3" ht="15" customHeight="1" x14ac:dyDescent="0.45">
      <c r="A86" t="s">
        <v>478</v>
      </c>
      <c r="B86" s="8">
        <f>'EMCAP_Pricing Matrix'!AB14</f>
        <v>8.7500000000000008E-2</v>
      </c>
      <c r="C86" t="s">
        <v>479</v>
      </c>
    </row>
    <row r="87" spans="1:3" ht="15" customHeight="1" x14ac:dyDescent="0.45">
      <c r="A87" t="s">
        <v>480</v>
      </c>
      <c r="B87" s="8">
        <f>'EMCAP_Pricing Matrix'!AG14</f>
        <v>0.10875</v>
      </c>
      <c r="C87" t="s">
        <v>481</v>
      </c>
    </row>
    <row r="88" spans="1:3" ht="15" customHeight="1" x14ac:dyDescent="0.45">
      <c r="A88" t="s">
        <v>482</v>
      </c>
      <c r="B88" s="8">
        <f>'EMCAP_Pricing Matrix'!AH14</f>
        <v>0.11125</v>
      </c>
      <c r="C88" t="s">
        <v>483</v>
      </c>
    </row>
    <row r="89" spans="1:3" ht="15" customHeight="1" x14ac:dyDescent="0.45">
      <c r="A89" t="s">
        <v>484</v>
      </c>
      <c r="B89" s="8">
        <f>'EMCAP_Pricing Matrix'!AI14</f>
        <v>0.11375</v>
      </c>
      <c r="C89" t="s">
        <v>485</v>
      </c>
    </row>
    <row r="90" spans="1:3" ht="15" customHeight="1" x14ac:dyDescent="0.45">
      <c r="A90" t="s">
        <v>486</v>
      </c>
      <c r="B90" s="8">
        <f>'EMCAP_Pricing Matrix'!AQ14</f>
        <v>8.3750000000000005E-2</v>
      </c>
      <c r="C90" t="s">
        <v>487</v>
      </c>
    </row>
    <row r="91" spans="1:3" ht="15" customHeight="1" x14ac:dyDescent="0.45">
      <c r="A91" t="s">
        <v>488</v>
      </c>
      <c r="B91" s="8">
        <f>'EMCAP_Pricing Matrix'!AR14</f>
        <v>8.5000000000000006E-2</v>
      </c>
      <c r="C91" t="s">
        <v>489</v>
      </c>
    </row>
    <row r="92" spans="1:3" ht="15" customHeight="1" x14ac:dyDescent="0.45">
      <c r="A92" t="s">
        <v>490</v>
      </c>
      <c r="B92" s="8">
        <f>'EMCAP_Pricing Matrix'!AS14</f>
        <v>8.6250000000000007E-2</v>
      </c>
      <c r="C92" t="s">
        <v>491</v>
      </c>
    </row>
    <row r="93" spans="1:3" ht="15" customHeight="1" x14ac:dyDescent="0.45">
      <c r="A93" t="s">
        <v>492</v>
      </c>
      <c r="B93" s="8">
        <f>'EMCAP_Pricing Matrix'!AT14</f>
        <v>8.7500000000000008E-2</v>
      </c>
      <c r="C93" t="s">
        <v>493</v>
      </c>
    </row>
    <row r="94" spans="1:3" ht="15" customHeight="1" x14ac:dyDescent="0.45">
      <c r="A94" t="s">
        <v>494</v>
      </c>
      <c r="B94" s="8">
        <f>'EMCAP_Pricing Matrix'!AU14</f>
        <v>8.8750000000000009E-2</v>
      </c>
      <c r="C94" t="s">
        <v>495</v>
      </c>
    </row>
    <row r="95" spans="1:3" ht="15" customHeight="1" x14ac:dyDescent="0.45">
      <c r="A95" t="s">
        <v>496</v>
      </c>
      <c r="B95" s="8">
        <f>'EMCAP_Pricing Matrix'!AV14</f>
        <v>8.8750000000000009E-2</v>
      </c>
      <c r="C95" t="s">
        <v>497</v>
      </c>
    </row>
    <row r="96" spans="1:3" ht="15" customHeight="1" x14ac:dyDescent="0.45">
      <c r="A96" t="s">
        <v>498</v>
      </c>
      <c r="B96" s="8">
        <f>'EMCAP_Pricing Matrix'!C15</f>
        <v>8.6250000000000007E-2</v>
      </c>
      <c r="C96" t="s">
        <v>499</v>
      </c>
    </row>
    <row r="97" spans="1:3" ht="15" customHeight="1" x14ac:dyDescent="0.45">
      <c r="A97" t="s">
        <v>500</v>
      </c>
      <c r="B97" s="8">
        <f>'EMCAP_Pricing Matrix'!D15</f>
        <v>8.7500000000000008E-2</v>
      </c>
      <c r="C97" t="s">
        <v>501</v>
      </c>
    </row>
    <row r="98" spans="1:3" ht="15" customHeight="1" x14ac:dyDescent="0.45">
      <c r="A98" t="s">
        <v>502</v>
      </c>
      <c r="B98" s="8">
        <f>'EMCAP_Pricing Matrix'!E15</f>
        <v>8.8750000000000009E-2</v>
      </c>
      <c r="C98" t="s">
        <v>503</v>
      </c>
    </row>
    <row r="99" spans="1:3" ht="15" customHeight="1" x14ac:dyDescent="0.45">
      <c r="A99" t="s">
        <v>504</v>
      </c>
      <c r="B99" s="8">
        <f>'EMCAP_Pricing Matrix'!F15</f>
        <v>9.0000000000000011E-2</v>
      </c>
      <c r="C99" t="s">
        <v>505</v>
      </c>
    </row>
    <row r="100" spans="1:3" ht="15" customHeight="1" x14ac:dyDescent="0.45">
      <c r="A100" t="s">
        <v>506</v>
      </c>
      <c r="B100" s="8">
        <f>'EMCAP_Pricing Matrix'!G15</f>
        <v>9.1250000000000012E-2</v>
      </c>
      <c r="C100" t="s">
        <v>507</v>
      </c>
    </row>
    <row r="101" spans="1:3" ht="15" customHeight="1" x14ac:dyDescent="0.45">
      <c r="A101" t="s">
        <v>508</v>
      </c>
      <c r="B101" s="8">
        <f>'EMCAP_Pricing Matrix'!H15</f>
        <v>9.1250000000000012E-2</v>
      </c>
      <c r="C101" t="s">
        <v>509</v>
      </c>
    </row>
    <row r="102" spans="1:3" ht="15" customHeight="1" x14ac:dyDescent="0.45">
      <c r="A102" t="s">
        <v>510</v>
      </c>
      <c r="B102" s="8">
        <f>'EMCAP_Pricing Matrix'!M15</f>
        <v>0.11</v>
      </c>
      <c r="C102" t="s">
        <v>511</v>
      </c>
    </row>
    <row r="103" spans="1:3" ht="15" customHeight="1" x14ac:dyDescent="0.45">
      <c r="A103" t="s">
        <v>512</v>
      </c>
      <c r="B103" s="8">
        <f>'EMCAP_Pricing Matrix'!N15</f>
        <v>0.1125</v>
      </c>
      <c r="C103" t="s">
        <v>513</v>
      </c>
    </row>
    <row r="104" spans="1:3" ht="15" customHeight="1" x14ac:dyDescent="0.45">
      <c r="A104" t="s">
        <v>514</v>
      </c>
      <c r="B104" s="8">
        <f>'EMCAP_Pricing Matrix'!O15</f>
        <v>0.115</v>
      </c>
      <c r="C104" t="s">
        <v>515</v>
      </c>
    </row>
    <row r="105" spans="1:3" ht="15" customHeight="1" x14ac:dyDescent="0.45">
      <c r="A105" t="s">
        <v>516</v>
      </c>
      <c r="B105" s="8">
        <f>'EMCAP_Pricing Matrix'!W15</f>
        <v>8.7500000000000008E-2</v>
      </c>
      <c r="C105" t="s">
        <v>517</v>
      </c>
    </row>
    <row r="106" spans="1:3" ht="15" customHeight="1" x14ac:dyDescent="0.45">
      <c r="A106" t="s">
        <v>518</v>
      </c>
      <c r="B106" s="8">
        <f>'EMCAP_Pricing Matrix'!X15</f>
        <v>8.8750000000000009E-2</v>
      </c>
      <c r="C106" t="s">
        <v>519</v>
      </c>
    </row>
    <row r="107" spans="1:3" ht="15" customHeight="1" x14ac:dyDescent="0.45">
      <c r="A107" t="s">
        <v>520</v>
      </c>
      <c r="B107" s="8">
        <f>'EMCAP_Pricing Matrix'!Y15</f>
        <v>9.0000000000000011E-2</v>
      </c>
      <c r="C107" t="s">
        <v>521</v>
      </c>
    </row>
    <row r="108" spans="1:3" ht="15" customHeight="1" x14ac:dyDescent="0.45">
      <c r="A108" t="s">
        <v>522</v>
      </c>
      <c r="B108" s="8">
        <f>'EMCAP_Pricing Matrix'!Z15</f>
        <v>9.1250000000000012E-2</v>
      </c>
      <c r="C108" t="s">
        <v>523</v>
      </c>
    </row>
    <row r="109" spans="1:3" ht="15" customHeight="1" x14ac:dyDescent="0.45">
      <c r="A109" t="s">
        <v>524</v>
      </c>
      <c r="B109" s="8">
        <f>'EMCAP_Pricing Matrix'!AA15</f>
        <v>9.2500000000000013E-2</v>
      </c>
      <c r="C109" t="s">
        <v>525</v>
      </c>
    </row>
    <row r="110" spans="1:3" ht="15" customHeight="1" x14ac:dyDescent="0.45">
      <c r="A110" t="s">
        <v>526</v>
      </c>
      <c r="B110" s="8">
        <f>'EMCAP_Pricing Matrix'!AB15</f>
        <v>9.2500000000000013E-2</v>
      </c>
      <c r="C110" t="s">
        <v>527</v>
      </c>
    </row>
    <row r="111" spans="1:3" ht="15" customHeight="1" x14ac:dyDescent="0.45">
      <c r="A111" t="s">
        <v>528</v>
      </c>
      <c r="B111" s="8">
        <f>'EMCAP_Pricing Matrix'!AG15</f>
        <v>0.11375</v>
      </c>
      <c r="C111" t="s">
        <v>529</v>
      </c>
    </row>
    <row r="112" spans="1:3" ht="15" customHeight="1" x14ac:dyDescent="0.45">
      <c r="A112" t="s">
        <v>530</v>
      </c>
      <c r="B112" s="8">
        <f>'EMCAP_Pricing Matrix'!AH15</f>
        <v>0.11625000000000001</v>
      </c>
      <c r="C112" t="s">
        <v>531</v>
      </c>
    </row>
    <row r="113" spans="1:3" ht="15" customHeight="1" x14ac:dyDescent="0.45">
      <c r="A113" t="s">
        <v>532</v>
      </c>
      <c r="B113" s="8">
        <f>'EMCAP_Pricing Matrix'!AI15</f>
        <v>0.11875000000000001</v>
      </c>
      <c r="C113" t="s">
        <v>533</v>
      </c>
    </row>
    <row r="114" spans="1:3" ht="15" customHeight="1" x14ac:dyDescent="0.45">
      <c r="A114" t="s">
        <v>534</v>
      </c>
      <c r="B114" s="8">
        <f>'EMCAP_Pricing Matrix'!AQ15</f>
        <v>8.8750000000000009E-2</v>
      </c>
      <c r="C114" t="s">
        <v>535</v>
      </c>
    </row>
    <row r="115" spans="1:3" ht="15" customHeight="1" x14ac:dyDescent="0.45">
      <c r="A115" t="s">
        <v>536</v>
      </c>
      <c r="B115" s="8">
        <f>'EMCAP_Pricing Matrix'!AR15</f>
        <v>9.0000000000000011E-2</v>
      </c>
      <c r="C115" t="s">
        <v>537</v>
      </c>
    </row>
    <row r="116" spans="1:3" ht="15" customHeight="1" x14ac:dyDescent="0.45">
      <c r="A116" t="s">
        <v>538</v>
      </c>
      <c r="B116" s="8">
        <f>'EMCAP_Pricing Matrix'!AS15</f>
        <v>9.1250000000000012E-2</v>
      </c>
      <c r="C116" t="s">
        <v>539</v>
      </c>
    </row>
    <row r="117" spans="1:3" ht="15" customHeight="1" x14ac:dyDescent="0.45">
      <c r="A117" t="s">
        <v>540</v>
      </c>
      <c r="B117" s="8">
        <f>'EMCAP_Pricing Matrix'!AT15</f>
        <v>9.2500000000000013E-2</v>
      </c>
      <c r="C117" t="s">
        <v>541</v>
      </c>
    </row>
    <row r="118" spans="1:3" ht="15" customHeight="1" x14ac:dyDescent="0.45">
      <c r="A118" t="s">
        <v>542</v>
      </c>
      <c r="B118" s="8">
        <f>'EMCAP_Pricing Matrix'!AU15</f>
        <v>9.3750000000000014E-2</v>
      </c>
      <c r="C118" t="s">
        <v>543</v>
      </c>
    </row>
    <row r="119" spans="1:3" ht="15" customHeight="1" x14ac:dyDescent="0.45">
      <c r="A119" t="s">
        <v>544</v>
      </c>
      <c r="B119" s="8">
        <f>'EMCAP_Pricing Matrix'!AV15</f>
        <v>9.3750000000000014E-2</v>
      </c>
      <c r="C119" t="s">
        <v>545</v>
      </c>
    </row>
    <row r="120" spans="1:3" ht="15" customHeight="1" x14ac:dyDescent="0.45">
      <c r="A120" t="s">
        <v>546</v>
      </c>
      <c r="B120" s="8">
        <f>'EMCAP_Pricing Matrix'!C16</f>
        <v>8.8749999999999996E-2</v>
      </c>
      <c r="C120" t="s">
        <v>547</v>
      </c>
    </row>
    <row r="121" spans="1:3" ht="15" customHeight="1" x14ac:dyDescent="0.45">
      <c r="A121" t="s">
        <v>548</v>
      </c>
      <c r="B121" s="8">
        <f>'EMCAP_Pricing Matrix'!D16</f>
        <v>0.09</v>
      </c>
      <c r="C121" t="s">
        <v>549</v>
      </c>
    </row>
    <row r="122" spans="1:3" ht="15" customHeight="1" x14ac:dyDescent="0.45">
      <c r="A122" t="s">
        <v>550</v>
      </c>
      <c r="B122" s="8">
        <f>'EMCAP_Pricing Matrix'!E16</f>
        <v>9.1249999999999998E-2</v>
      </c>
      <c r="C122" t="s">
        <v>551</v>
      </c>
    </row>
    <row r="123" spans="1:3" ht="15" customHeight="1" x14ac:dyDescent="0.45">
      <c r="A123" t="s">
        <v>552</v>
      </c>
      <c r="B123" s="8">
        <f>'EMCAP_Pricing Matrix'!F16</f>
        <v>9.2499999999999999E-2</v>
      </c>
      <c r="C123" t="s">
        <v>553</v>
      </c>
    </row>
    <row r="124" spans="1:3" ht="15" customHeight="1" x14ac:dyDescent="0.45">
      <c r="A124" t="s">
        <v>554</v>
      </c>
      <c r="B124" s="8">
        <f>'EMCAP_Pricing Matrix'!G16</f>
        <v>9.375E-2</v>
      </c>
      <c r="C124" t="s">
        <v>555</v>
      </c>
    </row>
    <row r="125" spans="1:3" ht="15" customHeight="1" x14ac:dyDescent="0.45">
      <c r="A125" t="s">
        <v>556</v>
      </c>
      <c r="B125" s="8">
        <f>'EMCAP_Pricing Matrix'!M16</f>
        <v>0.1125</v>
      </c>
      <c r="C125" t="s">
        <v>557</v>
      </c>
    </row>
    <row r="126" spans="1:3" ht="15" customHeight="1" x14ac:dyDescent="0.45">
      <c r="A126" t="s">
        <v>558</v>
      </c>
      <c r="B126" s="8">
        <f>'EMCAP_Pricing Matrix'!N16</f>
        <v>0.115</v>
      </c>
      <c r="C126" t="s">
        <v>559</v>
      </c>
    </row>
    <row r="127" spans="1:3" ht="15" customHeight="1" x14ac:dyDescent="0.45">
      <c r="A127" t="s">
        <v>560</v>
      </c>
      <c r="B127" s="8">
        <f>'EMCAP_Pricing Matrix'!O16</f>
        <v>0.11750000000000001</v>
      </c>
      <c r="C127" t="s">
        <v>561</v>
      </c>
    </row>
    <row r="128" spans="1:3" ht="15" customHeight="1" x14ac:dyDescent="0.45">
      <c r="A128" t="s">
        <v>562</v>
      </c>
      <c r="B128" s="8">
        <f>'EMCAP_Pricing Matrix'!W16</f>
        <v>0.09</v>
      </c>
      <c r="C128" t="s">
        <v>563</v>
      </c>
    </row>
    <row r="129" spans="1:3" ht="15" customHeight="1" x14ac:dyDescent="0.45">
      <c r="A129" t="s">
        <v>564</v>
      </c>
      <c r="B129" s="8">
        <f>'EMCAP_Pricing Matrix'!X16</f>
        <v>9.1249999999999998E-2</v>
      </c>
      <c r="C129" t="s">
        <v>565</v>
      </c>
    </row>
    <row r="130" spans="1:3" ht="15" customHeight="1" x14ac:dyDescent="0.45">
      <c r="A130" t="s">
        <v>566</v>
      </c>
      <c r="B130" s="8">
        <f>'EMCAP_Pricing Matrix'!Y16</f>
        <v>9.2499999999999999E-2</v>
      </c>
      <c r="C130" t="s">
        <v>567</v>
      </c>
    </row>
    <row r="131" spans="1:3" ht="15" customHeight="1" x14ac:dyDescent="0.45">
      <c r="A131" t="s">
        <v>568</v>
      </c>
      <c r="B131" s="8">
        <f>'EMCAP_Pricing Matrix'!Z16</f>
        <v>9.375E-2</v>
      </c>
      <c r="C131" t="s">
        <v>569</v>
      </c>
    </row>
    <row r="132" spans="1:3" ht="15" customHeight="1" x14ac:dyDescent="0.45">
      <c r="A132" t="s">
        <v>570</v>
      </c>
      <c r="B132" s="8">
        <f>'EMCAP_Pricing Matrix'!AA16</f>
        <v>9.5000000000000001E-2</v>
      </c>
      <c r="C132" t="s">
        <v>571</v>
      </c>
    </row>
    <row r="133" spans="1:3" ht="15" customHeight="1" x14ac:dyDescent="0.45">
      <c r="A133" t="s">
        <v>572</v>
      </c>
      <c r="B133" s="8">
        <f>'EMCAP_Pricing Matrix'!AG16</f>
        <v>0.11624999999999999</v>
      </c>
      <c r="C133" t="s">
        <v>573</v>
      </c>
    </row>
    <row r="134" spans="1:3" ht="15" customHeight="1" x14ac:dyDescent="0.45">
      <c r="A134" t="s">
        <v>574</v>
      </c>
      <c r="B134" s="8">
        <f>'EMCAP_Pricing Matrix'!AH16</f>
        <v>0.11874999999999999</v>
      </c>
      <c r="C134" t="s">
        <v>575</v>
      </c>
    </row>
    <row r="135" spans="1:3" ht="15" customHeight="1" x14ac:dyDescent="0.45">
      <c r="A135" t="s">
        <v>576</v>
      </c>
      <c r="B135" s="8">
        <f>'EMCAP_Pricing Matrix'!AI16</f>
        <v>0.12125</v>
      </c>
      <c r="C135" t="s">
        <v>577</v>
      </c>
    </row>
    <row r="136" spans="1:3" ht="15" customHeight="1" x14ac:dyDescent="0.45">
      <c r="A136" t="s">
        <v>578</v>
      </c>
      <c r="B136" s="8">
        <f>'EMCAP_Pricing Matrix'!AQ16</f>
        <v>9.1249999999999998E-2</v>
      </c>
      <c r="C136" t="s">
        <v>579</v>
      </c>
    </row>
    <row r="137" spans="1:3" ht="15" customHeight="1" x14ac:dyDescent="0.45">
      <c r="A137" t="s">
        <v>580</v>
      </c>
      <c r="B137" s="8">
        <f>'EMCAP_Pricing Matrix'!AR16</f>
        <v>9.2499999999999999E-2</v>
      </c>
      <c r="C137" t="s">
        <v>581</v>
      </c>
    </row>
    <row r="138" spans="1:3" ht="15" customHeight="1" x14ac:dyDescent="0.45">
      <c r="A138" t="s">
        <v>582</v>
      </c>
      <c r="B138" s="8">
        <f>'EMCAP_Pricing Matrix'!AS16</f>
        <v>9.375E-2</v>
      </c>
      <c r="C138" t="s">
        <v>583</v>
      </c>
    </row>
    <row r="139" spans="1:3" ht="15" customHeight="1" x14ac:dyDescent="0.45">
      <c r="A139" t="s">
        <v>584</v>
      </c>
      <c r="B139" s="8">
        <f>'EMCAP_Pricing Matrix'!AT16</f>
        <v>9.5000000000000001E-2</v>
      </c>
      <c r="C139" t="s">
        <v>585</v>
      </c>
    </row>
    <row r="140" spans="1:3" ht="15" customHeight="1" x14ac:dyDescent="0.45">
      <c r="A140" t="s">
        <v>586</v>
      </c>
      <c r="B140" s="8">
        <f>'EMCAP_Pricing Matrix'!AU16</f>
        <v>9.6250000000000002E-2</v>
      </c>
      <c r="C140" t="s">
        <v>587</v>
      </c>
    </row>
    <row r="141" spans="1:3" ht="15" customHeight="1" x14ac:dyDescent="0.45">
      <c r="A141" t="s">
        <v>588</v>
      </c>
      <c r="B141" s="8">
        <f>'EMCAP_Pricing Matrix'!AV16</f>
        <v>9.6250000000000002E-2</v>
      </c>
      <c r="C141" t="s">
        <v>589</v>
      </c>
    </row>
    <row r="142" spans="1:3" ht="15" customHeight="1" x14ac:dyDescent="0.45">
      <c r="A142" t="s">
        <v>590</v>
      </c>
      <c r="B142" s="8">
        <f>'EMCAP_Pricing Matrix'!C18</f>
        <v>0.08</v>
      </c>
      <c r="C142" t="s">
        <v>591</v>
      </c>
    </row>
    <row r="143" spans="1:3" ht="15" customHeight="1" x14ac:dyDescent="0.45">
      <c r="A143" t="s">
        <v>592</v>
      </c>
      <c r="B143" s="8">
        <f>'EMCAP_Pricing Matrix'!D18</f>
        <v>8.1250000000000003E-2</v>
      </c>
      <c r="C143" t="s">
        <v>593</v>
      </c>
    </row>
    <row r="144" spans="1:3" ht="15" customHeight="1" x14ac:dyDescent="0.45">
      <c r="A144" t="s">
        <v>594</v>
      </c>
      <c r="B144" s="8">
        <f>'EMCAP_Pricing Matrix'!E18</f>
        <v>8.2500000000000004E-2</v>
      </c>
      <c r="C144" t="s">
        <v>595</v>
      </c>
    </row>
    <row r="145" spans="1:3" ht="15" customHeight="1" x14ac:dyDescent="0.45">
      <c r="A145" t="s">
        <v>596</v>
      </c>
      <c r="B145" s="8">
        <f>'EMCAP_Pricing Matrix'!F18</f>
        <v>8.3750000000000005E-2</v>
      </c>
      <c r="C145" t="s">
        <v>597</v>
      </c>
    </row>
    <row r="146" spans="1:3" ht="15" customHeight="1" x14ac:dyDescent="0.45">
      <c r="A146" t="s">
        <v>598</v>
      </c>
      <c r="B146" s="8">
        <f>'EMCAP_Pricing Matrix'!G18</f>
        <v>8.5000000000000006E-2</v>
      </c>
      <c r="C146" t="s">
        <v>599</v>
      </c>
    </row>
    <row r="147" spans="1:3" ht="15" customHeight="1" x14ac:dyDescent="0.45">
      <c r="A147" t="s">
        <v>600</v>
      </c>
      <c r="B147" s="8">
        <f>'EMCAP_Pricing Matrix'!H18</f>
        <v>8.5000000000000006E-2</v>
      </c>
      <c r="C147" t="s">
        <v>601</v>
      </c>
    </row>
    <row r="148" spans="1:3" ht="15" customHeight="1" x14ac:dyDescent="0.45">
      <c r="A148" t="s">
        <v>602</v>
      </c>
      <c r="B148" s="8">
        <f>'EMCAP_Pricing Matrix'!M18</f>
        <v>0.105</v>
      </c>
      <c r="C148" t="s">
        <v>603</v>
      </c>
    </row>
    <row r="149" spans="1:3" ht="15" customHeight="1" x14ac:dyDescent="0.45">
      <c r="A149" t="s">
        <v>604</v>
      </c>
      <c r="B149" s="8">
        <f>'EMCAP_Pricing Matrix'!N18</f>
        <v>0.1075</v>
      </c>
      <c r="C149" t="s">
        <v>605</v>
      </c>
    </row>
    <row r="150" spans="1:3" ht="15" customHeight="1" x14ac:dyDescent="0.45">
      <c r="A150" t="s">
        <v>606</v>
      </c>
      <c r="B150" s="8">
        <f>'EMCAP_Pricing Matrix'!O18</f>
        <v>0.11</v>
      </c>
      <c r="C150" t="s">
        <v>607</v>
      </c>
    </row>
    <row r="151" spans="1:3" ht="15" customHeight="1" x14ac:dyDescent="0.45">
      <c r="A151" t="s">
        <v>608</v>
      </c>
      <c r="B151" s="8">
        <f>'EMCAP_Pricing Matrix'!W18</f>
        <v>8.1250000000000003E-2</v>
      </c>
      <c r="C151" t="s">
        <v>609</v>
      </c>
    </row>
    <row r="152" spans="1:3" ht="15" customHeight="1" x14ac:dyDescent="0.45">
      <c r="A152" t="s">
        <v>610</v>
      </c>
      <c r="B152" s="8">
        <f>'EMCAP_Pricing Matrix'!X18</f>
        <v>8.2500000000000004E-2</v>
      </c>
      <c r="C152" t="s">
        <v>611</v>
      </c>
    </row>
    <row r="153" spans="1:3" ht="15" customHeight="1" x14ac:dyDescent="0.45">
      <c r="A153" t="s">
        <v>612</v>
      </c>
      <c r="B153" s="8">
        <f>'EMCAP_Pricing Matrix'!Y18</f>
        <v>8.3750000000000005E-2</v>
      </c>
      <c r="C153" t="s">
        <v>613</v>
      </c>
    </row>
    <row r="154" spans="1:3" ht="15" customHeight="1" x14ac:dyDescent="0.45">
      <c r="A154" t="s">
        <v>614</v>
      </c>
      <c r="B154" s="8">
        <f>'EMCAP_Pricing Matrix'!Z18</f>
        <v>8.5000000000000006E-2</v>
      </c>
      <c r="C154" t="s">
        <v>615</v>
      </c>
    </row>
    <row r="155" spans="1:3" ht="15" customHeight="1" x14ac:dyDescent="0.45">
      <c r="A155" t="s">
        <v>616</v>
      </c>
      <c r="B155" s="8">
        <f>'EMCAP_Pricing Matrix'!AA18</f>
        <v>8.6250000000000007E-2</v>
      </c>
      <c r="C155" t="s">
        <v>617</v>
      </c>
    </row>
    <row r="156" spans="1:3" ht="15" customHeight="1" x14ac:dyDescent="0.45">
      <c r="A156" t="s">
        <v>618</v>
      </c>
      <c r="B156" s="8">
        <f>'EMCAP_Pricing Matrix'!AB18</f>
        <v>8.6250000000000007E-2</v>
      </c>
      <c r="C156" t="s">
        <v>619</v>
      </c>
    </row>
    <row r="157" spans="1:3" ht="15" customHeight="1" x14ac:dyDescent="0.45">
      <c r="A157" t="s">
        <v>620</v>
      </c>
      <c r="B157" s="8">
        <f>'EMCAP_Pricing Matrix'!AG18</f>
        <v>0.10625</v>
      </c>
      <c r="C157" t="s">
        <v>621</v>
      </c>
    </row>
    <row r="158" spans="1:3" ht="15" customHeight="1" x14ac:dyDescent="0.45">
      <c r="A158" t="s">
        <v>622</v>
      </c>
      <c r="B158" s="8">
        <f>'EMCAP_Pricing Matrix'!AH18</f>
        <v>0.10875</v>
      </c>
      <c r="C158" t="s">
        <v>623</v>
      </c>
    </row>
    <row r="159" spans="1:3" ht="15" customHeight="1" x14ac:dyDescent="0.45">
      <c r="A159" t="s">
        <v>624</v>
      </c>
      <c r="B159" s="8">
        <f>'EMCAP_Pricing Matrix'!AI18</f>
        <v>0.11125</v>
      </c>
      <c r="C159" t="s">
        <v>625</v>
      </c>
    </row>
    <row r="160" spans="1:3" ht="15" customHeight="1" x14ac:dyDescent="0.45">
      <c r="A160" t="s">
        <v>626</v>
      </c>
      <c r="B160" s="8">
        <f>'EMCAP_Pricing Matrix'!AQ18</f>
        <v>8.2500000000000004E-2</v>
      </c>
      <c r="C160" t="s">
        <v>627</v>
      </c>
    </row>
    <row r="161" spans="1:3" ht="15" customHeight="1" x14ac:dyDescent="0.45">
      <c r="A161" t="s">
        <v>628</v>
      </c>
      <c r="B161" s="8">
        <f>'EMCAP_Pricing Matrix'!AR18</f>
        <v>8.3750000000000005E-2</v>
      </c>
      <c r="C161" t="s">
        <v>629</v>
      </c>
    </row>
    <row r="162" spans="1:3" ht="15" customHeight="1" x14ac:dyDescent="0.45">
      <c r="A162" t="s">
        <v>630</v>
      </c>
      <c r="B162" s="8">
        <f>'EMCAP_Pricing Matrix'!AS18</f>
        <v>8.5000000000000006E-2</v>
      </c>
      <c r="C162" t="s">
        <v>631</v>
      </c>
    </row>
    <row r="163" spans="1:3" ht="15" customHeight="1" x14ac:dyDescent="0.45">
      <c r="A163" t="s">
        <v>632</v>
      </c>
      <c r="B163" s="8">
        <f>'EMCAP_Pricing Matrix'!AT18</f>
        <v>8.6250000000000007E-2</v>
      </c>
      <c r="C163" t="s">
        <v>633</v>
      </c>
    </row>
    <row r="164" spans="1:3" ht="15" customHeight="1" x14ac:dyDescent="0.45">
      <c r="A164" t="s">
        <v>634</v>
      </c>
      <c r="B164" s="8">
        <f>'EMCAP_Pricing Matrix'!AU18</f>
        <v>8.7500000000000008E-2</v>
      </c>
      <c r="C164" t="s">
        <v>635</v>
      </c>
    </row>
    <row r="165" spans="1:3" ht="15" customHeight="1" x14ac:dyDescent="0.45">
      <c r="A165" t="s">
        <v>636</v>
      </c>
      <c r="B165" s="8">
        <f>'EMCAP_Pricing Matrix'!AV18</f>
        <v>8.7500000000000008E-2</v>
      </c>
      <c r="C165" t="s">
        <v>637</v>
      </c>
    </row>
    <row r="166" spans="1:3" ht="15" customHeight="1" x14ac:dyDescent="0.45">
      <c r="A166" t="s">
        <v>638</v>
      </c>
      <c r="B166" s="8">
        <f>'EMCAP_Pricing Matrix'!C19</f>
        <v>8.5000000000000006E-2</v>
      </c>
      <c r="C166" t="s">
        <v>639</v>
      </c>
    </row>
    <row r="167" spans="1:3" ht="15" customHeight="1" x14ac:dyDescent="0.45">
      <c r="A167" t="s">
        <v>640</v>
      </c>
      <c r="B167" s="8">
        <f>'EMCAP_Pricing Matrix'!D19</f>
        <v>8.6250000000000007E-2</v>
      </c>
      <c r="C167" t="s">
        <v>641</v>
      </c>
    </row>
    <row r="168" spans="1:3" ht="15" customHeight="1" x14ac:dyDescent="0.45">
      <c r="A168" t="s">
        <v>642</v>
      </c>
      <c r="B168" s="8">
        <f>'EMCAP_Pricing Matrix'!E19</f>
        <v>8.7500000000000008E-2</v>
      </c>
      <c r="C168" t="s">
        <v>643</v>
      </c>
    </row>
    <row r="169" spans="1:3" ht="15" customHeight="1" x14ac:dyDescent="0.45">
      <c r="A169" t="s">
        <v>644</v>
      </c>
      <c r="B169" s="8">
        <f>'EMCAP_Pricing Matrix'!F19</f>
        <v>8.8750000000000009E-2</v>
      </c>
      <c r="C169" t="s">
        <v>645</v>
      </c>
    </row>
    <row r="170" spans="1:3" ht="15" customHeight="1" x14ac:dyDescent="0.45">
      <c r="A170" t="s">
        <v>646</v>
      </c>
      <c r="B170" s="8">
        <f>'EMCAP_Pricing Matrix'!G19</f>
        <v>9.0000000000000011E-2</v>
      </c>
      <c r="C170" t="s">
        <v>647</v>
      </c>
    </row>
    <row r="171" spans="1:3" ht="15" customHeight="1" x14ac:dyDescent="0.45">
      <c r="A171" t="s">
        <v>648</v>
      </c>
      <c r="B171" s="8">
        <f>'EMCAP_Pricing Matrix'!H19</f>
        <v>9.0000000000000011E-2</v>
      </c>
      <c r="C171" t="s">
        <v>649</v>
      </c>
    </row>
    <row r="172" spans="1:3" ht="15" customHeight="1" x14ac:dyDescent="0.45">
      <c r="A172" t="s">
        <v>650</v>
      </c>
      <c r="B172" s="8">
        <f>'EMCAP_Pricing Matrix'!M19</f>
        <v>0.1075</v>
      </c>
      <c r="C172" t="s">
        <v>651</v>
      </c>
    </row>
    <row r="173" spans="1:3" ht="15" customHeight="1" x14ac:dyDescent="0.45">
      <c r="A173" t="s">
        <v>652</v>
      </c>
      <c r="B173" s="8">
        <f>'EMCAP_Pricing Matrix'!N19</f>
        <v>0.11</v>
      </c>
      <c r="C173" t="s">
        <v>653</v>
      </c>
    </row>
    <row r="174" spans="1:3" ht="15" customHeight="1" x14ac:dyDescent="0.45">
      <c r="A174" t="s">
        <v>654</v>
      </c>
      <c r="B174" s="8">
        <f>'EMCAP_Pricing Matrix'!O19</f>
        <v>0.1125</v>
      </c>
      <c r="C174" t="s">
        <v>655</v>
      </c>
    </row>
    <row r="175" spans="1:3" ht="15" customHeight="1" x14ac:dyDescent="0.45">
      <c r="A175" t="s">
        <v>656</v>
      </c>
      <c r="B175" s="8">
        <f>'EMCAP_Pricing Matrix'!W19</f>
        <v>8.6250000000000007E-2</v>
      </c>
      <c r="C175" t="s">
        <v>657</v>
      </c>
    </row>
    <row r="176" spans="1:3" ht="15" customHeight="1" x14ac:dyDescent="0.45">
      <c r="A176" t="s">
        <v>658</v>
      </c>
      <c r="B176" s="8">
        <f>'EMCAP_Pricing Matrix'!X19</f>
        <v>8.7500000000000008E-2</v>
      </c>
      <c r="C176" t="s">
        <v>659</v>
      </c>
    </row>
    <row r="177" spans="1:3" ht="15" customHeight="1" x14ac:dyDescent="0.45">
      <c r="A177" t="s">
        <v>660</v>
      </c>
      <c r="B177" s="8">
        <f>'EMCAP_Pricing Matrix'!Y19</f>
        <v>8.8750000000000009E-2</v>
      </c>
      <c r="C177" t="s">
        <v>661</v>
      </c>
    </row>
    <row r="178" spans="1:3" ht="15" customHeight="1" x14ac:dyDescent="0.45">
      <c r="A178" t="s">
        <v>662</v>
      </c>
      <c r="B178" s="8">
        <f>'EMCAP_Pricing Matrix'!Z19</f>
        <v>9.0000000000000011E-2</v>
      </c>
      <c r="C178" t="s">
        <v>663</v>
      </c>
    </row>
    <row r="179" spans="1:3" ht="15" customHeight="1" x14ac:dyDescent="0.45">
      <c r="A179" t="s">
        <v>664</v>
      </c>
      <c r="B179" s="8">
        <f>'EMCAP_Pricing Matrix'!AA19</f>
        <v>9.1250000000000012E-2</v>
      </c>
      <c r="C179" t="s">
        <v>665</v>
      </c>
    </row>
    <row r="180" spans="1:3" ht="15" customHeight="1" x14ac:dyDescent="0.45">
      <c r="A180" t="s">
        <v>666</v>
      </c>
      <c r="B180" s="8">
        <f>'EMCAP_Pricing Matrix'!AB19</f>
        <v>9.1250000000000012E-2</v>
      </c>
      <c r="C180" t="s">
        <v>667</v>
      </c>
    </row>
    <row r="181" spans="1:3" ht="15" customHeight="1" x14ac:dyDescent="0.45">
      <c r="A181" t="s">
        <v>668</v>
      </c>
      <c r="B181" s="8">
        <f>'EMCAP_Pricing Matrix'!AG19</f>
        <v>0.11125</v>
      </c>
      <c r="C181" t="s">
        <v>669</v>
      </c>
    </row>
    <row r="182" spans="1:3" ht="15" customHeight="1" x14ac:dyDescent="0.45">
      <c r="A182" t="s">
        <v>670</v>
      </c>
      <c r="B182" s="8">
        <f>'EMCAP_Pricing Matrix'!AH19</f>
        <v>0.11375</v>
      </c>
      <c r="C182" t="s">
        <v>671</v>
      </c>
    </row>
    <row r="183" spans="1:3" ht="15" customHeight="1" x14ac:dyDescent="0.45">
      <c r="A183" t="s">
        <v>672</v>
      </c>
      <c r="B183" s="8">
        <f>'EMCAP_Pricing Matrix'!AI19</f>
        <v>0.11625000000000001</v>
      </c>
      <c r="C183" t="s">
        <v>673</v>
      </c>
    </row>
    <row r="184" spans="1:3" ht="15" customHeight="1" x14ac:dyDescent="0.45">
      <c r="A184" t="s">
        <v>674</v>
      </c>
      <c r="B184" s="8">
        <f>'EMCAP_Pricing Matrix'!AQ19</f>
        <v>8.7500000000000008E-2</v>
      </c>
      <c r="C184" t="s">
        <v>675</v>
      </c>
    </row>
    <row r="185" spans="1:3" ht="15" customHeight="1" x14ac:dyDescent="0.45">
      <c r="A185" t="s">
        <v>676</v>
      </c>
      <c r="B185" s="8">
        <f>'EMCAP_Pricing Matrix'!AR19</f>
        <v>8.8750000000000009E-2</v>
      </c>
      <c r="C185" t="s">
        <v>677</v>
      </c>
    </row>
    <row r="186" spans="1:3" ht="15" customHeight="1" x14ac:dyDescent="0.45">
      <c r="A186" t="s">
        <v>678</v>
      </c>
      <c r="B186" s="8">
        <f>'EMCAP_Pricing Matrix'!AS19</f>
        <v>9.0000000000000011E-2</v>
      </c>
      <c r="C186" t="s">
        <v>679</v>
      </c>
    </row>
    <row r="187" spans="1:3" ht="15" customHeight="1" x14ac:dyDescent="0.45">
      <c r="A187" t="s">
        <v>680</v>
      </c>
      <c r="B187" s="8">
        <f>'EMCAP_Pricing Matrix'!AT19</f>
        <v>9.1250000000000012E-2</v>
      </c>
      <c r="C187" t="s">
        <v>681</v>
      </c>
    </row>
    <row r="188" spans="1:3" ht="15" customHeight="1" x14ac:dyDescent="0.45">
      <c r="A188" t="s">
        <v>682</v>
      </c>
      <c r="B188" s="8">
        <f>'EMCAP_Pricing Matrix'!AU19</f>
        <v>9.2500000000000013E-2</v>
      </c>
      <c r="C188" t="s">
        <v>683</v>
      </c>
    </row>
    <row r="189" spans="1:3" ht="15" customHeight="1" x14ac:dyDescent="0.45">
      <c r="A189" t="s">
        <v>684</v>
      </c>
      <c r="B189" s="8">
        <f>'EMCAP_Pricing Matrix'!AV19</f>
        <v>9.2500000000000013E-2</v>
      </c>
      <c r="C189" t="s">
        <v>685</v>
      </c>
    </row>
    <row r="190" spans="1:3" ht="15" customHeight="1" x14ac:dyDescent="0.45">
      <c r="A190" t="s">
        <v>686</v>
      </c>
      <c r="B190" s="8">
        <f>'EMCAP_Pricing Matrix'!C20</f>
        <v>8.7499999999999994E-2</v>
      </c>
      <c r="C190" t="s">
        <v>687</v>
      </c>
    </row>
    <row r="191" spans="1:3" ht="15" customHeight="1" x14ac:dyDescent="0.45">
      <c r="A191" t="s">
        <v>688</v>
      </c>
      <c r="B191" s="8">
        <f>'EMCAP_Pricing Matrix'!D20</f>
        <v>8.8749999999999996E-2</v>
      </c>
      <c r="C191" t="s">
        <v>689</v>
      </c>
    </row>
    <row r="192" spans="1:3" ht="15" customHeight="1" x14ac:dyDescent="0.45">
      <c r="A192" t="s">
        <v>690</v>
      </c>
      <c r="B192" s="8">
        <f>'EMCAP_Pricing Matrix'!E20</f>
        <v>0.09</v>
      </c>
      <c r="C192" t="s">
        <v>691</v>
      </c>
    </row>
    <row r="193" spans="1:3" ht="15" customHeight="1" x14ac:dyDescent="0.45">
      <c r="A193" t="s">
        <v>692</v>
      </c>
      <c r="B193" s="8">
        <f>'EMCAP_Pricing Matrix'!F20</f>
        <v>9.1249999999999998E-2</v>
      </c>
      <c r="C193" t="s">
        <v>693</v>
      </c>
    </row>
    <row r="194" spans="1:3" ht="15" customHeight="1" x14ac:dyDescent="0.45">
      <c r="A194" t="s">
        <v>694</v>
      </c>
      <c r="B194" s="8">
        <f>'EMCAP_Pricing Matrix'!G20</f>
        <v>9.2499999999999999E-2</v>
      </c>
      <c r="C194" t="s">
        <v>695</v>
      </c>
    </row>
    <row r="195" spans="1:3" ht="15" customHeight="1" x14ac:dyDescent="0.45">
      <c r="A195" t="s">
        <v>696</v>
      </c>
      <c r="B195" s="8">
        <f>'EMCAP_Pricing Matrix'!H20</f>
        <v>9.2499999999999999E-2</v>
      </c>
      <c r="C195" t="s">
        <v>697</v>
      </c>
    </row>
    <row r="196" spans="1:3" ht="15" customHeight="1" x14ac:dyDescent="0.45">
      <c r="A196" t="s">
        <v>698</v>
      </c>
      <c r="B196" s="8">
        <f>'EMCAP_Pricing Matrix'!M20</f>
        <v>0.11</v>
      </c>
      <c r="C196" t="s">
        <v>699</v>
      </c>
    </row>
    <row r="197" spans="1:3" ht="15" customHeight="1" x14ac:dyDescent="0.45">
      <c r="A197" t="s">
        <v>700</v>
      </c>
      <c r="B197" s="8">
        <f>'EMCAP_Pricing Matrix'!N20</f>
        <v>0.1125</v>
      </c>
      <c r="C197" t="s">
        <v>701</v>
      </c>
    </row>
    <row r="198" spans="1:3" ht="15" customHeight="1" x14ac:dyDescent="0.45">
      <c r="A198" t="s">
        <v>702</v>
      </c>
      <c r="B198" s="8">
        <f>'EMCAP_Pricing Matrix'!O20</f>
        <v>0.115</v>
      </c>
      <c r="C198" t="s">
        <v>703</v>
      </c>
    </row>
    <row r="199" spans="1:3" ht="15" customHeight="1" x14ac:dyDescent="0.45">
      <c r="A199" t="s">
        <v>704</v>
      </c>
      <c r="B199" s="8">
        <f>'EMCAP_Pricing Matrix'!W20</f>
        <v>8.8749999999999996E-2</v>
      </c>
      <c r="C199" t="s">
        <v>705</v>
      </c>
    </row>
    <row r="200" spans="1:3" ht="15" customHeight="1" x14ac:dyDescent="0.45">
      <c r="A200" t="s">
        <v>706</v>
      </c>
      <c r="B200" s="8">
        <f>'EMCAP_Pricing Matrix'!X20</f>
        <v>0.09</v>
      </c>
      <c r="C200" t="s">
        <v>707</v>
      </c>
    </row>
    <row r="201" spans="1:3" ht="15" customHeight="1" x14ac:dyDescent="0.45">
      <c r="A201" t="s">
        <v>708</v>
      </c>
      <c r="B201" s="8">
        <f>'EMCAP_Pricing Matrix'!Y20</f>
        <v>9.1249999999999998E-2</v>
      </c>
      <c r="C201" t="s">
        <v>709</v>
      </c>
    </row>
    <row r="202" spans="1:3" ht="15" customHeight="1" x14ac:dyDescent="0.45">
      <c r="A202" t="s">
        <v>710</v>
      </c>
      <c r="B202" s="8">
        <f>'EMCAP_Pricing Matrix'!Z20</f>
        <v>9.2499999999999999E-2</v>
      </c>
      <c r="C202" t="s">
        <v>711</v>
      </c>
    </row>
    <row r="203" spans="1:3" ht="15" customHeight="1" x14ac:dyDescent="0.45">
      <c r="A203" t="s">
        <v>712</v>
      </c>
      <c r="B203" s="8">
        <f>'EMCAP_Pricing Matrix'!AA20</f>
        <v>9.375E-2</v>
      </c>
      <c r="C203" t="s">
        <v>713</v>
      </c>
    </row>
    <row r="204" spans="1:3" ht="15" customHeight="1" x14ac:dyDescent="0.45">
      <c r="A204" t="s">
        <v>714</v>
      </c>
      <c r="B204" s="8">
        <f>'EMCAP_Pricing Matrix'!AB20</f>
        <v>9.375E-2</v>
      </c>
      <c r="C204" t="s">
        <v>715</v>
      </c>
    </row>
    <row r="205" spans="1:3" ht="15" customHeight="1" x14ac:dyDescent="0.45">
      <c r="A205" t="s">
        <v>716</v>
      </c>
      <c r="B205" s="8">
        <f>'EMCAP_Pricing Matrix'!AG20</f>
        <v>0.11374999999999999</v>
      </c>
      <c r="C205" t="s">
        <v>717</v>
      </c>
    </row>
    <row r="206" spans="1:3" ht="15" customHeight="1" x14ac:dyDescent="0.45">
      <c r="A206" t="s">
        <v>718</v>
      </c>
      <c r="B206" s="8">
        <f>'EMCAP_Pricing Matrix'!AH20</f>
        <v>0.11624999999999999</v>
      </c>
      <c r="C206" t="s">
        <v>719</v>
      </c>
    </row>
    <row r="207" spans="1:3" ht="15" customHeight="1" x14ac:dyDescent="0.45">
      <c r="A207" t="s">
        <v>720</v>
      </c>
      <c r="B207" s="8">
        <f>'EMCAP_Pricing Matrix'!AI20</f>
        <v>0.11874999999999999</v>
      </c>
      <c r="C207" t="s">
        <v>721</v>
      </c>
    </row>
    <row r="208" spans="1:3" ht="15" customHeight="1" x14ac:dyDescent="0.45">
      <c r="A208" t="s">
        <v>722</v>
      </c>
      <c r="B208" s="8">
        <f>'EMCAP_Pricing Matrix'!AQ20</f>
        <v>0.09</v>
      </c>
      <c r="C208" t="s">
        <v>723</v>
      </c>
    </row>
    <row r="209" spans="1:3" ht="15" customHeight="1" x14ac:dyDescent="0.45">
      <c r="A209" t="s">
        <v>724</v>
      </c>
      <c r="B209" s="8">
        <f>'EMCAP_Pricing Matrix'!AR20</f>
        <v>9.1249999999999998E-2</v>
      </c>
      <c r="C209" t="s">
        <v>725</v>
      </c>
    </row>
    <row r="210" spans="1:3" ht="15" customHeight="1" x14ac:dyDescent="0.45">
      <c r="A210" t="s">
        <v>726</v>
      </c>
      <c r="B210" s="8">
        <f>'EMCAP_Pricing Matrix'!AS20</f>
        <v>9.2499999999999999E-2</v>
      </c>
      <c r="C210" t="s">
        <v>727</v>
      </c>
    </row>
    <row r="211" spans="1:3" ht="15" customHeight="1" x14ac:dyDescent="0.45">
      <c r="A211" t="s">
        <v>728</v>
      </c>
      <c r="B211" s="8">
        <f>'EMCAP_Pricing Matrix'!AT20</f>
        <v>9.375E-2</v>
      </c>
      <c r="C211" t="s">
        <v>729</v>
      </c>
    </row>
    <row r="212" spans="1:3" ht="15" customHeight="1" x14ac:dyDescent="0.45">
      <c r="A212" t="s">
        <v>730</v>
      </c>
      <c r="B212" s="8">
        <f>'EMCAP_Pricing Matrix'!AU20</f>
        <v>9.5000000000000001E-2</v>
      </c>
      <c r="C212" t="s">
        <v>731</v>
      </c>
    </row>
    <row r="213" spans="1:3" ht="15" customHeight="1" x14ac:dyDescent="0.45">
      <c r="A213" t="s">
        <v>732</v>
      </c>
      <c r="B213" s="8">
        <f>'EMCAP_Pricing Matrix'!AV20</f>
        <v>9.5000000000000001E-2</v>
      </c>
      <c r="C213" t="s">
        <v>733</v>
      </c>
    </row>
    <row r="214" spans="1:3" ht="15" customHeight="1" x14ac:dyDescent="0.45">
      <c r="A214" t="s">
        <v>734</v>
      </c>
      <c r="B214" s="8">
        <f>'EMCAP_Pricing Matrix'!C26</f>
        <v>8.7500000000000008E-2</v>
      </c>
      <c r="C214" t="s">
        <v>735</v>
      </c>
    </row>
    <row r="215" spans="1:3" ht="15" customHeight="1" x14ac:dyDescent="0.45">
      <c r="A215" t="s">
        <v>736</v>
      </c>
      <c r="B215" s="8">
        <f>'EMCAP_Pricing Matrix'!D26</f>
        <v>8.8750000000000009E-2</v>
      </c>
      <c r="C215" t="s">
        <v>737</v>
      </c>
    </row>
    <row r="216" spans="1:3" ht="15" customHeight="1" x14ac:dyDescent="0.45">
      <c r="A216" t="s">
        <v>738</v>
      </c>
      <c r="B216" s="8">
        <f>'EMCAP_Pricing Matrix'!E26</f>
        <v>9.0000000000000011E-2</v>
      </c>
      <c r="C216" t="s">
        <v>739</v>
      </c>
    </row>
    <row r="217" spans="1:3" ht="15" customHeight="1" x14ac:dyDescent="0.45">
      <c r="A217" t="s">
        <v>740</v>
      </c>
      <c r="B217" s="8">
        <f>'EMCAP_Pricing Matrix'!F26</f>
        <v>9.1250000000000012E-2</v>
      </c>
      <c r="C217" t="s">
        <v>741</v>
      </c>
    </row>
    <row r="218" spans="1:3" ht="15" customHeight="1" x14ac:dyDescent="0.45">
      <c r="A218" t="s">
        <v>742</v>
      </c>
      <c r="B218" s="8">
        <f>'EMCAP_Pricing Matrix'!G26</f>
        <v>9.2500000000000013E-2</v>
      </c>
      <c r="C218" t="s">
        <v>743</v>
      </c>
    </row>
    <row r="219" spans="1:3" ht="15" customHeight="1" x14ac:dyDescent="0.45">
      <c r="A219" t="s">
        <v>744</v>
      </c>
      <c r="B219" s="8">
        <f>'EMCAP_Pricing Matrix'!W26</f>
        <v>8.8750000000000009E-2</v>
      </c>
      <c r="C219" t="s">
        <v>745</v>
      </c>
    </row>
    <row r="220" spans="1:3" ht="15" customHeight="1" x14ac:dyDescent="0.45">
      <c r="A220" t="s">
        <v>746</v>
      </c>
      <c r="B220" s="8">
        <f>'EMCAP_Pricing Matrix'!X26</f>
        <v>9.0000000000000011E-2</v>
      </c>
      <c r="C220" t="s">
        <v>747</v>
      </c>
    </row>
    <row r="221" spans="1:3" ht="15" customHeight="1" x14ac:dyDescent="0.45">
      <c r="A221" t="s">
        <v>748</v>
      </c>
      <c r="B221" s="8">
        <f>'EMCAP_Pricing Matrix'!Y26</f>
        <v>9.1250000000000012E-2</v>
      </c>
      <c r="C221" t="s">
        <v>749</v>
      </c>
    </row>
    <row r="222" spans="1:3" ht="15" customHeight="1" x14ac:dyDescent="0.45">
      <c r="A222" t="s">
        <v>750</v>
      </c>
      <c r="B222" s="8">
        <f>'EMCAP_Pricing Matrix'!Z26</f>
        <v>9.2500000000000013E-2</v>
      </c>
      <c r="C222" t="s">
        <v>751</v>
      </c>
    </row>
    <row r="223" spans="1:3" ht="15" customHeight="1" x14ac:dyDescent="0.45">
      <c r="A223" t="s">
        <v>752</v>
      </c>
      <c r="B223" s="8">
        <f>'EMCAP_Pricing Matrix'!AA26</f>
        <v>9.3750000000000014E-2</v>
      </c>
      <c r="C223" t="s">
        <v>753</v>
      </c>
    </row>
    <row r="224" spans="1:3" ht="15" customHeight="1" x14ac:dyDescent="0.45">
      <c r="A224" t="s">
        <v>754</v>
      </c>
      <c r="B224" s="8">
        <f>'EMCAP_Pricing Matrix'!AQ26</f>
        <v>9.0000000000000011E-2</v>
      </c>
      <c r="C224" t="s">
        <v>755</v>
      </c>
    </row>
    <row r="225" spans="1:3" ht="15" customHeight="1" x14ac:dyDescent="0.45">
      <c r="A225" t="s">
        <v>756</v>
      </c>
      <c r="B225" s="8">
        <f>'EMCAP_Pricing Matrix'!AR26</f>
        <v>9.1250000000000012E-2</v>
      </c>
      <c r="C225" t="s">
        <v>757</v>
      </c>
    </row>
    <row r="226" spans="1:3" ht="15" customHeight="1" x14ac:dyDescent="0.45">
      <c r="A226" t="s">
        <v>758</v>
      </c>
      <c r="B226" s="8">
        <f>'EMCAP_Pricing Matrix'!AS26</f>
        <v>9.2500000000000013E-2</v>
      </c>
      <c r="C226" t="s">
        <v>759</v>
      </c>
    </row>
    <row r="227" spans="1:3" ht="15" customHeight="1" x14ac:dyDescent="0.45">
      <c r="A227" t="s">
        <v>760</v>
      </c>
      <c r="B227" s="8">
        <f>'EMCAP_Pricing Matrix'!AT26</f>
        <v>9.3750000000000014E-2</v>
      </c>
      <c r="C227" t="s">
        <v>761</v>
      </c>
    </row>
    <row r="228" spans="1:3" ht="15" customHeight="1" x14ac:dyDescent="0.45">
      <c r="A228" t="s">
        <v>762</v>
      </c>
      <c r="B228" s="8">
        <f>'EMCAP_Pricing Matrix'!AU26</f>
        <v>9.5000000000000015E-2</v>
      </c>
      <c r="C228" t="s">
        <v>763</v>
      </c>
    </row>
    <row r="229" spans="1:3" ht="15" customHeight="1" x14ac:dyDescent="0.45">
      <c r="A229" t="s">
        <v>764</v>
      </c>
      <c r="B229" s="8">
        <f>'EMCAP_Pricing Matrix'!C30</f>
        <v>8.5000000000000006E-2</v>
      </c>
      <c r="C229" t="s">
        <v>765</v>
      </c>
    </row>
    <row r="230" spans="1:3" ht="15" customHeight="1" x14ac:dyDescent="0.45">
      <c r="A230" t="s">
        <v>766</v>
      </c>
      <c r="B230" s="8">
        <f>'EMCAP_Pricing Matrix'!D30</f>
        <v>8.6250000000000007E-2</v>
      </c>
      <c r="C230" t="s">
        <v>767</v>
      </c>
    </row>
    <row r="231" spans="1:3" ht="15" customHeight="1" x14ac:dyDescent="0.45">
      <c r="A231" t="s">
        <v>768</v>
      </c>
      <c r="B231" s="8">
        <f>'EMCAP_Pricing Matrix'!E30</f>
        <v>8.7500000000000008E-2</v>
      </c>
      <c r="C231" t="s">
        <v>769</v>
      </c>
    </row>
    <row r="232" spans="1:3" ht="15" customHeight="1" x14ac:dyDescent="0.45">
      <c r="A232" t="s">
        <v>770</v>
      </c>
      <c r="B232" s="8">
        <f>'EMCAP_Pricing Matrix'!F30</f>
        <v>8.8750000000000009E-2</v>
      </c>
      <c r="C232" t="s">
        <v>771</v>
      </c>
    </row>
    <row r="233" spans="1:3" ht="15" customHeight="1" x14ac:dyDescent="0.45">
      <c r="A233" t="s">
        <v>772</v>
      </c>
      <c r="B233" s="8">
        <f>'EMCAP_Pricing Matrix'!G30</f>
        <v>9.0000000000000011E-2</v>
      </c>
      <c r="C233" t="s">
        <v>773</v>
      </c>
    </row>
    <row r="234" spans="1:3" ht="15" customHeight="1" x14ac:dyDescent="0.45">
      <c r="A234" t="s">
        <v>774</v>
      </c>
      <c r="B234" s="8">
        <f>'EMCAP_Pricing Matrix'!H30</f>
        <v>9.0000000000000011E-2</v>
      </c>
      <c r="C234" t="s">
        <v>775</v>
      </c>
    </row>
    <row r="235" spans="1:3" ht="15" customHeight="1" x14ac:dyDescent="0.45">
      <c r="A235" t="s">
        <v>776</v>
      </c>
      <c r="B235" s="8">
        <f>'EMCAP_Pricing Matrix'!M30</f>
        <v>0.1075</v>
      </c>
      <c r="C235" t="s">
        <v>777</v>
      </c>
    </row>
    <row r="236" spans="1:3" ht="15" customHeight="1" x14ac:dyDescent="0.45">
      <c r="A236" t="s">
        <v>778</v>
      </c>
      <c r="B236" s="8">
        <f>'EMCAP_Pricing Matrix'!N30</f>
        <v>0.11</v>
      </c>
      <c r="C236" t="s">
        <v>779</v>
      </c>
    </row>
    <row r="237" spans="1:3" ht="15" customHeight="1" x14ac:dyDescent="0.45">
      <c r="A237" t="s">
        <v>780</v>
      </c>
      <c r="B237" s="8">
        <f>'EMCAP_Pricing Matrix'!W30</f>
        <v>8.6250000000000007E-2</v>
      </c>
      <c r="C237" t="s">
        <v>781</v>
      </c>
    </row>
    <row r="238" spans="1:3" ht="15" customHeight="1" x14ac:dyDescent="0.45">
      <c r="A238" t="s">
        <v>782</v>
      </c>
      <c r="B238" s="8">
        <f>'EMCAP_Pricing Matrix'!X30</f>
        <v>8.7500000000000008E-2</v>
      </c>
      <c r="C238" t="s">
        <v>783</v>
      </c>
    </row>
    <row r="239" spans="1:3" ht="15" customHeight="1" x14ac:dyDescent="0.45">
      <c r="A239" t="s">
        <v>784</v>
      </c>
      <c r="B239" s="8">
        <f>'EMCAP_Pricing Matrix'!Y30</f>
        <v>8.8750000000000009E-2</v>
      </c>
      <c r="C239" t="s">
        <v>785</v>
      </c>
    </row>
    <row r="240" spans="1:3" ht="15" customHeight="1" x14ac:dyDescent="0.45">
      <c r="A240" t="s">
        <v>786</v>
      </c>
      <c r="B240" s="8">
        <f>'EMCAP_Pricing Matrix'!Z30</f>
        <v>9.0000000000000011E-2</v>
      </c>
      <c r="C240" t="s">
        <v>787</v>
      </c>
    </row>
    <row r="241" spans="1:3" ht="15" customHeight="1" x14ac:dyDescent="0.45">
      <c r="A241" t="s">
        <v>788</v>
      </c>
      <c r="B241" s="8">
        <f>'EMCAP_Pricing Matrix'!AA30</f>
        <v>9.1250000000000012E-2</v>
      </c>
      <c r="C241" t="s">
        <v>789</v>
      </c>
    </row>
    <row r="242" spans="1:3" ht="15" customHeight="1" x14ac:dyDescent="0.45">
      <c r="A242" t="s">
        <v>790</v>
      </c>
      <c r="B242" s="8">
        <f>'EMCAP_Pricing Matrix'!AB30</f>
        <v>9.1250000000000012E-2</v>
      </c>
      <c r="C242" t="s">
        <v>791</v>
      </c>
    </row>
    <row r="243" spans="1:3" ht="15" customHeight="1" x14ac:dyDescent="0.45">
      <c r="A243" t="s">
        <v>792</v>
      </c>
      <c r="B243" s="8">
        <f>'EMCAP_Pricing Matrix'!AQ30</f>
        <v>8.7500000000000008E-2</v>
      </c>
      <c r="C243" t="s">
        <v>793</v>
      </c>
    </row>
    <row r="244" spans="1:3" ht="15" customHeight="1" x14ac:dyDescent="0.45">
      <c r="A244" t="s">
        <v>794</v>
      </c>
      <c r="B244" s="8">
        <f>'EMCAP_Pricing Matrix'!AR30</f>
        <v>8.8750000000000009E-2</v>
      </c>
      <c r="C244" t="s">
        <v>795</v>
      </c>
    </row>
    <row r="245" spans="1:3" ht="15" customHeight="1" x14ac:dyDescent="0.45">
      <c r="A245" t="s">
        <v>796</v>
      </c>
      <c r="B245" s="8">
        <f>'EMCAP_Pricing Matrix'!AS30</f>
        <v>9.0000000000000011E-2</v>
      </c>
      <c r="C245" t="s">
        <v>797</v>
      </c>
    </row>
    <row r="246" spans="1:3" ht="15" customHeight="1" x14ac:dyDescent="0.45">
      <c r="A246" t="s">
        <v>798</v>
      </c>
      <c r="B246" s="8">
        <f>'EMCAP_Pricing Matrix'!AT30</f>
        <v>9.1250000000000012E-2</v>
      </c>
      <c r="C246" t="s">
        <v>799</v>
      </c>
    </row>
    <row r="247" spans="1:3" ht="15" customHeight="1" x14ac:dyDescent="0.45">
      <c r="A247" t="s">
        <v>800</v>
      </c>
      <c r="B247" s="8">
        <f>'EMCAP_Pricing Matrix'!AU30</f>
        <v>9.2500000000000013E-2</v>
      </c>
      <c r="C247" t="s">
        <v>801</v>
      </c>
    </row>
    <row r="248" spans="1:3" ht="15" customHeight="1" x14ac:dyDescent="0.45">
      <c r="A248" t="s">
        <v>802</v>
      </c>
      <c r="B248" s="8">
        <f>'EMCAP_Pricing Matrix'!AV30</f>
        <v>9.2500000000000013E-2</v>
      </c>
      <c r="C248" t="s">
        <v>803</v>
      </c>
    </row>
    <row r="249" spans="1:3" ht="15" customHeight="1" x14ac:dyDescent="0.45">
      <c r="A249" t="s">
        <v>804</v>
      </c>
      <c r="B249" s="8">
        <f>'EMCAP_Pricing Matrix'!C31</f>
        <v>9.0000000000000011E-2</v>
      </c>
      <c r="C249" t="s">
        <v>805</v>
      </c>
    </row>
    <row r="250" spans="1:3" ht="15" customHeight="1" x14ac:dyDescent="0.45">
      <c r="A250" t="s">
        <v>806</v>
      </c>
      <c r="B250" s="8">
        <f>'EMCAP_Pricing Matrix'!D31</f>
        <v>9.1250000000000012E-2</v>
      </c>
      <c r="C250" t="s">
        <v>807</v>
      </c>
    </row>
    <row r="251" spans="1:3" ht="15" customHeight="1" x14ac:dyDescent="0.45">
      <c r="A251" t="s">
        <v>808</v>
      </c>
      <c r="B251" s="8">
        <f>'EMCAP_Pricing Matrix'!E31</f>
        <v>9.2500000000000013E-2</v>
      </c>
      <c r="C251" t="s">
        <v>809</v>
      </c>
    </row>
    <row r="252" spans="1:3" ht="15" customHeight="1" x14ac:dyDescent="0.45">
      <c r="A252" t="s">
        <v>810</v>
      </c>
      <c r="B252" s="8">
        <f>'EMCAP_Pricing Matrix'!F31</f>
        <v>9.3750000000000014E-2</v>
      </c>
      <c r="C252" t="s">
        <v>811</v>
      </c>
    </row>
    <row r="253" spans="1:3" ht="15" customHeight="1" x14ac:dyDescent="0.45">
      <c r="A253" t="s">
        <v>812</v>
      </c>
      <c r="B253" s="8">
        <f>'EMCAP_Pricing Matrix'!G31</f>
        <v>9.5000000000000015E-2</v>
      </c>
      <c r="C253" t="s">
        <v>813</v>
      </c>
    </row>
    <row r="254" spans="1:3" ht="15" customHeight="1" x14ac:dyDescent="0.45">
      <c r="A254" t="s">
        <v>814</v>
      </c>
      <c r="B254" s="8">
        <f>'EMCAP_Pricing Matrix'!H31</f>
        <v>9.5000000000000015E-2</v>
      </c>
      <c r="C254" t="s">
        <v>815</v>
      </c>
    </row>
    <row r="255" spans="1:3" ht="15" customHeight="1" x14ac:dyDescent="0.45">
      <c r="A255" t="s">
        <v>816</v>
      </c>
      <c r="B255" s="8">
        <f>'EMCAP_Pricing Matrix'!M31</f>
        <v>0.11</v>
      </c>
      <c r="C255" t="s">
        <v>817</v>
      </c>
    </row>
    <row r="256" spans="1:3" ht="15" customHeight="1" x14ac:dyDescent="0.45">
      <c r="A256" t="s">
        <v>818</v>
      </c>
      <c r="B256" s="8">
        <f>'EMCAP_Pricing Matrix'!N31</f>
        <v>0.1125</v>
      </c>
      <c r="C256" t="s">
        <v>819</v>
      </c>
    </row>
    <row r="257" spans="1:3" ht="15" customHeight="1" x14ac:dyDescent="0.45">
      <c r="A257" t="s">
        <v>820</v>
      </c>
      <c r="B257" s="8">
        <f>'EMCAP_Pricing Matrix'!W31</f>
        <v>9.1250000000000012E-2</v>
      </c>
      <c r="C257" t="s">
        <v>821</v>
      </c>
    </row>
    <row r="258" spans="1:3" ht="15" customHeight="1" x14ac:dyDescent="0.45">
      <c r="A258" t="s">
        <v>822</v>
      </c>
      <c r="B258" s="8">
        <f>'EMCAP_Pricing Matrix'!X31</f>
        <v>9.2500000000000013E-2</v>
      </c>
      <c r="C258" t="s">
        <v>823</v>
      </c>
    </row>
    <row r="259" spans="1:3" ht="15" customHeight="1" x14ac:dyDescent="0.45">
      <c r="A259" t="s">
        <v>824</v>
      </c>
      <c r="B259" s="8">
        <f>'EMCAP_Pricing Matrix'!Y31</f>
        <v>9.3750000000000014E-2</v>
      </c>
      <c r="C259" t="s">
        <v>825</v>
      </c>
    </row>
    <row r="260" spans="1:3" ht="15" customHeight="1" x14ac:dyDescent="0.45">
      <c r="A260" t="s">
        <v>826</v>
      </c>
      <c r="B260" s="8">
        <f>'EMCAP_Pricing Matrix'!Z31</f>
        <v>9.5000000000000015E-2</v>
      </c>
      <c r="C260" t="s">
        <v>827</v>
      </c>
    </row>
    <row r="261" spans="1:3" ht="15" customHeight="1" x14ac:dyDescent="0.45">
      <c r="A261" t="s">
        <v>828</v>
      </c>
      <c r="B261" s="8">
        <f>'EMCAP_Pricing Matrix'!AA31</f>
        <v>9.6250000000000016E-2</v>
      </c>
      <c r="C261" t="s">
        <v>829</v>
      </c>
    </row>
    <row r="262" spans="1:3" ht="15" customHeight="1" x14ac:dyDescent="0.45">
      <c r="A262" t="s">
        <v>830</v>
      </c>
      <c r="B262" s="8">
        <f>'EMCAP_Pricing Matrix'!AB31</f>
        <v>9.6250000000000016E-2</v>
      </c>
      <c r="C262" t="s">
        <v>831</v>
      </c>
    </row>
    <row r="263" spans="1:3" ht="15" customHeight="1" x14ac:dyDescent="0.45">
      <c r="A263" t="s">
        <v>832</v>
      </c>
      <c r="B263" s="8">
        <f>'EMCAP_Pricing Matrix'!AQ31</f>
        <v>9.2500000000000013E-2</v>
      </c>
      <c r="C263" t="s">
        <v>833</v>
      </c>
    </row>
    <row r="264" spans="1:3" ht="15" customHeight="1" x14ac:dyDescent="0.45">
      <c r="A264" t="s">
        <v>834</v>
      </c>
      <c r="B264" s="8">
        <f>'EMCAP_Pricing Matrix'!AR31</f>
        <v>9.3750000000000014E-2</v>
      </c>
      <c r="C264" t="s">
        <v>835</v>
      </c>
    </row>
    <row r="265" spans="1:3" ht="15" customHeight="1" x14ac:dyDescent="0.45">
      <c r="A265" t="s">
        <v>836</v>
      </c>
      <c r="B265" s="8">
        <f>'EMCAP_Pricing Matrix'!AS31</f>
        <v>9.5000000000000015E-2</v>
      </c>
      <c r="C265" t="s">
        <v>837</v>
      </c>
    </row>
    <row r="266" spans="1:3" ht="15" customHeight="1" x14ac:dyDescent="0.45">
      <c r="A266" t="s">
        <v>838</v>
      </c>
      <c r="B266" s="8">
        <f>'EMCAP_Pricing Matrix'!AT31</f>
        <v>9.6250000000000016E-2</v>
      </c>
      <c r="C266" t="s">
        <v>839</v>
      </c>
    </row>
    <row r="267" spans="1:3" ht="15" customHeight="1" x14ac:dyDescent="0.45">
      <c r="A267" t="s">
        <v>840</v>
      </c>
      <c r="B267" s="8">
        <f>'EMCAP_Pricing Matrix'!AU31</f>
        <v>9.7500000000000017E-2</v>
      </c>
      <c r="C267" t="s">
        <v>841</v>
      </c>
    </row>
    <row r="268" spans="1:3" ht="15" customHeight="1" x14ac:dyDescent="0.45">
      <c r="A268" t="s">
        <v>842</v>
      </c>
      <c r="B268" s="8">
        <f>'EMCAP_Pricing Matrix'!AV31</f>
        <v>9.7500000000000017E-2</v>
      </c>
      <c r="C268" t="s">
        <v>843</v>
      </c>
    </row>
    <row r="269" spans="1:3" ht="15" customHeight="1" x14ac:dyDescent="0.45">
      <c r="A269" t="s">
        <v>844</v>
      </c>
      <c r="B269" s="8">
        <f>'EMCAP_Pricing Matrix'!C34</f>
        <v>8.2500000000000004E-2</v>
      </c>
      <c r="C269" t="s">
        <v>845</v>
      </c>
    </row>
    <row r="270" spans="1:3" ht="15" customHeight="1" x14ac:dyDescent="0.45">
      <c r="A270" t="s">
        <v>846</v>
      </c>
      <c r="B270" s="8">
        <f>'EMCAP_Pricing Matrix'!D34</f>
        <v>8.3750000000000005E-2</v>
      </c>
      <c r="C270" t="s">
        <v>847</v>
      </c>
    </row>
    <row r="271" spans="1:3" ht="15" customHeight="1" x14ac:dyDescent="0.45">
      <c r="A271" t="s">
        <v>848</v>
      </c>
      <c r="B271" s="8">
        <f>'EMCAP_Pricing Matrix'!E34</f>
        <v>8.5000000000000006E-2</v>
      </c>
      <c r="C271" t="s">
        <v>849</v>
      </c>
    </row>
    <row r="272" spans="1:3" ht="15" customHeight="1" x14ac:dyDescent="0.45">
      <c r="A272" t="s">
        <v>850</v>
      </c>
      <c r="B272" s="8">
        <f>'EMCAP_Pricing Matrix'!F34</f>
        <v>8.6250000000000007E-2</v>
      </c>
      <c r="C272" t="s">
        <v>851</v>
      </c>
    </row>
    <row r="273" spans="1:3" ht="15" customHeight="1" x14ac:dyDescent="0.45">
      <c r="A273" t="s">
        <v>852</v>
      </c>
      <c r="B273" s="8">
        <f>'EMCAP_Pricing Matrix'!G34</f>
        <v>8.7500000000000008E-2</v>
      </c>
      <c r="C273" t="s">
        <v>853</v>
      </c>
    </row>
    <row r="274" spans="1:3" ht="15" customHeight="1" x14ac:dyDescent="0.45">
      <c r="A274" t="s">
        <v>854</v>
      </c>
      <c r="B274" s="8">
        <f>'EMCAP_Pricing Matrix'!H34</f>
        <v>8.7500000000000008E-2</v>
      </c>
      <c r="C274" t="s">
        <v>855</v>
      </c>
    </row>
    <row r="275" spans="1:3" ht="15" customHeight="1" x14ac:dyDescent="0.45">
      <c r="A275" t="s">
        <v>856</v>
      </c>
      <c r="B275" s="8">
        <f>'EMCAP_Pricing Matrix'!M34</f>
        <v>0.105</v>
      </c>
      <c r="C275" t="s">
        <v>857</v>
      </c>
    </row>
    <row r="276" spans="1:3" ht="15" customHeight="1" x14ac:dyDescent="0.45">
      <c r="A276" t="s">
        <v>858</v>
      </c>
      <c r="B276" s="8">
        <f>'EMCAP_Pricing Matrix'!N34</f>
        <v>0.1075</v>
      </c>
      <c r="C276" t="s">
        <v>859</v>
      </c>
    </row>
    <row r="277" spans="1:3" ht="15" customHeight="1" x14ac:dyDescent="0.45">
      <c r="A277" t="s">
        <v>860</v>
      </c>
      <c r="B277" s="8">
        <f>'EMCAP_Pricing Matrix'!W34</f>
        <v>8.3750000000000005E-2</v>
      </c>
      <c r="C277" t="s">
        <v>861</v>
      </c>
    </row>
    <row r="278" spans="1:3" ht="15" customHeight="1" x14ac:dyDescent="0.45">
      <c r="A278" t="s">
        <v>862</v>
      </c>
      <c r="B278" s="8">
        <f>'EMCAP_Pricing Matrix'!X34</f>
        <v>8.5000000000000006E-2</v>
      </c>
      <c r="C278" t="s">
        <v>863</v>
      </c>
    </row>
    <row r="279" spans="1:3" ht="15" customHeight="1" x14ac:dyDescent="0.45">
      <c r="A279" t="s">
        <v>864</v>
      </c>
      <c r="B279" s="8">
        <f>'EMCAP_Pricing Matrix'!Y34</f>
        <v>8.6250000000000007E-2</v>
      </c>
      <c r="C279" t="s">
        <v>865</v>
      </c>
    </row>
    <row r="280" spans="1:3" ht="15" customHeight="1" x14ac:dyDescent="0.45">
      <c r="A280" t="s">
        <v>866</v>
      </c>
      <c r="B280" s="8">
        <f>'EMCAP_Pricing Matrix'!Z34</f>
        <v>8.7500000000000008E-2</v>
      </c>
      <c r="C280" t="s">
        <v>867</v>
      </c>
    </row>
    <row r="281" spans="1:3" ht="15" customHeight="1" x14ac:dyDescent="0.45">
      <c r="A281" t="s">
        <v>868</v>
      </c>
      <c r="B281" s="8">
        <f>'EMCAP_Pricing Matrix'!AA34</f>
        <v>8.8750000000000009E-2</v>
      </c>
      <c r="C281" t="s">
        <v>869</v>
      </c>
    </row>
    <row r="282" spans="1:3" ht="15" customHeight="1" x14ac:dyDescent="0.45">
      <c r="A282" t="s">
        <v>870</v>
      </c>
      <c r="B282" s="8">
        <f>'EMCAP_Pricing Matrix'!AB34</f>
        <v>8.8750000000000009E-2</v>
      </c>
      <c r="C282" t="s">
        <v>871</v>
      </c>
    </row>
    <row r="283" spans="1:3" ht="15" customHeight="1" x14ac:dyDescent="0.45">
      <c r="A283" t="s">
        <v>872</v>
      </c>
      <c r="B283" s="8">
        <f>'EMCAP_Pricing Matrix'!AQ34</f>
        <v>8.5000000000000006E-2</v>
      </c>
      <c r="C283" t="s">
        <v>873</v>
      </c>
    </row>
    <row r="284" spans="1:3" ht="15" customHeight="1" x14ac:dyDescent="0.45">
      <c r="A284" t="s">
        <v>874</v>
      </c>
      <c r="B284" s="8">
        <f>'EMCAP_Pricing Matrix'!AR34</f>
        <v>8.6250000000000007E-2</v>
      </c>
      <c r="C284" t="s">
        <v>875</v>
      </c>
    </row>
    <row r="285" spans="1:3" ht="15" customHeight="1" x14ac:dyDescent="0.45">
      <c r="A285" t="s">
        <v>876</v>
      </c>
      <c r="B285" s="8">
        <f>'EMCAP_Pricing Matrix'!AS34</f>
        <v>8.7500000000000008E-2</v>
      </c>
      <c r="C285" t="s">
        <v>877</v>
      </c>
    </row>
    <row r="286" spans="1:3" ht="15" customHeight="1" x14ac:dyDescent="0.45">
      <c r="A286" t="s">
        <v>878</v>
      </c>
      <c r="B286" s="8">
        <f>'EMCAP_Pricing Matrix'!AT34</f>
        <v>8.8750000000000009E-2</v>
      </c>
      <c r="C286" t="s">
        <v>879</v>
      </c>
    </row>
    <row r="287" spans="1:3" ht="15" customHeight="1" x14ac:dyDescent="0.45">
      <c r="A287" t="s">
        <v>880</v>
      </c>
      <c r="B287" s="8">
        <f>'EMCAP_Pricing Matrix'!AU34</f>
        <v>9.0000000000000011E-2</v>
      </c>
      <c r="C287" t="s">
        <v>881</v>
      </c>
    </row>
    <row r="288" spans="1:3" ht="15" customHeight="1" x14ac:dyDescent="0.45">
      <c r="A288" t="s">
        <v>882</v>
      </c>
      <c r="B288" s="8">
        <f>'EMCAP_Pricing Matrix'!AV34</f>
        <v>9.0000000000000011E-2</v>
      </c>
      <c r="C288" t="s">
        <v>883</v>
      </c>
    </row>
    <row r="289" spans="1:3" ht="15" customHeight="1" x14ac:dyDescent="0.45">
      <c r="A289" t="s">
        <v>884</v>
      </c>
      <c r="B289" s="8">
        <f>'EMCAP_Pricing Matrix'!C35</f>
        <v>8.7500000000000008E-2</v>
      </c>
      <c r="C289" t="s">
        <v>885</v>
      </c>
    </row>
    <row r="290" spans="1:3" ht="15" customHeight="1" x14ac:dyDescent="0.45">
      <c r="A290" t="s">
        <v>886</v>
      </c>
      <c r="B290" s="8">
        <f>'EMCAP_Pricing Matrix'!D35</f>
        <v>8.8750000000000009E-2</v>
      </c>
      <c r="C290" t="s">
        <v>887</v>
      </c>
    </row>
    <row r="291" spans="1:3" ht="15" customHeight="1" x14ac:dyDescent="0.45">
      <c r="A291" t="s">
        <v>888</v>
      </c>
      <c r="B291" s="8">
        <f>'EMCAP_Pricing Matrix'!E35</f>
        <v>9.0000000000000011E-2</v>
      </c>
      <c r="C291" t="s">
        <v>889</v>
      </c>
    </row>
    <row r="292" spans="1:3" ht="15" customHeight="1" x14ac:dyDescent="0.45">
      <c r="A292" t="s">
        <v>890</v>
      </c>
      <c r="B292" s="8">
        <f>'EMCAP_Pricing Matrix'!F35</f>
        <v>9.1250000000000012E-2</v>
      </c>
      <c r="C292" t="s">
        <v>891</v>
      </c>
    </row>
    <row r="293" spans="1:3" ht="15" customHeight="1" x14ac:dyDescent="0.45">
      <c r="A293" t="s">
        <v>892</v>
      </c>
      <c r="B293" s="8">
        <f>'EMCAP_Pricing Matrix'!G35</f>
        <v>9.2500000000000013E-2</v>
      </c>
      <c r="C293" t="s">
        <v>893</v>
      </c>
    </row>
    <row r="294" spans="1:3" ht="15" customHeight="1" x14ac:dyDescent="0.45">
      <c r="A294" t="s">
        <v>894</v>
      </c>
      <c r="B294" s="8">
        <f>'EMCAP_Pricing Matrix'!H35</f>
        <v>9.2500000000000013E-2</v>
      </c>
      <c r="C294" t="s">
        <v>895</v>
      </c>
    </row>
    <row r="295" spans="1:3" ht="15" customHeight="1" x14ac:dyDescent="0.45">
      <c r="A295" t="s">
        <v>896</v>
      </c>
      <c r="B295" s="8">
        <f>'EMCAP_Pricing Matrix'!M35</f>
        <v>0.1075</v>
      </c>
      <c r="C295" t="s">
        <v>897</v>
      </c>
    </row>
    <row r="296" spans="1:3" ht="15" customHeight="1" x14ac:dyDescent="0.45">
      <c r="A296" t="s">
        <v>898</v>
      </c>
      <c r="B296" s="8">
        <f>'EMCAP_Pricing Matrix'!N35</f>
        <v>0.11</v>
      </c>
      <c r="C296" t="s">
        <v>899</v>
      </c>
    </row>
    <row r="297" spans="1:3" ht="15" customHeight="1" x14ac:dyDescent="0.45">
      <c r="A297" t="s">
        <v>900</v>
      </c>
      <c r="B297" s="8">
        <f>'EMCAP_Pricing Matrix'!W35</f>
        <v>8.8750000000000009E-2</v>
      </c>
      <c r="C297" t="s">
        <v>901</v>
      </c>
    </row>
    <row r="298" spans="1:3" ht="15" customHeight="1" x14ac:dyDescent="0.45">
      <c r="A298" t="s">
        <v>902</v>
      </c>
      <c r="B298" s="8">
        <f>'EMCAP_Pricing Matrix'!X35</f>
        <v>9.0000000000000011E-2</v>
      </c>
      <c r="C298" t="s">
        <v>903</v>
      </c>
    </row>
    <row r="299" spans="1:3" ht="15" customHeight="1" x14ac:dyDescent="0.45">
      <c r="A299" t="s">
        <v>904</v>
      </c>
      <c r="B299" s="8">
        <f>'EMCAP_Pricing Matrix'!Y35</f>
        <v>9.1250000000000012E-2</v>
      </c>
      <c r="C299" t="s">
        <v>905</v>
      </c>
    </row>
    <row r="300" spans="1:3" ht="15" customHeight="1" x14ac:dyDescent="0.45">
      <c r="A300" t="s">
        <v>906</v>
      </c>
      <c r="B300" s="8">
        <f>'EMCAP_Pricing Matrix'!Z35</f>
        <v>9.2500000000000013E-2</v>
      </c>
      <c r="C300" t="s">
        <v>907</v>
      </c>
    </row>
    <row r="301" spans="1:3" ht="15" customHeight="1" x14ac:dyDescent="0.45">
      <c r="A301" t="s">
        <v>908</v>
      </c>
      <c r="B301" s="8">
        <f>'EMCAP_Pricing Matrix'!AA35</f>
        <v>9.3750000000000014E-2</v>
      </c>
      <c r="C301" t="s">
        <v>909</v>
      </c>
    </row>
    <row r="302" spans="1:3" ht="15" customHeight="1" x14ac:dyDescent="0.45">
      <c r="A302" t="s">
        <v>910</v>
      </c>
      <c r="B302" s="8">
        <f>'EMCAP_Pricing Matrix'!AB35</f>
        <v>9.3750000000000014E-2</v>
      </c>
      <c r="C302" t="s">
        <v>911</v>
      </c>
    </row>
    <row r="303" spans="1:3" ht="15" customHeight="1" x14ac:dyDescent="0.45">
      <c r="A303" t="s">
        <v>912</v>
      </c>
      <c r="B303" s="8">
        <f>'EMCAP_Pricing Matrix'!AQ35</f>
        <v>9.0000000000000011E-2</v>
      </c>
      <c r="C303" t="s">
        <v>913</v>
      </c>
    </row>
    <row r="304" spans="1:3" ht="15" customHeight="1" x14ac:dyDescent="0.45">
      <c r="A304" t="s">
        <v>914</v>
      </c>
      <c r="B304" s="8">
        <f>'EMCAP_Pricing Matrix'!AR35</f>
        <v>9.1250000000000012E-2</v>
      </c>
      <c r="C304" t="s">
        <v>915</v>
      </c>
    </row>
    <row r="305" spans="1:3" ht="15" customHeight="1" x14ac:dyDescent="0.45">
      <c r="A305" t="s">
        <v>916</v>
      </c>
      <c r="B305" s="8">
        <f>'EMCAP_Pricing Matrix'!AS35</f>
        <v>9.2500000000000013E-2</v>
      </c>
      <c r="C305" t="s">
        <v>917</v>
      </c>
    </row>
    <row r="306" spans="1:3" ht="15" customHeight="1" x14ac:dyDescent="0.45">
      <c r="A306" t="s">
        <v>918</v>
      </c>
      <c r="B306" s="8">
        <f>'EMCAP_Pricing Matrix'!AT35</f>
        <v>9.3750000000000014E-2</v>
      </c>
      <c r="C306" t="s">
        <v>919</v>
      </c>
    </row>
    <row r="307" spans="1:3" ht="15" customHeight="1" x14ac:dyDescent="0.45">
      <c r="A307" t="s">
        <v>920</v>
      </c>
      <c r="B307" s="8">
        <f>'EMCAP_Pricing Matrix'!AU35</f>
        <v>9.5000000000000015E-2</v>
      </c>
      <c r="C307" t="s">
        <v>921</v>
      </c>
    </row>
    <row r="308" spans="1:3" ht="15" customHeight="1" x14ac:dyDescent="0.45">
      <c r="A308" t="s">
        <v>922</v>
      </c>
      <c r="B308" s="8">
        <f>'EMCAP_Pricing Matrix'!AV35</f>
        <v>9.5000000000000015E-2</v>
      </c>
      <c r="C308" t="s">
        <v>923</v>
      </c>
    </row>
    <row r="309" spans="1:3" ht="15" customHeight="1" x14ac:dyDescent="0.45">
      <c r="A309" t="s">
        <v>924</v>
      </c>
      <c r="B309" s="8">
        <f>'EMCAP_Pricing Matrix'!C50</f>
        <v>0.09</v>
      </c>
      <c r="C309" t="s">
        <v>925</v>
      </c>
    </row>
    <row r="310" spans="1:3" ht="15" customHeight="1" x14ac:dyDescent="0.45">
      <c r="A310" t="s">
        <v>926</v>
      </c>
      <c r="B310" s="8">
        <f>'EMCAP_Pricing Matrix'!D50</f>
        <v>9.2499999999999999E-2</v>
      </c>
      <c r="C310" t="s">
        <v>927</v>
      </c>
    </row>
    <row r="311" spans="1:3" ht="15" customHeight="1" x14ac:dyDescent="0.45">
      <c r="A311" t="s">
        <v>928</v>
      </c>
      <c r="B311" s="8">
        <f>'EMCAP_Pricing Matrix'!E50</f>
        <v>9.5000000000000001E-2</v>
      </c>
      <c r="C311" t="s">
        <v>929</v>
      </c>
    </row>
    <row r="312" spans="1:3" ht="15" customHeight="1" x14ac:dyDescent="0.45">
      <c r="A312" t="s">
        <v>930</v>
      </c>
      <c r="B312" s="8">
        <f>'EMCAP_Pricing Matrix'!W50</f>
        <v>9.1249999999999998E-2</v>
      </c>
      <c r="C312" t="s">
        <v>931</v>
      </c>
    </row>
    <row r="313" spans="1:3" ht="15" customHeight="1" x14ac:dyDescent="0.45">
      <c r="A313" t="s">
        <v>932</v>
      </c>
      <c r="B313" s="8">
        <f>'EMCAP_Pricing Matrix'!X50</f>
        <v>9.375E-2</v>
      </c>
      <c r="C313" t="s">
        <v>933</v>
      </c>
    </row>
    <row r="314" spans="1:3" ht="15" customHeight="1" x14ac:dyDescent="0.45">
      <c r="A314" t="s">
        <v>934</v>
      </c>
      <c r="B314" s="8">
        <f>'EMCAP_Pricing Matrix'!Y50</f>
        <v>9.6250000000000002E-2</v>
      </c>
      <c r="C314" t="s">
        <v>935</v>
      </c>
    </row>
    <row r="315" spans="1:3" ht="15" customHeight="1" x14ac:dyDescent="0.45">
      <c r="A315" t="s">
        <v>936</v>
      </c>
      <c r="B315" s="8">
        <f>'EMCAP_Pricing Matrix'!AQ50</f>
        <v>9.2499999999999999E-2</v>
      </c>
      <c r="C315" t="s">
        <v>937</v>
      </c>
    </row>
    <row r="316" spans="1:3" ht="15" customHeight="1" x14ac:dyDescent="0.45">
      <c r="A316" t="s">
        <v>938</v>
      </c>
      <c r="B316" s="8">
        <f>'EMCAP_Pricing Matrix'!AR50</f>
        <v>9.5000000000000001E-2</v>
      </c>
      <c r="C316" t="s">
        <v>939</v>
      </c>
    </row>
    <row r="317" spans="1:3" ht="15" customHeight="1" x14ac:dyDescent="0.45">
      <c r="A317" t="s">
        <v>940</v>
      </c>
      <c r="B317" s="8">
        <f>'EMCAP_Pricing Matrix'!AS50</f>
        <v>9.7500000000000003E-2</v>
      </c>
      <c r="C317" t="s">
        <v>941</v>
      </c>
    </row>
    <row r="318" spans="1:3" ht="15" customHeight="1" x14ac:dyDescent="0.45">
      <c r="A318" t="s">
        <v>942</v>
      </c>
      <c r="B318" s="8">
        <f>'EMCAP_Pricing Matrix'!C51</f>
        <v>9.5000000000000001E-2</v>
      </c>
      <c r="C318" t="s">
        <v>943</v>
      </c>
    </row>
    <row r="319" spans="1:3" ht="15" customHeight="1" x14ac:dyDescent="0.45">
      <c r="A319" t="s">
        <v>944</v>
      </c>
      <c r="B319" s="8">
        <f>'EMCAP_Pricing Matrix'!D51</f>
        <v>9.7500000000000003E-2</v>
      </c>
      <c r="C319" t="s">
        <v>945</v>
      </c>
    </row>
    <row r="320" spans="1:3" ht="15" customHeight="1" x14ac:dyDescent="0.45">
      <c r="A320" t="s">
        <v>946</v>
      </c>
      <c r="B320" s="8">
        <f>'EMCAP_Pricing Matrix'!E51</f>
        <v>0.1</v>
      </c>
      <c r="C320" t="s">
        <v>947</v>
      </c>
    </row>
    <row r="321" spans="1:3" ht="15" customHeight="1" x14ac:dyDescent="0.45">
      <c r="A321" t="s">
        <v>948</v>
      </c>
      <c r="B321" s="8">
        <f>'EMCAP_Pricing Matrix'!W51</f>
        <v>9.6250000000000002E-2</v>
      </c>
      <c r="C321" t="s">
        <v>949</v>
      </c>
    </row>
    <row r="322" spans="1:3" ht="15" customHeight="1" x14ac:dyDescent="0.45">
      <c r="A322" t="s">
        <v>950</v>
      </c>
      <c r="B322" s="8">
        <f>'EMCAP_Pricing Matrix'!X51</f>
        <v>9.8750000000000004E-2</v>
      </c>
      <c r="C322" t="s">
        <v>951</v>
      </c>
    </row>
    <row r="323" spans="1:3" ht="15" customHeight="1" x14ac:dyDescent="0.45">
      <c r="A323" t="s">
        <v>952</v>
      </c>
      <c r="B323" s="8">
        <f>'EMCAP_Pricing Matrix'!Y51</f>
        <v>0.10125000000000001</v>
      </c>
      <c r="C323" t="s">
        <v>953</v>
      </c>
    </row>
    <row r="324" spans="1:3" ht="15" customHeight="1" x14ac:dyDescent="0.45">
      <c r="A324" t="s">
        <v>954</v>
      </c>
      <c r="B324" s="8">
        <f>'EMCAP_Pricing Matrix'!AQ51</f>
        <v>9.7500000000000003E-2</v>
      </c>
      <c r="C324" t="s">
        <v>955</v>
      </c>
    </row>
    <row r="325" spans="1:3" ht="15" customHeight="1" x14ac:dyDescent="0.45">
      <c r="A325" t="s">
        <v>956</v>
      </c>
      <c r="B325" s="8">
        <f>'EMCAP_Pricing Matrix'!AR51</f>
        <v>0.1</v>
      </c>
      <c r="C325" t="s">
        <v>957</v>
      </c>
    </row>
    <row r="326" spans="1:3" ht="15" customHeight="1" x14ac:dyDescent="0.45">
      <c r="A326" t="s">
        <v>958</v>
      </c>
      <c r="B326" s="8">
        <f>'EMCAP_Pricing Matrix'!AS51</f>
        <v>0.10250000000000001</v>
      </c>
      <c r="C326" t="s">
        <v>959</v>
      </c>
    </row>
    <row r="327" spans="1:3" ht="15" customHeight="1" x14ac:dyDescent="0.45">
      <c r="A327" t="s">
        <v>960</v>
      </c>
      <c r="B327" s="8">
        <f>'EMCAP_Pricing Matrix'!C61</f>
        <v>8.3750000000000005E-2</v>
      </c>
      <c r="C327" t="s">
        <v>961</v>
      </c>
    </row>
    <row r="328" spans="1:3" ht="15" customHeight="1" x14ac:dyDescent="0.45">
      <c r="A328" t="s">
        <v>962</v>
      </c>
      <c r="B328" s="8">
        <f>'EMCAP_Pricing Matrix'!D61</f>
        <v>8.6250000000000007E-2</v>
      </c>
      <c r="C328" t="s">
        <v>963</v>
      </c>
    </row>
    <row r="329" spans="1:3" ht="15" customHeight="1" x14ac:dyDescent="0.45">
      <c r="A329" t="s">
        <v>964</v>
      </c>
      <c r="B329" s="8">
        <f>'EMCAP_Pricing Matrix'!E61</f>
        <v>8.6250000000000007E-2</v>
      </c>
      <c r="C329" t="s">
        <v>965</v>
      </c>
    </row>
    <row r="330" spans="1:3" ht="15" customHeight="1" x14ac:dyDescent="0.45">
      <c r="A330" t="s">
        <v>966</v>
      </c>
      <c r="B330" s="8">
        <f>'EMCAP_Pricing Matrix'!F61</f>
        <v>8.8750000000000009E-2</v>
      </c>
      <c r="C330" t="s">
        <v>967</v>
      </c>
    </row>
    <row r="331" spans="1:3" ht="15" customHeight="1" x14ac:dyDescent="0.45">
      <c r="A331" t="s">
        <v>968</v>
      </c>
      <c r="B331" s="8">
        <f>'EMCAP_Pricing Matrix'!G61</f>
        <v>9.1250000000000012E-2</v>
      </c>
      <c r="C331" t="s">
        <v>969</v>
      </c>
    </row>
    <row r="332" spans="1:3" ht="15" customHeight="1" x14ac:dyDescent="0.45">
      <c r="A332" t="s">
        <v>970</v>
      </c>
      <c r="B332" s="8">
        <f>'EMCAP_Pricing Matrix'!H61</f>
        <v>9.3750000000000014E-2</v>
      </c>
      <c r="C332" t="s">
        <v>971</v>
      </c>
    </row>
    <row r="333" spans="1:3" ht="15" customHeight="1" x14ac:dyDescent="0.45">
      <c r="A333" t="s">
        <v>972</v>
      </c>
      <c r="B333" s="8">
        <f>'EMCAP_Pricing Matrix'!M61</f>
        <v>8.3750000000000005E-2</v>
      </c>
      <c r="C333" t="s">
        <v>973</v>
      </c>
    </row>
    <row r="334" spans="1:3" ht="15" customHeight="1" x14ac:dyDescent="0.45">
      <c r="A334" t="s">
        <v>974</v>
      </c>
      <c r="B334" s="8">
        <f>'EMCAP_Pricing Matrix'!N61</f>
        <v>8.6250000000000007E-2</v>
      </c>
      <c r="C334" t="s">
        <v>975</v>
      </c>
    </row>
    <row r="335" spans="1:3" ht="15" customHeight="1" x14ac:dyDescent="0.45">
      <c r="A335" t="s">
        <v>976</v>
      </c>
      <c r="B335" s="8">
        <f>'EMCAP_Pricing Matrix'!O61</f>
        <v>8.6250000000000007E-2</v>
      </c>
      <c r="C335" t="s">
        <v>977</v>
      </c>
    </row>
    <row r="336" spans="1:3" ht="15" customHeight="1" x14ac:dyDescent="0.45">
      <c r="A336" t="s">
        <v>978</v>
      </c>
      <c r="B336" s="8">
        <f>'EMCAP_Pricing Matrix'!P61</f>
        <v>8.8750000000000009E-2</v>
      </c>
      <c r="C336" t="s">
        <v>979</v>
      </c>
    </row>
    <row r="337" spans="1:3" ht="15" customHeight="1" x14ac:dyDescent="0.45">
      <c r="A337" t="s">
        <v>980</v>
      </c>
      <c r="B337" s="8">
        <f>'EMCAP_Pricing Matrix'!Q61</f>
        <v>9.1250000000000012E-2</v>
      </c>
      <c r="C337" t="s">
        <v>981</v>
      </c>
    </row>
    <row r="338" spans="1:3" ht="15" customHeight="1" x14ac:dyDescent="0.45">
      <c r="A338" t="s">
        <v>982</v>
      </c>
      <c r="B338" s="8">
        <f>'EMCAP_Pricing Matrix'!R61</f>
        <v>9.3750000000000014E-2</v>
      </c>
      <c r="C338" t="s">
        <v>983</v>
      </c>
    </row>
    <row r="339" spans="1:3" ht="15" customHeight="1" x14ac:dyDescent="0.45">
      <c r="A339" t="s">
        <v>984</v>
      </c>
      <c r="B339" s="8">
        <f>'EMCAP_Pricing Matrix'!W61</f>
        <v>8.5000000000000006E-2</v>
      </c>
      <c r="C339" t="s">
        <v>985</v>
      </c>
    </row>
    <row r="340" spans="1:3" ht="15" customHeight="1" x14ac:dyDescent="0.45">
      <c r="A340" t="s">
        <v>986</v>
      </c>
      <c r="B340" s="8">
        <f>'EMCAP_Pricing Matrix'!X61</f>
        <v>8.7500000000000008E-2</v>
      </c>
      <c r="C340" t="s">
        <v>987</v>
      </c>
    </row>
    <row r="341" spans="1:3" ht="15" customHeight="1" x14ac:dyDescent="0.45">
      <c r="A341" t="s">
        <v>988</v>
      </c>
      <c r="B341" s="8">
        <f>'EMCAP_Pricing Matrix'!Y61</f>
        <v>8.7500000000000008E-2</v>
      </c>
      <c r="C341" t="s">
        <v>989</v>
      </c>
    </row>
    <row r="342" spans="1:3" ht="15" customHeight="1" x14ac:dyDescent="0.45">
      <c r="A342" t="s">
        <v>990</v>
      </c>
      <c r="B342" s="8">
        <f>'EMCAP_Pricing Matrix'!Z61</f>
        <v>9.0000000000000011E-2</v>
      </c>
      <c r="C342" t="s">
        <v>991</v>
      </c>
    </row>
    <row r="343" spans="1:3" ht="15" customHeight="1" x14ac:dyDescent="0.45">
      <c r="A343" t="s">
        <v>992</v>
      </c>
      <c r="B343" s="8">
        <f>'EMCAP_Pricing Matrix'!AA61</f>
        <v>9.2500000000000013E-2</v>
      </c>
      <c r="C343" t="s">
        <v>993</v>
      </c>
    </row>
    <row r="344" spans="1:3" ht="15" customHeight="1" x14ac:dyDescent="0.45">
      <c r="A344" t="s">
        <v>994</v>
      </c>
      <c r="B344" s="8">
        <f>'EMCAP_Pricing Matrix'!AB61</f>
        <v>9.5000000000000015E-2</v>
      </c>
      <c r="C344" t="s">
        <v>995</v>
      </c>
    </row>
    <row r="345" spans="1:3" ht="15" customHeight="1" x14ac:dyDescent="0.45">
      <c r="A345" t="s">
        <v>996</v>
      </c>
      <c r="B345" s="8">
        <f>'EMCAP_Pricing Matrix'!AG61</f>
        <v>8.5000000000000006E-2</v>
      </c>
      <c r="C345" t="s">
        <v>997</v>
      </c>
    </row>
    <row r="346" spans="1:3" ht="15" customHeight="1" x14ac:dyDescent="0.45">
      <c r="A346" t="s">
        <v>998</v>
      </c>
      <c r="B346" s="8">
        <f>'EMCAP_Pricing Matrix'!AH61</f>
        <v>8.7500000000000008E-2</v>
      </c>
      <c r="C346" t="s">
        <v>999</v>
      </c>
    </row>
    <row r="347" spans="1:3" ht="15" customHeight="1" x14ac:dyDescent="0.45">
      <c r="A347" t="s">
        <v>1000</v>
      </c>
      <c r="B347" s="8">
        <f>'EMCAP_Pricing Matrix'!AI61</f>
        <v>8.7500000000000008E-2</v>
      </c>
      <c r="C347" t="s">
        <v>1001</v>
      </c>
    </row>
    <row r="348" spans="1:3" ht="15" customHeight="1" x14ac:dyDescent="0.45">
      <c r="A348" t="s">
        <v>1002</v>
      </c>
      <c r="B348" s="8">
        <f>'EMCAP_Pricing Matrix'!AJ61</f>
        <v>9.0000000000000011E-2</v>
      </c>
      <c r="C348" t="s">
        <v>1003</v>
      </c>
    </row>
    <row r="349" spans="1:3" ht="15" customHeight="1" x14ac:dyDescent="0.45">
      <c r="A349" t="s">
        <v>1004</v>
      </c>
      <c r="B349" s="8">
        <f>'EMCAP_Pricing Matrix'!AK61</f>
        <v>9.2500000000000013E-2</v>
      </c>
      <c r="C349" t="s">
        <v>1005</v>
      </c>
    </row>
    <row r="350" spans="1:3" ht="15" customHeight="1" x14ac:dyDescent="0.45">
      <c r="A350" t="s">
        <v>1006</v>
      </c>
      <c r="B350" s="8">
        <f>'EMCAP_Pricing Matrix'!AL61</f>
        <v>9.5000000000000015E-2</v>
      </c>
      <c r="C350" t="s">
        <v>1007</v>
      </c>
    </row>
    <row r="351" spans="1:3" ht="15" customHeight="1" x14ac:dyDescent="0.45">
      <c r="A351" t="s">
        <v>1008</v>
      </c>
      <c r="B351" s="8">
        <f>'EMCAP_Pricing Matrix'!AQ61</f>
        <v>8.6250000000000007E-2</v>
      </c>
      <c r="C351" t="s">
        <v>1009</v>
      </c>
    </row>
    <row r="352" spans="1:3" ht="15" customHeight="1" x14ac:dyDescent="0.45">
      <c r="A352" t="s">
        <v>1010</v>
      </c>
      <c r="B352" s="8">
        <f>'EMCAP_Pricing Matrix'!AR61</f>
        <v>8.8750000000000009E-2</v>
      </c>
      <c r="C352" t="s">
        <v>1011</v>
      </c>
    </row>
    <row r="353" spans="1:3" ht="15" customHeight="1" x14ac:dyDescent="0.45">
      <c r="A353" t="s">
        <v>1012</v>
      </c>
      <c r="B353" s="8">
        <f>'EMCAP_Pricing Matrix'!AS61</f>
        <v>8.8750000000000009E-2</v>
      </c>
      <c r="C353" t="s">
        <v>1013</v>
      </c>
    </row>
    <row r="354" spans="1:3" ht="15" customHeight="1" x14ac:dyDescent="0.45">
      <c r="A354" t="s">
        <v>1014</v>
      </c>
      <c r="B354" s="8">
        <f>'EMCAP_Pricing Matrix'!AT61</f>
        <v>9.1250000000000012E-2</v>
      </c>
      <c r="C354" t="s">
        <v>1015</v>
      </c>
    </row>
    <row r="355" spans="1:3" ht="15" customHeight="1" x14ac:dyDescent="0.45">
      <c r="A355" t="s">
        <v>1016</v>
      </c>
      <c r="B355" s="8">
        <f>'EMCAP_Pricing Matrix'!AU61</f>
        <v>9.3750000000000014E-2</v>
      </c>
      <c r="C355" t="s">
        <v>1017</v>
      </c>
    </row>
    <row r="356" spans="1:3" ht="15" customHeight="1" x14ac:dyDescent="0.45">
      <c r="A356" t="s">
        <v>1018</v>
      </c>
      <c r="B356" s="8">
        <f>'EMCAP_Pricing Matrix'!AV61</f>
        <v>9.6250000000000016E-2</v>
      </c>
      <c r="C356" t="s">
        <v>1019</v>
      </c>
    </row>
    <row r="357" spans="1:3" ht="15" customHeight="1" x14ac:dyDescent="0.45">
      <c r="A357" t="s">
        <v>1020</v>
      </c>
      <c r="B357" s="8">
        <f>'EMCAP_Pricing Matrix'!C62</f>
        <v>8.8750000000000009E-2</v>
      </c>
      <c r="C357" t="s">
        <v>1021</v>
      </c>
    </row>
    <row r="358" spans="1:3" ht="15" customHeight="1" x14ac:dyDescent="0.45">
      <c r="A358" t="s">
        <v>1022</v>
      </c>
      <c r="B358" s="8">
        <f>'EMCAP_Pricing Matrix'!D62</f>
        <v>9.1250000000000012E-2</v>
      </c>
      <c r="C358" t="s">
        <v>1023</v>
      </c>
    </row>
    <row r="359" spans="1:3" ht="15" customHeight="1" x14ac:dyDescent="0.45">
      <c r="A359" t="s">
        <v>1024</v>
      </c>
      <c r="B359" s="8">
        <f>'EMCAP_Pricing Matrix'!E62</f>
        <v>9.1250000000000012E-2</v>
      </c>
      <c r="C359" t="s">
        <v>1025</v>
      </c>
    </row>
    <row r="360" spans="1:3" ht="15" customHeight="1" x14ac:dyDescent="0.45">
      <c r="A360" t="s">
        <v>1026</v>
      </c>
      <c r="B360" s="8">
        <f>'EMCAP_Pricing Matrix'!F62</f>
        <v>9.3750000000000014E-2</v>
      </c>
      <c r="C360" t="s">
        <v>1027</v>
      </c>
    </row>
    <row r="361" spans="1:3" ht="15" customHeight="1" x14ac:dyDescent="0.45">
      <c r="A361" t="s">
        <v>1028</v>
      </c>
      <c r="B361" s="8">
        <f>'EMCAP_Pricing Matrix'!G62</f>
        <v>9.6250000000000016E-2</v>
      </c>
      <c r="C361" t="s">
        <v>1029</v>
      </c>
    </row>
    <row r="362" spans="1:3" ht="15" customHeight="1" x14ac:dyDescent="0.45">
      <c r="A362" t="s">
        <v>1030</v>
      </c>
      <c r="B362" s="8">
        <f>'EMCAP_Pricing Matrix'!H62</f>
        <v>9.8750000000000018E-2</v>
      </c>
      <c r="C362" t="s">
        <v>1031</v>
      </c>
    </row>
    <row r="363" spans="1:3" ht="15" customHeight="1" x14ac:dyDescent="0.45">
      <c r="A363" t="s">
        <v>1032</v>
      </c>
      <c r="B363" s="8">
        <f>'EMCAP_Pricing Matrix'!M62</f>
        <v>8.8750000000000009E-2</v>
      </c>
      <c r="C363" t="s">
        <v>1033</v>
      </c>
    </row>
    <row r="364" spans="1:3" ht="15" customHeight="1" x14ac:dyDescent="0.45">
      <c r="A364" t="s">
        <v>1034</v>
      </c>
      <c r="B364" s="8">
        <f>'EMCAP_Pricing Matrix'!N62</f>
        <v>9.1250000000000012E-2</v>
      </c>
      <c r="C364" t="s">
        <v>1035</v>
      </c>
    </row>
    <row r="365" spans="1:3" ht="15" customHeight="1" x14ac:dyDescent="0.45">
      <c r="A365" t="s">
        <v>1036</v>
      </c>
      <c r="B365" s="8">
        <f>'EMCAP_Pricing Matrix'!O62</f>
        <v>9.1250000000000012E-2</v>
      </c>
      <c r="C365" t="s">
        <v>1037</v>
      </c>
    </row>
    <row r="366" spans="1:3" ht="15" customHeight="1" x14ac:dyDescent="0.45">
      <c r="A366" t="s">
        <v>1038</v>
      </c>
      <c r="B366" s="8">
        <f>'EMCAP_Pricing Matrix'!P62</f>
        <v>9.3750000000000014E-2</v>
      </c>
      <c r="C366" t="s">
        <v>1039</v>
      </c>
    </row>
    <row r="367" spans="1:3" ht="15" customHeight="1" x14ac:dyDescent="0.45">
      <c r="A367" t="s">
        <v>1040</v>
      </c>
      <c r="B367" s="8">
        <f>'EMCAP_Pricing Matrix'!Q62</f>
        <v>9.6250000000000016E-2</v>
      </c>
      <c r="C367" t="s">
        <v>1041</v>
      </c>
    </row>
    <row r="368" spans="1:3" ht="15" customHeight="1" x14ac:dyDescent="0.45">
      <c r="A368" t="s">
        <v>1042</v>
      </c>
      <c r="B368" s="8">
        <f>'EMCAP_Pricing Matrix'!R62</f>
        <v>9.8750000000000018E-2</v>
      </c>
      <c r="C368" t="s">
        <v>1043</v>
      </c>
    </row>
    <row r="369" spans="1:3" ht="15" customHeight="1" x14ac:dyDescent="0.45">
      <c r="A369" t="s">
        <v>1044</v>
      </c>
      <c r="B369" s="8">
        <f>'EMCAP_Pricing Matrix'!W62</f>
        <v>9.0000000000000011E-2</v>
      </c>
      <c r="C369" t="s">
        <v>1045</v>
      </c>
    </row>
    <row r="370" spans="1:3" ht="15" customHeight="1" x14ac:dyDescent="0.45">
      <c r="A370" t="s">
        <v>1046</v>
      </c>
      <c r="B370" s="8">
        <f>'EMCAP_Pricing Matrix'!X62</f>
        <v>9.2500000000000013E-2</v>
      </c>
      <c r="C370" t="s">
        <v>1047</v>
      </c>
    </row>
    <row r="371" spans="1:3" ht="15" customHeight="1" x14ac:dyDescent="0.45">
      <c r="A371" t="s">
        <v>1048</v>
      </c>
      <c r="B371" s="8">
        <f>'EMCAP_Pricing Matrix'!Y62</f>
        <v>9.2500000000000013E-2</v>
      </c>
      <c r="C371" t="s">
        <v>1049</v>
      </c>
    </row>
    <row r="372" spans="1:3" ht="15" customHeight="1" x14ac:dyDescent="0.45">
      <c r="A372" t="s">
        <v>1050</v>
      </c>
      <c r="B372" s="8">
        <f>'EMCAP_Pricing Matrix'!Z62</f>
        <v>9.5000000000000015E-2</v>
      </c>
      <c r="C372" t="s">
        <v>1051</v>
      </c>
    </row>
    <row r="373" spans="1:3" ht="15" customHeight="1" x14ac:dyDescent="0.45">
      <c r="A373" t="s">
        <v>1052</v>
      </c>
      <c r="B373" s="8">
        <f>'EMCAP_Pricing Matrix'!AA62</f>
        <v>9.7500000000000017E-2</v>
      </c>
      <c r="C373" t="s">
        <v>1053</v>
      </c>
    </row>
    <row r="374" spans="1:3" ht="15" customHeight="1" x14ac:dyDescent="0.45">
      <c r="A374" t="s">
        <v>1054</v>
      </c>
      <c r="B374" s="8">
        <f>'EMCAP_Pricing Matrix'!AB62</f>
        <v>0.10000000000000002</v>
      </c>
      <c r="C374" t="s">
        <v>1055</v>
      </c>
    </row>
    <row r="375" spans="1:3" ht="15" customHeight="1" x14ac:dyDescent="0.45">
      <c r="A375" t="s">
        <v>1056</v>
      </c>
      <c r="B375" s="8">
        <f>'EMCAP_Pricing Matrix'!AG62</f>
        <v>9.0000000000000011E-2</v>
      </c>
      <c r="C375" t="s">
        <v>1057</v>
      </c>
    </row>
    <row r="376" spans="1:3" ht="15" customHeight="1" x14ac:dyDescent="0.45">
      <c r="A376" t="s">
        <v>1058</v>
      </c>
      <c r="B376" s="8">
        <f>'EMCAP_Pricing Matrix'!AH62</f>
        <v>9.2500000000000013E-2</v>
      </c>
      <c r="C376" t="s">
        <v>1059</v>
      </c>
    </row>
    <row r="377" spans="1:3" ht="15" customHeight="1" x14ac:dyDescent="0.45">
      <c r="A377" t="s">
        <v>1060</v>
      </c>
      <c r="B377" s="8">
        <f>'EMCAP_Pricing Matrix'!AI62</f>
        <v>9.2500000000000013E-2</v>
      </c>
      <c r="C377" t="s">
        <v>1061</v>
      </c>
    </row>
    <row r="378" spans="1:3" ht="15" customHeight="1" x14ac:dyDescent="0.45">
      <c r="A378" t="s">
        <v>1062</v>
      </c>
      <c r="B378" s="8">
        <f>'EMCAP_Pricing Matrix'!AJ62</f>
        <v>9.5000000000000015E-2</v>
      </c>
      <c r="C378" t="s">
        <v>1063</v>
      </c>
    </row>
    <row r="379" spans="1:3" ht="15" customHeight="1" x14ac:dyDescent="0.45">
      <c r="A379" t="s">
        <v>1064</v>
      </c>
      <c r="B379" s="8">
        <f>'EMCAP_Pricing Matrix'!AK62</f>
        <v>9.7500000000000017E-2</v>
      </c>
      <c r="C379" t="s">
        <v>1065</v>
      </c>
    </row>
    <row r="380" spans="1:3" ht="15" customHeight="1" x14ac:dyDescent="0.45">
      <c r="A380" t="s">
        <v>1066</v>
      </c>
      <c r="B380" s="8">
        <f>'EMCAP_Pricing Matrix'!AL62</f>
        <v>0.10000000000000002</v>
      </c>
      <c r="C380" t="s">
        <v>1067</v>
      </c>
    </row>
    <row r="381" spans="1:3" ht="15" customHeight="1" x14ac:dyDescent="0.45">
      <c r="A381" t="s">
        <v>1068</v>
      </c>
      <c r="B381" s="8">
        <f>'EMCAP_Pricing Matrix'!AQ62</f>
        <v>9.1250000000000012E-2</v>
      </c>
      <c r="C381" t="s">
        <v>1069</v>
      </c>
    </row>
    <row r="382" spans="1:3" ht="15" customHeight="1" x14ac:dyDescent="0.45">
      <c r="A382" t="s">
        <v>1070</v>
      </c>
      <c r="B382" s="8">
        <f>'EMCAP_Pricing Matrix'!AR62</f>
        <v>9.3750000000000014E-2</v>
      </c>
      <c r="C382" t="s">
        <v>1071</v>
      </c>
    </row>
    <row r="383" spans="1:3" ht="15" customHeight="1" x14ac:dyDescent="0.45">
      <c r="A383" t="s">
        <v>1072</v>
      </c>
      <c r="B383" s="8">
        <f>'EMCAP_Pricing Matrix'!AS62</f>
        <v>9.3750000000000014E-2</v>
      </c>
      <c r="C383" t="s">
        <v>1073</v>
      </c>
    </row>
    <row r="384" spans="1:3" ht="15" customHeight="1" x14ac:dyDescent="0.45">
      <c r="A384" t="s">
        <v>1074</v>
      </c>
      <c r="B384" s="8">
        <f>'EMCAP_Pricing Matrix'!AT62</f>
        <v>9.6250000000000016E-2</v>
      </c>
      <c r="C384" t="s">
        <v>1075</v>
      </c>
    </row>
    <row r="385" spans="1:3" ht="15" customHeight="1" x14ac:dyDescent="0.45">
      <c r="A385" t="s">
        <v>1076</v>
      </c>
      <c r="B385" s="8">
        <f>'EMCAP_Pricing Matrix'!AU62</f>
        <v>9.8750000000000018E-2</v>
      </c>
      <c r="C385" t="s">
        <v>1077</v>
      </c>
    </row>
    <row r="386" spans="1:3" ht="15" customHeight="1" x14ac:dyDescent="0.45">
      <c r="A386" t="s">
        <v>1078</v>
      </c>
      <c r="B386" s="8">
        <f>'EMCAP_Pricing Matrix'!AV62</f>
        <v>0.10125000000000002</v>
      </c>
      <c r="C386" t="s">
        <v>1079</v>
      </c>
    </row>
    <row r="387" spans="1:3" ht="15" customHeight="1" x14ac:dyDescent="0.45">
      <c r="A387" t="s">
        <v>1080</v>
      </c>
      <c r="B387" s="8">
        <f>'EMCAP_Pricing Matrix'!C63</f>
        <v>9.1249999999999998E-2</v>
      </c>
      <c r="C387" t="s">
        <v>1081</v>
      </c>
    </row>
    <row r="388" spans="1:3" ht="15" customHeight="1" x14ac:dyDescent="0.45">
      <c r="A388" t="s">
        <v>1082</v>
      </c>
      <c r="B388" s="8">
        <f>'EMCAP_Pricing Matrix'!D63</f>
        <v>9.375E-2</v>
      </c>
      <c r="C388" t="s">
        <v>1083</v>
      </c>
    </row>
    <row r="389" spans="1:3" ht="15" customHeight="1" x14ac:dyDescent="0.45">
      <c r="A389" t="s">
        <v>1084</v>
      </c>
      <c r="B389" s="8">
        <f>'EMCAP_Pricing Matrix'!E63</f>
        <v>9.375E-2</v>
      </c>
      <c r="C389" t="s">
        <v>1085</v>
      </c>
    </row>
    <row r="390" spans="1:3" ht="15" customHeight="1" x14ac:dyDescent="0.45">
      <c r="A390" t="s">
        <v>1086</v>
      </c>
      <c r="B390" s="8">
        <f>'EMCAP_Pricing Matrix'!F63</f>
        <v>9.6250000000000002E-2</v>
      </c>
      <c r="C390" t="s">
        <v>1087</v>
      </c>
    </row>
    <row r="391" spans="1:3" ht="15" customHeight="1" x14ac:dyDescent="0.45">
      <c r="A391" t="s">
        <v>1088</v>
      </c>
      <c r="B391" s="8">
        <f>'EMCAP_Pricing Matrix'!G63</f>
        <v>9.8750000000000004E-2</v>
      </c>
      <c r="C391" t="s">
        <v>1089</v>
      </c>
    </row>
    <row r="392" spans="1:3" ht="15" customHeight="1" x14ac:dyDescent="0.45">
      <c r="A392" t="s">
        <v>1090</v>
      </c>
      <c r="B392" s="8">
        <f>'EMCAP_Pricing Matrix'!H63</f>
        <v>0.10125000000000001</v>
      </c>
      <c r="C392" t="s">
        <v>1091</v>
      </c>
    </row>
    <row r="393" spans="1:3" ht="15" customHeight="1" x14ac:dyDescent="0.45">
      <c r="A393" t="s">
        <v>1092</v>
      </c>
      <c r="B393" s="8">
        <f>'EMCAP_Pricing Matrix'!M63</f>
        <v>9.1249999999999998E-2</v>
      </c>
      <c r="C393" t="s">
        <v>1093</v>
      </c>
    </row>
    <row r="394" spans="1:3" ht="15" customHeight="1" x14ac:dyDescent="0.45">
      <c r="A394" t="s">
        <v>1094</v>
      </c>
      <c r="B394" s="8">
        <f>'EMCAP_Pricing Matrix'!N63</f>
        <v>9.375E-2</v>
      </c>
      <c r="C394" t="s">
        <v>1095</v>
      </c>
    </row>
    <row r="395" spans="1:3" ht="15" customHeight="1" x14ac:dyDescent="0.45">
      <c r="A395" t="s">
        <v>1096</v>
      </c>
      <c r="B395" s="8">
        <f>'EMCAP_Pricing Matrix'!O63</f>
        <v>9.375E-2</v>
      </c>
      <c r="C395" t="s">
        <v>1097</v>
      </c>
    </row>
    <row r="396" spans="1:3" ht="15" customHeight="1" x14ac:dyDescent="0.45">
      <c r="A396" t="s">
        <v>1098</v>
      </c>
      <c r="B396" s="8">
        <f>'EMCAP_Pricing Matrix'!P63</f>
        <v>9.6250000000000002E-2</v>
      </c>
      <c r="C396" t="s">
        <v>1099</v>
      </c>
    </row>
    <row r="397" spans="1:3" ht="15" customHeight="1" x14ac:dyDescent="0.45">
      <c r="A397" t="s">
        <v>1100</v>
      </c>
      <c r="B397" s="8">
        <f>'EMCAP_Pricing Matrix'!Q63</f>
        <v>9.8750000000000004E-2</v>
      </c>
      <c r="C397" t="s">
        <v>1101</v>
      </c>
    </row>
    <row r="398" spans="1:3" ht="15" customHeight="1" x14ac:dyDescent="0.45">
      <c r="A398" t="s">
        <v>1102</v>
      </c>
      <c r="B398" s="8">
        <f>'EMCAP_Pricing Matrix'!R63</f>
        <v>0.10125000000000001</v>
      </c>
      <c r="C398" t="s">
        <v>1103</v>
      </c>
    </row>
    <row r="399" spans="1:3" ht="15" customHeight="1" x14ac:dyDescent="0.45">
      <c r="A399" t="s">
        <v>1104</v>
      </c>
      <c r="B399" s="8">
        <f>'EMCAP_Pricing Matrix'!W63</f>
        <v>9.2499999999999999E-2</v>
      </c>
      <c r="C399" t="s">
        <v>1105</v>
      </c>
    </row>
    <row r="400" spans="1:3" ht="15" customHeight="1" x14ac:dyDescent="0.45">
      <c r="A400" t="s">
        <v>1106</v>
      </c>
      <c r="B400" s="8">
        <f>'EMCAP_Pricing Matrix'!X63</f>
        <v>9.5000000000000001E-2</v>
      </c>
      <c r="C400" t="s">
        <v>1107</v>
      </c>
    </row>
    <row r="401" spans="1:3" ht="15" customHeight="1" x14ac:dyDescent="0.45">
      <c r="A401" t="s">
        <v>1108</v>
      </c>
      <c r="B401" s="8">
        <f>'EMCAP_Pricing Matrix'!Y63</f>
        <v>9.5000000000000001E-2</v>
      </c>
      <c r="C401" t="s">
        <v>1109</v>
      </c>
    </row>
    <row r="402" spans="1:3" ht="15" customHeight="1" x14ac:dyDescent="0.45">
      <c r="A402" t="s">
        <v>1110</v>
      </c>
      <c r="B402" s="8">
        <f>'EMCAP_Pricing Matrix'!Z63</f>
        <v>9.7500000000000003E-2</v>
      </c>
      <c r="C402" t="s">
        <v>1111</v>
      </c>
    </row>
    <row r="403" spans="1:3" ht="15" customHeight="1" x14ac:dyDescent="0.45">
      <c r="A403" t="s">
        <v>1112</v>
      </c>
      <c r="B403" s="8">
        <f>'EMCAP_Pricing Matrix'!AA63</f>
        <v>0.1</v>
      </c>
      <c r="C403" t="s">
        <v>1113</v>
      </c>
    </row>
    <row r="404" spans="1:3" ht="15" customHeight="1" x14ac:dyDescent="0.45">
      <c r="A404" t="s">
        <v>1114</v>
      </c>
      <c r="B404" s="8">
        <f>'EMCAP_Pricing Matrix'!AB63</f>
        <v>0.10250000000000001</v>
      </c>
      <c r="C404" t="s">
        <v>1115</v>
      </c>
    </row>
    <row r="405" spans="1:3" ht="15" customHeight="1" x14ac:dyDescent="0.45">
      <c r="A405" t="s">
        <v>1116</v>
      </c>
      <c r="B405" s="8">
        <f>'EMCAP_Pricing Matrix'!AG63</f>
        <v>9.2499999999999999E-2</v>
      </c>
      <c r="C405" t="s">
        <v>1117</v>
      </c>
    </row>
    <row r="406" spans="1:3" ht="15" customHeight="1" x14ac:dyDescent="0.45">
      <c r="A406" t="s">
        <v>1118</v>
      </c>
      <c r="B406" s="8">
        <f>'EMCAP_Pricing Matrix'!AH63</f>
        <v>9.5000000000000001E-2</v>
      </c>
      <c r="C406" t="s">
        <v>1119</v>
      </c>
    </row>
    <row r="407" spans="1:3" ht="15" customHeight="1" x14ac:dyDescent="0.45">
      <c r="A407" t="s">
        <v>1120</v>
      </c>
      <c r="B407" s="8">
        <f>'EMCAP_Pricing Matrix'!AI63</f>
        <v>9.5000000000000001E-2</v>
      </c>
      <c r="C407" t="s">
        <v>1121</v>
      </c>
    </row>
    <row r="408" spans="1:3" ht="15" customHeight="1" x14ac:dyDescent="0.45">
      <c r="A408" t="s">
        <v>1122</v>
      </c>
      <c r="B408" s="8">
        <f>'EMCAP_Pricing Matrix'!AJ63</f>
        <v>9.7500000000000003E-2</v>
      </c>
      <c r="C408" t="s">
        <v>1123</v>
      </c>
    </row>
    <row r="409" spans="1:3" ht="15" customHeight="1" x14ac:dyDescent="0.45">
      <c r="A409" t="s">
        <v>1124</v>
      </c>
      <c r="B409" s="8">
        <f>'EMCAP_Pricing Matrix'!AK63</f>
        <v>0.1</v>
      </c>
      <c r="C409" t="s">
        <v>1125</v>
      </c>
    </row>
    <row r="410" spans="1:3" ht="15" customHeight="1" x14ac:dyDescent="0.45">
      <c r="A410" t="s">
        <v>1126</v>
      </c>
      <c r="B410" s="8">
        <f>'EMCAP_Pricing Matrix'!AL63</f>
        <v>0.10250000000000001</v>
      </c>
      <c r="C410" t="s">
        <v>1127</v>
      </c>
    </row>
    <row r="411" spans="1:3" ht="15" customHeight="1" x14ac:dyDescent="0.45">
      <c r="A411" t="s">
        <v>1128</v>
      </c>
      <c r="B411" s="8">
        <f>'EMCAP_Pricing Matrix'!AQ63</f>
        <v>9.375E-2</v>
      </c>
      <c r="C411" t="s">
        <v>1129</v>
      </c>
    </row>
    <row r="412" spans="1:3" ht="15" customHeight="1" x14ac:dyDescent="0.45">
      <c r="A412" t="s">
        <v>1130</v>
      </c>
      <c r="B412" s="8">
        <f>'EMCAP_Pricing Matrix'!AR63</f>
        <v>9.6250000000000002E-2</v>
      </c>
      <c r="C412" t="s">
        <v>1131</v>
      </c>
    </row>
    <row r="413" spans="1:3" ht="15" customHeight="1" x14ac:dyDescent="0.45">
      <c r="A413" t="s">
        <v>1132</v>
      </c>
      <c r="B413" s="8">
        <f>'EMCAP_Pricing Matrix'!AS63</f>
        <v>9.6250000000000002E-2</v>
      </c>
      <c r="C413" t="s">
        <v>1133</v>
      </c>
    </row>
    <row r="414" spans="1:3" ht="15" customHeight="1" x14ac:dyDescent="0.45">
      <c r="A414" t="s">
        <v>1134</v>
      </c>
      <c r="B414" s="8">
        <f>'EMCAP_Pricing Matrix'!AT63</f>
        <v>9.8750000000000004E-2</v>
      </c>
      <c r="C414" t="s">
        <v>1135</v>
      </c>
    </row>
    <row r="415" spans="1:3" ht="15" customHeight="1" x14ac:dyDescent="0.45">
      <c r="A415" t="s">
        <v>1136</v>
      </c>
      <c r="B415" s="8">
        <f>'EMCAP_Pricing Matrix'!AU63</f>
        <v>0.10125000000000001</v>
      </c>
      <c r="C415" t="s">
        <v>1137</v>
      </c>
    </row>
    <row r="416" spans="1:3" ht="15" customHeight="1" x14ac:dyDescent="0.45">
      <c r="A416" t="s">
        <v>1138</v>
      </c>
      <c r="B416" s="8">
        <f>'EMCAP_Pricing Matrix'!AV63</f>
        <v>0.10375000000000001</v>
      </c>
      <c r="C416" t="s">
        <v>1139</v>
      </c>
    </row>
    <row r="417" spans="1:3" ht="15" customHeight="1" x14ac:dyDescent="0.45">
      <c r="A417" t="s">
        <v>1140</v>
      </c>
      <c r="B417" s="8">
        <f>'EMCAP_Pricing Matrix'!C65</f>
        <v>8.1250000000000003E-2</v>
      </c>
      <c r="C417" t="s">
        <v>1141</v>
      </c>
    </row>
    <row r="418" spans="1:3" ht="15" customHeight="1" x14ac:dyDescent="0.45">
      <c r="A418" t="s">
        <v>1142</v>
      </c>
      <c r="B418" s="8">
        <f>'EMCAP_Pricing Matrix'!D65</f>
        <v>8.3750000000000005E-2</v>
      </c>
      <c r="C418" t="s">
        <v>1143</v>
      </c>
    </row>
    <row r="419" spans="1:3" ht="15" customHeight="1" x14ac:dyDescent="0.45">
      <c r="A419" t="s">
        <v>1144</v>
      </c>
      <c r="B419" s="8">
        <f>'EMCAP_Pricing Matrix'!E65</f>
        <v>8.3750000000000005E-2</v>
      </c>
      <c r="C419" t="s">
        <v>1145</v>
      </c>
    </row>
    <row r="420" spans="1:3" ht="15" customHeight="1" x14ac:dyDescent="0.45">
      <c r="A420" t="s">
        <v>1146</v>
      </c>
      <c r="B420" s="8">
        <f>'EMCAP_Pricing Matrix'!F65</f>
        <v>8.6250000000000007E-2</v>
      </c>
      <c r="C420" t="s">
        <v>1147</v>
      </c>
    </row>
    <row r="421" spans="1:3" ht="15" customHeight="1" x14ac:dyDescent="0.45">
      <c r="A421" t="s">
        <v>1148</v>
      </c>
      <c r="B421" s="8">
        <f>'EMCAP_Pricing Matrix'!G65</f>
        <v>8.8750000000000009E-2</v>
      </c>
      <c r="C421" t="s">
        <v>1149</v>
      </c>
    </row>
    <row r="422" spans="1:3" ht="15" customHeight="1" x14ac:dyDescent="0.45">
      <c r="A422" t="s">
        <v>1150</v>
      </c>
      <c r="B422" s="8">
        <f>'EMCAP_Pricing Matrix'!H65</f>
        <v>9.1250000000000012E-2</v>
      </c>
      <c r="C422" t="s">
        <v>1151</v>
      </c>
    </row>
    <row r="423" spans="1:3" ht="15" customHeight="1" x14ac:dyDescent="0.45">
      <c r="A423" t="s">
        <v>1152</v>
      </c>
      <c r="B423" s="8">
        <f>'EMCAP_Pricing Matrix'!M65</f>
        <v>8.1250000000000003E-2</v>
      </c>
      <c r="C423" t="s">
        <v>1153</v>
      </c>
    </row>
    <row r="424" spans="1:3" ht="15" customHeight="1" x14ac:dyDescent="0.45">
      <c r="A424" t="s">
        <v>1154</v>
      </c>
      <c r="B424" s="8">
        <f>'EMCAP_Pricing Matrix'!N65</f>
        <v>8.3750000000000005E-2</v>
      </c>
      <c r="C424" t="s">
        <v>1155</v>
      </c>
    </row>
    <row r="425" spans="1:3" ht="15" customHeight="1" x14ac:dyDescent="0.45">
      <c r="A425" t="s">
        <v>1156</v>
      </c>
      <c r="B425" s="8">
        <f>'EMCAP_Pricing Matrix'!O65</f>
        <v>8.3750000000000005E-2</v>
      </c>
      <c r="C425" t="s">
        <v>1157</v>
      </c>
    </row>
    <row r="426" spans="1:3" ht="15" customHeight="1" x14ac:dyDescent="0.45">
      <c r="A426" t="s">
        <v>1158</v>
      </c>
      <c r="B426" s="8">
        <f>'EMCAP_Pricing Matrix'!P65</f>
        <v>8.6250000000000007E-2</v>
      </c>
      <c r="C426" t="s">
        <v>1159</v>
      </c>
    </row>
    <row r="427" spans="1:3" ht="15" customHeight="1" x14ac:dyDescent="0.45">
      <c r="A427" t="s">
        <v>1160</v>
      </c>
      <c r="B427" s="8">
        <f>'EMCAP_Pricing Matrix'!Q65</f>
        <v>8.8750000000000009E-2</v>
      </c>
      <c r="C427" t="s">
        <v>1161</v>
      </c>
    </row>
    <row r="428" spans="1:3" ht="15" customHeight="1" x14ac:dyDescent="0.45">
      <c r="A428" t="s">
        <v>1162</v>
      </c>
      <c r="B428" s="8">
        <f>'EMCAP_Pricing Matrix'!R65</f>
        <v>9.1250000000000012E-2</v>
      </c>
      <c r="C428" t="s">
        <v>1163</v>
      </c>
    </row>
    <row r="429" spans="1:3" ht="15" customHeight="1" x14ac:dyDescent="0.45">
      <c r="A429" t="s">
        <v>1164</v>
      </c>
      <c r="B429" s="8">
        <f>'EMCAP_Pricing Matrix'!W65</f>
        <v>8.2500000000000004E-2</v>
      </c>
      <c r="C429" t="s">
        <v>1165</v>
      </c>
    </row>
    <row r="430" spans="1:3" ht="15" customHeight="1" x14ac:dyDescent="0.45">
      <c r="A430" t="s">
        <v>1166</v>
      </c>
      <c r="B430" s="8">
        <f>'EMCAP_Pricing Matrix'!X65</f>
        <v>8.5000000000000006E-2</v>
      </c>
      <c r="C430" t="s">
        <v>1167</v>
      </c>
    </row>
    <row r="431" spans="1:3" ht="15" customHeight="1" x14ac:dyDescent="0.45">
      <c r="A431" t="s">
        <v>1168</v>
      </c>
      <c r="B431" s="8">
        <f>'EMCAP_Pricing Matrix'!Y65</f>
        <v>8.5000000000000006E-2</v>
      </c>
      <c r="C431" t="s">
        <v>1169</v>
      </c>
    </row>
    <row r="432" spans="1:3" ht="15" customHeight="1" x14ac:dyDescent="0.45">
      <c r="A432" t="s">
        <v>1170</v>
      </c>
      <c r="B432" s="8">
        <f>'EMCAP_Pricing Matrix'!Z65</f>
        <v>8.7500000000000008E-2</v>
      </c>
      <c r="C432" t="s">
        <v>1171</v>
      </c>
    </row>
    <row r="433" spans="1:3" ht="15" customHeight="1" x14ac:dyDescent="0.45">
      <c r="A433" t="s">
        <v>1172</v>
      </c>
      <c r="B433" s="8">
        <f>'EMCAP_Pricing Matrix'!AA65</f>
        <v>9.0000000000000011E-2</v>
      </c>
      <c r="C433" t="s">
        <v>1173</v>
      </c>
    </row>
    <row r="434" spans="1:3" ht="15" customHeight="1" x14ac:dyDescent="0.45">
      <c r="A434" t="s">
        <v>1174</v>
      </c>
      <c r="B434" s="8">
        <f>'EMCAP_Pricing Matrix'!AB65</f>
        <v>9.2500000000000013E-2</v>
      </c>
      <c r="C434" t="s">
        <v>1175</v>
      </c>
    </row>
    <row r="435" spans="1:3" ht="15" customHeight="1" x14ac:dyDescent="0.45">
      <c r="A435" t="s">
        <v>1176</v>
      </c>
      <c r="B435" s="8">
        <f>'EMCAP_Pricing Matrix'!AG65</f>
        <v>8.2500000000000004E-2</v>
      </c>
      <c r="C435" t="s">
        <v>1177</v>
      </c>
    </row>
    <row r="436" spans="1:3" ht="15" customHeight="1" x14ac:dyDescent="0.45">
      <c r="A436" t="s">
        <v>1178</v>
      </c>
      <c r="B436" s="8">
        <f>'EMCAP_Pricing Matrix'!AH65</f>
        <v>8.5000000000000006E-2</v>
      </c>
      <c r="C436" t="s">
        <v>1179</v>
      </c>
    </row>
    <row r="437" spans="1:3" ht="15" customHeight="1" x14ac:dyDescent="0.45">
      <c r="A437" t="s">
        <v>1180</v>
      </c>
      <c r="B437" s="8">
        <f>'EMCAP_Pricing Matrix'!AI65</f>
        <v>8.5000000000000006E-2</v>
      </c>
      <c r="C437" t="s">
        <v>1181</v>
      </c>
    </row>
    <row r="438" spans="1:3" ht="15" customHeight="1" x14ac:dyDescent="0.45">
      <c r="A438" t="s">
        <v>1182</v>
      </c>
      <c r="B438" s="8">
        <f>'EMCAP_Pricing Matrix'!AJ65</f>
        <v>8.7500000000000008E-2</v>
      </c>
      <c r="C438" t="s">
        <v>1183</v>
      </c>
    </row>
    <row r="439" spans="1:3" ht="15" customHeight="1" x14ac:dyDescent="0.45">
      <c r="A439" t="s">
        <v>1184</v>
      </c>
      <c r="B439" s="8">
        <f>'EMCAP_Pricing Matrix'!AK65</f>
        <v>9.0000000000000011E-2</v>
      </c>
      <c r="C439" t="s">
        <v>1185</v>
      </c>
    </row>
    <row r="440" spans="1:3" ht="15" customHeight="1" x14ac:dyDescent="0.45">
      <c r="A440" t="s">
        <v>1186</v>
      </c>
      <c r="B440" s="8">
        <f>'EMCAP_Pricing Matrix'!AL65</f>
        <v>9.2500000000000013E-2</v>
      </c>
      <c r="C440" t="s">
        <v>1187</v>
      </c>
    </row>
    <row r="441" spans="1:3" ht="15" customHeight="1" x14ac:dyDescent="0.45">
      <c r="A441" t="s">
        <v>1188</v>
      </c>
      <c r="B441" s="8">
        <f>'EMCAP_Pricing Matrix'!AQ65</f>
        <v>8.3750000000000005E-2</v>
      </c>
      <c r="C441" t="s">
        <v>1189</v>
      </c>
    </row>
    <row r="442" spans="1:3" ht="15" customHeight="1" x14ac:dyDescent="0.45">
      <c r="A442" t="s">
        <v>1190</v>
      </c>
      <c r="B442" s="8">
        <f>'EMCAP_Pricing Matrix'!AR65</f>
        <v>8.6250000000000007E-2</v>
      </c>
      <c r="C442" t="s">
        <v>1191</v>
      </c>
    </row>
    <row r="443" spans="1:3" ht="15" customHeight="1" x14ac:dyDescent="0.45">
      <c r="A443" t="s">
        <v>1192</v>
      </c>
      <c r="B443" s="8">
        <f>'EMCAP_Pricing Matrix'!AS65</f>
        <v>8.6250000000000007E-2</v>
      </c>
      <c r="C443" t="s">
        <v>1193</v>
      </c>
    </row>
    <row r="444" spans="1:3" ht="15" customHeight="1" x14ac:dyDescent="0.45">
      <c r="A444" t="s">
        <v>1194</v>
      </c>
      <c r="B444" s="8">
        <f>'EMCAP_Pricing Matrix'!AT65</f>
        <v>8.8750000000000009E-2</v>
      </c>
      <c r="C444" t="s">
        <v>1195</v>
      </c>
    </row>
    <row r="445" spans="1:3" ht="15" customHeight="1" x14ac:dyDescent="0.45">
      <c r="A445" t="s">
        <v>1196</v>
      </c>
      <c r="B445" s="8">
        <f>'EMCAP_Pricing Matrix'!AU65</f>
        <v>9.1250000000000012E-2</v>
      </c>
      <c r="C445" t="s">
        <v>1197</v>
      </c>
    </row>
    <row r="446" spans="1:3" ht="15" customHeight="1" x14ac:dyDescent="0.45">
      <c r="A446" t="s">
        <v>1198</v>
      </c>
      <c r="B446" s="8">
        <f>'EMCAP_Pricing Matrix'!AV65</f>
        <v>9.3750000000000014E-2</v>
      </c>
      <c r="C446" t="s">
        <v>1199</v>
      </c>
    </row>
    <row r="447" spans="1:3" ht="15" customHeight="1" x14ac:dyDescent="0.45">
      <c r="A447" t="s">
        <v>1200</v>
      </c>
      <c r="B447" s="8">
        <f>'EMCAP_Pricing Matrix'!C66</f>
        <v>8.6250000000000007E-2</v>
      </c>
      <c r="C447" t="s">
        <v>1201</v>
      </c>
    </row>
    <row r="448" spans="1:3" ht="15" customHeight="1" x14ac:dyDescent="0.45">
      <c r="A448" t="s">
        <v>1202</v>
      </c>
      <c r="B448" s="8">
        <f>'EMCAP_Pricing Matrix'!D66</f>
        <v>8.8750000000000009E-2</v>
      </c>
      <c r="C448" t="s">
        <v>1203</v>
      </c>
    </row>
    <row r="449" spans="1:3" ht="15" customHeight="1" x14ac:dyDescent="0.45">
      <c r="A449" t="s">
        <v>1204</v>
      </c>
      <c r="B449" s="8">
        <f>'EMCAP_Pricing Matrix'!E66</f>
        <v>8.8750000000000009E-2</v>
      </c>
      <c r="C449" t="s">
        <v>1205</v>
      </c>
    </row>
    <row r="450" spans="1:3" ht="15" customHeight="1" x14ac:dyDescent="0.45">
      <c r="A450" t="s">
        <v>1206</v>
      </c>
      <c r="B450" s="8">
        <f>'EMCAP_Pricing Matrix'!F66</f>
        <v>9.1250000000000012E-2</v>
      </c>
      <c r="C450" t="s">
        <v>1207</v>
      </c>
    </row>
    <row r="451" spans="1:3" ht="15" customHeight="1" x14ac:dyDescent="0.45">
      <c r="A451" t="s">
        <v>1208</v>
      </c>
      <c r="B451" s="8">
        <f>'EMCAP_Pricing Matrix'!G66</f>
        <v>9.3750000000000014E-2</v>
      </c>
      <c r="C451" t="s">
        <v>1209</v>
      </c>
    </row>
    <row r="452" spans="1:3" ht="15" customHeight="1" x14ac:dyDescent="0.45">
      <c r="A452" t="s">
        <v>1210</v>
      </c>
      <c r="B452" s="8">
        <f>'EMCAP_Pricing Matrix'!H66</f>
        <v>9.6250000000000016E-2</v>
      </c>
      <c r="C452" t="s">
        <v>1211</v>
      </c>
    </row>
    <row r="453" spans="1:3" ht="15" customHeight="1" x14ac:dyDescent="0.45">
      <c r="A453" t="s">
        <v>1212</v>
      </c>
      <c r="B453" s="8">
        <f>'EMCAP_Pricing Matrix'!M66</f>
        <v>8.6250000000000007E-2</v>
      </c>
      <c r="C453" t="s">
        <v>1213</v>
      </c>
    </row>
    <row r="454" spans="1:3" ht="15" customHeight="1" x14ac:dyDescent="0.45">
      <c r="A454" t="s">
        <v>1214</v>
      </c>
      <c r="B454" s="8">
        <f>'EMCAP_Pricing Matrix'!N66</f>
        <v>8.8750000000000009E-2</v>
      </c>
      <c r="C454" t="s">
        <v>1215</v>
      </c>
    </row>
    <row r="455" spans="1:3" ht="15" customHeight="1" x14ac:dyDescent="0.45">
      <c r="A455" t="s">
        <v>1216</v>
      </c>
      <c r="B455" s="8">
        <f>'EMCAP_Pricing Matrix'!O66</f>
        <v>8.8750000000000009E-2</v>
      </c>
      <c r="C455" t="s">
        <v>1217</v>
      </c>
    </row>
    <row r="456" spans="1:3" ht="15" customHeight="1" x14ac:dyDescent="0.45">
      <c r="A456" t="s">
        <v>1218</v>
      </c>
      <c r="B456" s="8">
        <f>'EMCAP_Pricing Matrix'!P66</f>
        <v>9.1250000000000012E-2</v>
      </c>
      <c r="C456" t="s">
        <v>1219</v>
      </c>
    </row>
    <row r="457" spans="1:3" ht="15" customHeight="1" x14ac:dyDescent="0.45">
      <c r="A457" t="s">
        <v>1220</v>
      </c>
      <c r="B457" s="8">
        <f>'EMCAP_Pricing Matrix'!Q66</f>
        <v>9.3750000000000014E-2</v>
      </c>
      <c r="C457" t="s">
        <v>1221</v>
      </c>
    </row>
    <row r="458" spans="1:3" ht="15" customHeight="1" x14ac:dyDescent="0.45">
      <c r="A458" t="s">
        <v>1222</v>
      </c>
      <c r="B458" s="8">
        <f>'EMCAP_Pricing Matrix'!R66</f>
        <v>9.6250000000000016E-2</v>
      </c>
      <c r="C458" t="s">
        <v>1223</v>
      </c>
    </row>
    <row r="459" spans="1:3" ht="15" customHeight="1" x14ac:dyDescent="0.45">
      <c r="A459" t="s">
        <v>1224</v>
      </c>
      <c r="B459" s="8">
        <f>'EMCAP_Pricing Matrix'!W66</f>
        <v>8.7500000000000008E-2</v>
      </c>
      <c r="C459" t="s">
        <v>1225</v>
      </c>
    </row>
    <row r="460" spans="1:3" ht="15" customHeight="1" x14ac:dyDescent="0.45">
      <c r="A460" t="s">
        <v>1226</v>
      </c>
      <c r="B460" s="8">
        <f>'EMCAP_Pricing Matrix'!X66</f>
        <v>9.0000000000000011E-2</v>
      </c>
      <c r="C460" t="s">
        <v>1227</v>
      </c>
    </row>
    <row r="461" spans="1:3" ht="15" customHeight="1" x14ac:dyDescent="0.45">
      <c r="A461" t="s">
        <v>1228</v>
      </c>
      <c r="B461" s="8">
        <f>'EMCAP_Pricing Matrix'!Y66</f>
        <v>9.0000000000000011E-2</v>
      </c>
      <c r="C461" t="s">
        <v>1229</v>
      </c>
    </row>
    <row r="462" spans="1:3" ht="15" customHeight="1" x14ac:dyDescent="0.45">
      <c r="A462" t="s">
        <v>1230</v>
      </c>
      <c r="B462" s="8">
        <f>'EMCAP_Pricing Matrix'!Z66</f>
        <v>9.2500000000000013E-2</v>
      </c>
      <c r="C462" t="s">
        <v>1231</v>
      </c>
    </row>
    <row r="463" spans="1:3" ht="15" customHeight="1" x14ac:dyDescent="0.45">
      <c r="A463" t="s">
        <v>1232</v>
      </c>
      <c r="B463" s="8">
        <f>'EMCAP_Pricing Matrix'!AA66</f>
        <v>9.5000000000000015E-2</v>
      </c>
      <c r="C463" t="s">
        <v>1233</v>
      </c>
    </row>
    <row r="464" spans="1:3" ht="15" customHeight="1" x14ac:dyDescent="0.45">
      <c r="A464" t="s">
        <v>1234</v>
      </c>
      <c r="B464" s="8">
        <f>'EMCAP_Pricing Matrix'!AB66</f>
        <v>9.7500000000000017E-2</v>
      </c>
      <c r="C464" t="s">
        <v>1235</v>
      </c>
    </row>
    <row r="465" spans="1:3" ht="15" customHeight="1" x14ac:dyDescent="0.45">
      <c r="A465" t="s">
        <v>1236</v>
      </c>
      <c r="B465" s="8">
        <f>'EMCAP_Pricing Matrix'!AG66</f>
        <v>8.7500000000000008E-2</v>
      </c>
      <c r="C465" t="s">
        <v>1237</v>
      </c>
    </row>
    <row r="466" spans="1:3" ht="15" customHeight="1" x14ac:dyDescent="0.45">
      <c r="A466" t="s">
        <v>1238</v>
      </c>
      <c r="B466" s="8">
        <f>'EMCAP_Pricing Matrix'!AH66</f>
        <v>9.0000000000000011E-2</v>
      </c>
      <c r="C466" t="s">
        <v>1239</v>
      </c>
    </row>
    <row r="467" spans="1:3" ht="15" customHeight="1" x14ac:dyDescent="0.45">
      <c r="A467" t="s">
        <v>1240</v>
      </c>
      <c r="B467" s="8">
        <f>'EMCAP_Pricing Matrix'!AI66</f>
        <v>9.0000000000000011E-2</v>
      </c>
      <c r="C467" t="s">
        <v>1241</v>
      </c>
    </row>
    <row r="468" spans="1:3" ht="15" customHeight="1" x14ac:dyDescent="0.45">
      <c r="A468" t="s">
        <v>1242</v>
      </c>
      <c r="B468" s="8">
        <f>'EMCAP_Pricing Matrix'!AJ66</f>
        <v>9.2500000000000013E-2</v>
      </c>
      <c r="C468" t="s">
        <v>1243</v>
      </c>
    </row>
    <row r="469" spans="1:3" ht="15" customHeight="1" x14ac:dyDescent="0.45">
      <c r="A469" t="s">
        <v>1244</v>
      </c>
      <c r="B469" s="8">
        <f>'EMCAP_Pricing Matrix'!AK66</f>
        <v>9.5000000000000015E-2</v>
      </c>
      <c r="C469" t="s">
        <v>1245</v>
      </c>
    </row>
    <row r="470" spans="1:3" ht="15" customHeight="1" x14ac:dyDescent="0.45">
      <c r="A470" t="s">
        <v>1246</v>
      </c>
      <c r="B470" s="8">
        <f>'EMCAP_Pricing Matrix'!AL66</f>
        <v>9.7500000000000017E-2</v>
      </c>
      <c r="C470" t="s">
        <v>1247</v>
      </c>
    </row>
    <row r="471" spans="1:3" ht="15" customHeight="1" x14ac:dyDescent="0.45">
      <c r="A471" t="s">
        <v>1248</v>
      </c>
      <c r="B471" s="8">
        <f>'EMCAP_Pricing Matrix'!AQ66</f>
        <v>8.8750000000000009E-2</v>
      </c>
      <c r="C471" t="s">
        <v>1249</v>
      </c>
    </row>
    <row r="472" spans="1:3" ht="15" customHeight="1" x14ac:dyDescent="0.45">
      <c r="A472" t="s">
        <v>1250</v>
      </c>
      <c r="B472" s="8">
        <f>'EMCAP_Pricing Matrix'!AR66</f>
        <v>9.1250000000000012E-2</v>
      </c>
      <c r="C472" t="s">
        <v>1251</v>
      </c>
    </row>
    <row r="473" spans="1:3" ht="15" customHeight="1" x14ac:dyDescent="0.45">
      <c r="A473" t="s">
        <v>1252</v>
      </c>
      <c r="B473" s="8">
        <f>'EMCAP_Pricing Matrix'!AS66</f>
        <v>9.1250000000000012E-2</v>
      </c>
      <c r="C473" t="s">
        <v>1253</v>
      </c>
    </row>
    <row r="474" spans="1:3" ht="15" customHeight="1" x14ac:dyDescent="0.45">
      <c r="A474" t="s">
        <v>1254</v>
      </c>
      <c r="B474" s="8">
        <f>'EMCAP_Pricing Matrix'!AT66</f>
        <v>9.3750000000000014E-2</v>
      </c>
      <c r="C474" t="s">
        <v>1255</v>
      </c>
    </row>
    <row r="475" spans="1:3" ht="15" customHeight="1" x14ac:dyDescent="0.45">
      <c r="A475" t="s">
        <v>1256</v>
      </c>
      <c r="B475" s="8">
        <f>'EMCAP_Pricing Matrix'!AU66</f>
        <v>9.6250000000000016E-2</v>
      </c>
      <c r="C475" t="s">
        <v>1257</v>
      </c>
    </row>
    <row r="476" spans="1:3" ht="15" customHeight="1" x14ac:dyDescent="0.45">
      <c r="A476" t="s">
        <v>1258</v>
      </c>
      <c r="B476" s="8">
        <f>'EMCAP_Pricing Matrix'!AV66</f>
        <v>9.8750000000000018E-2</v>
      </c>
      <c r="C476" t="s">
        <v>1259</v>
      </c>
    </row>
    <row r="477" spans="1:3" ht="15" customHeight="1" x14ac:dyDescent="0.45">
      <c r="A477" t="s">
        <v>1260</v>
      </c>
      <c r="B477" s="8">
        <f>'EMCAP_Pricing Matrix'!C67</f>
        <v>8.8749999999999996E-2</v>
      </c>
      <c r="C477" t="s">
        <v>1261</v>
      </c>
    </row>
    <row r="478" spans="1:3" ht="15" customHeight="1" x14ac:dyDescent="0.45">
      <c r="A478" t="s">
        <v>1262</v>
      </c>
      <c r="B478" s="8">
        <f>'EMCAP_Pricing Matrix'!D67</f>
        <v>9.1249999999999998E-2</v>
      </c>
      <c r="C478" t="s">
        <v>1263</v>
      </c>
    </row>
    <row r="479" spans="1:3" ht="15" customHeight="1" x14ac:dyDescent="0.45">
      <c r="A479" t="s">
        <v>1264</v>
      </c>
      <c r="B479" s="8">
        <f>'EMCAP_Pricing Matrix'!E67</f>
        <v>9.1249999999999998E-2</v>
      </c>
      <c r="C479" t="s">
        <v>1265</v>
      </c>
    </row>
    <row r="480" spans="1:3" ht="15" customHeight="1" x14ac:dyDescent="0.45">
      <c r="A480" t="s">
        <v>1266</v>
      </c>
      <c r="B480" s="8">
        <f>'EMCAP_Pricing Matrix'!F67</f>
        <v>9.375E-2</v>
      </c>
      <c r="C480" t="s">
        <v>1267</v>
      </c>
    </row>
    <row r="481" spans="1:3" ht="15" customHeight="1" x14ac:dyDescent="0.45">
      <c r="A481" t="s">
        <v>1268</v>
      </c>
      <c r="B481" s="8">
        <f>'EMCAP_Pricing Matrix'!G67</f>
        <v>9.6250000000000002E-2</v>
      </c>
      <c r="C481" t="s">
        <v>1269</v>
      </c>
    </row>
    <row r="482" spans="1:3" ht="15" customHeight="1" x14ac:dyDescent="0.45">
      <c r="A482" t="s">
        <v>1270</v>
      </c>
      <c r="B482" s="8">
        <f>'EMCAP_Pricing Matrix'!H67</f>
        <v>9.8750000000000004E-2</v>
      </c>
      <c r="C482" t="s">
        <v>1271</v>
      </c>
    </row>
    <row r="483" spans="1:3" ht="15" customHeight="1" x14ac:dyDescent="0.45">
      <c r="A483" t="s">
        <v>1272</v>
      </c>
      <c r="B483" s="8">
        <f>'EMCAP_Pricing Matrix'!M67</f>
        <v>8.8749999999999996E-2</v>
      </c>
      <c r="C483" t="s">
        <v>1273</v>
      </c>
    </row>
    <row r="484" spans="1:3" ht="15" customHeight="1" x14ac:dyDescent="0.45">
      <c r="A484" t="s">
        <v>1274</v>
      </c>
      <c r="B484" s="8">
        <f>'EMCAP_Pricing Matrix'!N67</f>
        <v>9.1249999999999998E-2</v>
      </c>
      <c r="C484" t="s">
        <v>1275</v>
      </c>
    </row>
    <row r="485" spans="1:3" ht="15" customHeight="1" x14ac:dyDescent="0.45">
      <c r="A485" t="s">
        <v>1276</v>
      </c>
      <c r="B485" s="8">
        <f>'EMCAP_Pricing Matrix'!O67</f>
        <v>9.1249999999999998E-2</v>
      </c>
      <c r="C485" t="s">
        <v>1277</v>
      </c>
    </row>
    <row r="486" spans="1:3" ht="15" customHeight="1" x14ac:dyDescent="0.45">
      <c r="A486" t="s">
        <v>1278</v>
      </c>
      <c r="B486" s="8">
        <f>'EMCAP_Pricing Matrix'!P67</f>
        <v>9.375E-2</v>
      </c>
      <c r="C486" t="s">
        <v>1279</v>
      </c>
    </row>
    <row r="487" spans="1:3" ht="15" customHeight="1" x14ac:dyDescent="0.45">
      <c r="A487" t="s">
        <v>1280</v>
      </c>
      <c r="B487" s="8">
        <f>'EMCAP_Pricing Matrix'!Q67</f>
        <v>9.6250000000000002E-2</v>
      </c>
      <c r="C487" t="s">
        <v>1281</v>
      </c>
    </row>
    <row r="488" spans="1:3" ht="15" customHeight="1" x14ac:dyDescent="0.45">
      <c r="A488" t="s">
        <v>1282</v>
      </c>
      <c r="B488" s="8">
        <f>'EMCAP_Pricing Matrix'!R67</f>
        <v>9.8750000000000004E-2</v>
      </c>
      <c r="C488" t="s">
        <v>1283</v>
      </c>
    </row>
    <row r="489" spans="1:3" ht="15" customHeight="1" x14ac:dyDescent="0.45">
      <c r="A489" t="s">
        <v>1284</v>
      </c>
      <c r="B489" s="8">
        <f>'EMCAP_Pricing Matrix'!W67</f>
        <v>0.09</v>
      </c>
      <c r="C489" t="s">
        <v>1285</v>
      </c>
    </row>
    <row r="490" spans="1:3" ht="15" customHeight="1" x14ac:dyDescent="0.45">
      <c r="A490" t="s">
        <v>1286</v>
      </c>
      <c r="B490" s="8">
        <f>'EMCAP_Pricing Matrix'!X67</f>
        <v>9.2499999999999999E-2</v>
      </c>
      <c r="C490" t="s">
        <v>1287</v>
      </c>
    </row>
    <row r="491" spans="1:3" ht="15" customHeight="1" x14ac:dyDescent="0.45">
      <c r="A491" t="s">
        <v>1288</v>
      </c>
      <c r="B491" s="8">
        <f>'EMCAP_Pricing Matrix'!Y67</f>
        <v>9.2499999999999999E-2</v>
      </c>
      <c r="C491" t="s">
        <v>1289</v>
      </c>
    </row>
    <row r="492" spans="1:3" ht="15" customHeight="1" x14ac:dyDescent="0.45">
      <c r="A492" t="s">
        <v>1290</v>
      </c>
      <c r="B492" s="8">
        <f>'EMCAP_Pricing Matrix'!Z67</f>
        <v>9.5000000000000001E-2</v>
      </c>
      <c r="C492" t="s">
        <v>1291</v>
      </c>
    </row>
    <row r="493" spans="1:3" ht="15" customHeight="1" x14ac:dyDescent="0.45">
      <c r="A493" t="s">
        <v>1292</v>
      </c>
      <c r="B493" s="8">
        <f>'EMCAP_Pricing Matrix'!AA67</f>
        <v>9.7500000000000003E-2</v>
      </c>
      <c r="C493" t="s">
        <v>1293</v>
      </c>
    </row>
    <row r="494" spans="1:3" ht="15" customHeight="1" x14ac:dyDescent="0.45">
      <c r="A494" t="s">
        <v>1294</v>
      </c>
      <c r="B494" s="8">
        <f>'EMCAP_Pricing Matrix'!AB67</f>
        <v>0.1</v>
      </c>
      <c r="C494" t="s">
        <v>1295</v>
      </c>
    </row>
    <row r="495" spans="1:3" ht="15" customHeight="1" x14ac:dyDescent="0.45">
      <c r="A495" t="s">
        <v>1296</v>
      </c>
      <c r="B495" s="8">
        <f>'EMCAP_Pricing Matrix'!AG67</f>
        <v>0.09</v>
      </c>
      <c r="C495" t="s">
        <v>1297</v>
      </c>
    </row>
    <row r="496" spans="1:3" ht="15" customHeight="1" x14ac:dyDescent="0.45">
      <c r="A496" t="s">
        <v>1298</v>
      </c>
      <c r="B496" s="8">
        <f>'EMCAP_Pricing Matrix'!AH67</f>
        <v>9.2499999999999999E-2</v>
      </c>
      <c r="C496" t="s">
        <v>1299</v>
      </c>
    </row>
    <row r="497" spans="1:3" ht="15" customHeight="1" x14ac:dyDescent="0.45">
      <c r="A497" t="s">
        <v>1300</v>
      </c>
      <c r="B497" s="8">
        <f>'EMCAP_Pricing Matrix'!AI67</f>
        <v>9.2499999999999999E-2</v>
      </c>
      <c r="C497" t="s">
        <v>1301</v>
      </c>
    </row>
    <row r="498" spans="1:3" ht="15" customHeight="1" x14ac:dyDescent="0.45">
      <c r="A498" t="s">
        <v>1302</v>
      </c>
      <c r="B498" s="8">
        <f>'EMCAP_Pricing Matrix'!AJ67</f>
        <v>9.5000000000000001E-2</v>
      </c>
      <c r="C498" t="s">
        <v>1303</v>
      </c>
    </row>
    <row r="499" spans="1:3" ht="15" customHeight="1" x14ac:dyDescent="0.45">
      <c r="A499" t="s">
        <v>1304</v>
      </c>
      <c r="B499" s="8">
        <f>'EMCAP_Pricing Matrix'!AK67</f>
        <v>9.7500000000000003E-2</v>
      </c>
      <c r="C499" t="s">
        <v>1305</v>
      </c>
    </row>
    <row r="500" spans="1:3" ht="15" customHeight="1" x14ac:dyDescent="0.45">
      <c r="A500" t="s">
        <v>1306</v>
      </c>
      <c r="B500" s="8">
        <f>'EMCAP_Pricing Matrix'!AL67</f>
        <v>0.1</v>
      </c>
      <c r="C500" t="s">
        <v>1307</v>
      </c>
    </row>
    <row r="501" spans="1:3" ht="15" customHeight="1" x14ac:dyDescent="0.45">
      <c r="A501" t="s">
        <v>1308</v>
      </c>
      <c r="B501" s="8">
        <f>'EMCAP_Pricing Matrix'!AQ67</f>
        <v>9.1249999999999998E-2</v>
      </c>
      <c r="C501" t="s">
        <v>1309</v>
      </c>
    </row>
    <row r="502" spans="1:3" ht="15" customHeight="1" x14ac:dyDescent="0.45">
      <c r="A502" t="s">
        <v>1310</v>
      </c>
      <c r="B502" s="8">
        <f>'EMCAP_Pricing Matrix'!AR67</f>
        <v>9.375E-2</v>
      </c>
      <c r="C502" t="s">
        <v>1311</v>
      </c>
    </row>
    <row r="503" spans="1:3" ht="15" customHeight="1" x14ac:dyDescent="0.45">
      <c r="A503" t="s">
        <v>1312</v>
      </c>
      <c r="B503" s="8">
        <f>'EMCAP_Pricing Matrix'!AS67</f>
        <v>9.375E-2</v>
      </c>
      <c r="C503" t="s">
        <v>1313</v>
      </c>
    </row>
    <row r="504" spans="1:3" ht="15" customHeight="1" x14ac:dyDescent="0.45">
      <c r="A504" t="s">
        <v>1314</v>
      </c>
      <c r="B504" s="8">
        <f>'EMCAP_Pricing Matrix'!AT67</f>
        <v>9.6250000000000002E-2</v>
      </c>
      <c r="C504" t="s">
        <v>1315</v>
      </c>
    </row>
    <row r="505" spans="1:3" ht="15" customHeight="1" x14ac:dyDescent="0.45">
      <c r="A505" t="s">
        <v>1316</v>
      </c>
      <c r="B505" s="8">
        <f>'EMCAP_Pricing Matrix'!AU67</f>
        <v>9.8750000000000004E-2</v>
      </c>
      <c r="C505" t="s">
        <v>1317</v>
      </c>
    </row>
    <row r="506" spans="1:3" ht="15" customHeight="1" x14ac:dyDescent="0.45">
      <c r="A506" t="s">
        <v>1318</v>
      </c>
      <c r="B506" s="8">
        <f>'EMCAP_Pricing Matrix'!AV67</f>
        <v>0.10125000000000001</v>
      </c>
      <c r="C506" t="s">
        <v>1319</v>
      </c>
    </row>
    <row r="507" spans="1:3" ht="15" customHeight="1" x14ac:dyDescent="0.45">
      <c r="A507" t="s">
        <v>1320</v>
      </c>
      <c r="B507" s="8">
        <f>'EMCAP_Pricing Matrix'!C69</f>
        <v>7.8750000000000001E-2</v>
      </c>
      <c r="C507" t="s">
        <v>1321</v>
      </c>
    </row>
    <row r="508" spans="1:3" ht="15" customHeight="1" x14ac:dyDescent="0.45">
      <c r="A508" t="s">
        <v>1322</v>
      </c>
      <c r="B508" s="8">
        <f>'EMCAP_Pricing Matrix'!D69</f>
        <v>8.1250000000000003E-2</v>
      </c>
      <c r="C508" t="s">
        <v>1323</v>
      </c>
    </row>
    <row r="509" spans="1:3" ht="15" customHeight="1" x14ac:dyDescent="0.45">
      <c r="A509" t="s">
        <v>1324</v>
      </c>
      <c r="B509" s="8">
        <f>'EMCAP_Pricing Matrix'!E69</f>
        <v>8.1250000000000003E-2</v>
      </c>
      <c r="C509" t="s">
        <v>1325</v>
      </c>
    </row>
    <row r="510" spans="1:3" ht="15" customHeight="1" x14ac:dyDescent="0.45">
      <c r="A510" t="s">
        <v>1326</v>
      </c>
      <c r="B510" s="8">
        <f>'EMCAP_Pricing Matrix'!F69</f>
        <v>8.3750000000000005E-2</v>
      </c>
      <c r="C510" t="s">
        <v>1327</v>
      </c>
    </row>
    <row r="511" spans="1:3" ht="15" customHeight="1" x14ac:dyDescent="0.45">
      <c r="A511" t="s">
        <v>1328</v>
      </c>
      <c r="B511" s="8">
        <f>'EMCAP_Pricing Matrix'!G69</f>
        <v>8.6250000000000007E-2</v>
      </c>
      <c r="C511" t="s">
        <v>1329</v>
      </c>
    </row>
    <row r="512" spans="1:3" ht="15" customHeight="1" x14ac:dyDescent="0.45">
      <c r="A512" t="s">
        <v>1330</v>
      </c>
      <c r="B512" s="8">
        <f>'EMCAP_Pricing Matrix'!H69</f>
        <v>8.8750000000000009E-2</v>
      </c>
      <c r="C512" t="s">
        <v>1331</v>
      </c>
    </row>
    <row r="513" spans="1:3" ht="15" customHeight="1" x14ac:dyDescent="0.45">
      <c r="A513" t="s">
        <v>1332</v>
      </c>
      <c r="B513" s="8">
        <f>'EMCAP_Pricing Matrix'!M69</f>
        <v>7.8750000000000001E-2</v>
      </c>
      <c r="C513" t="s">
        <v>1333</v>
      </c>
    </row>
    <row r="514" spans="1:3" ht="15" customHeight="1" x14ac:dyDescent="0.45">
      <c r="A514" t="s">
        <v>1334</v>
      </c>
      <c r="B514" s="8">
        <f>'EMCAP_Pricing Matrix'!N69</f>
        <v>8.1250000000000003E-2</v>
      </c>
      <c r="C514" t="s">
        <v>1335</v>
      </c>
    </row>
    <row r="515" spans="1:3" ht="15" customHeight="1" x14ac:dyDescent="0.45">
      <c r="A515" t="s">
        <v>1336</v>
      </c>
      <c r="B515" s="8">
        <f>'EMCAP_Pricing Matrix'!O69</f>
        <v>8.1250000000000003E-2</v>
      </c>
      <c r="C515" t="s">
        <v>1337</v>
      </c>
    </row>
    <row r="516" spans="1:3" ht="15" customHeight="1" x14ac:dyDescent="0.45">
      <c r="A516" t="s">
        <v>1338</v>
      </c>
      <c r="B516" s="8">
        <f>'EMCAP_Pricing Matrix'!P69</f>
        <v>8.3750000000000005E-2</v>
      </c>
      <c r="C516" t="s">
        <v>1339</v>
      </c>
    </row>
    <row r="517" spans="1:3" ht="15" customHeight="1" x14ac:dyDescent="0.45">
      <c r="A517" t="s">
        <v>1340</v>
      </c>
      <c r="B517" s="8">
        <f>'EMCAP_Pricing Matrix'!Q69</f>
        <v>8.6250000000000007E-2</v>
      </c>
      <c r="C517" t="s">
        <v>1341</v>
      </c>
    </row>
    <row r="518" spans="1:3" ht="15" customHeight="1" x14ac:dyDescent="0.45">
      <c r="A518" t="s">
        <v>1342</v>
      </c>
      <c r="B518" s="8">
        <f>'EMCAP_Pricing Matrix'!R69</f>
        <v>8.8750000000000009E-2</v>
      </c>
      <c r="C518" t="s">
        <v>1343</v>
      </c>
    </row>
    <row r="519" spans="1:3" ht="15" customHeight="1" x14ac:dyDescent="0.45">
      <c r="A519" t="s">
        <v>1344</v>
      </c>
      <c r="B519" s="8">
        <f>'EMCAP_Pricing Matrix'!W69</f>
        <v>0.08</v>
      </c>
      <c r="C519" t="s">
        <v>1345</v>
      </c>
    </row>
    <row r="520" spans="1:3" ht="15" customHeight="1" x14ac:dyDescent="0.45">
      <c r="A520" t="s">
        <v>1346</v>
      </c>
      <c r="B520" s="8">
        <f>'EMCAP_Pricing Matrix'!X69</f>
        <v>8.2500000000000004E-2</v>
      </c>
      <c r="C520" t="s">
        <v>1347</v>
      </c>
    </row>
    <row r="521" spans="1:3" ht="15" customHeight="1" x14ac:dyDescent="0.45">
      <c r="A521" t="s">
        <v>1348</v>
      </c>
      <c r="B521" s="8">
        <f>'EMCAP_Pricing Matrix'!Y69</f>
        <v>8.2500000000000004E-2</v>
      </c>
      <c r="C521" t="s">
        <v>1349</v>
      </c>
    </row>
    <row r="522" spans="1:3" ht="15" customHeight="1" x14ac:dyDescent="0.45">
      <c r="A522" t="s">
        <v>1350</v>
      </c>
      <c r="B522" s="8">
        <f>'EMCAP_Pricing Matrix'!Z69</f>
        <v>8.5000000000000006E-2</v>
      </c>
      <c r="C522" t="s">
        <v>1351</v>
      </c>
    </row>
    <row r="523" spans="1:3" ht="15" customHeight="1" x14ac:dyDescent="0.45">
      <c r="A523" t="s">
        <v>1352</v>
      </c>
      <c r="B523" s="8">
        <f>'EMCAP_Pricing Matrix'!AA69</f>
        <v>8.7500000000000008E-2</v>
      </c>
      <c r="C523" t="s">
        <v>1353</v>
      </c>
    </row>
    <row r="524" spans="1:3" ht="15" customHeight="1" x14ac:dyDescent="0.45">
      <c r="A524" t="s">
        <v>1354</v>
      </c>
      <c r="B524" s="8">
        <f>'EMCAP_Pricing Matrix'!AB69</f>
        <v>9.0000000000000011E-2</v>
      </c>
      <c r="C524" t="s">
        <v>1355</v>
      </c>
    </row>
    <row r="525" spans="1:3" ht="15" customHeight="1" x14ac:dyDescent="0.45">
      <c r="A525" t="s">
        <v>1356</v>
      </c>
      <c r="B525" s="8">
        <f>'EMCAP_Pricing Matrix'!AG69</f>
        <v>0.08</v>
      </c>
      <c r="C525" t="s">
        <v>1357</v>
      </c>
    </row>
    <row r="526" spans="1:3" ht="15" customHeight="1" x14ac:dyDescent="0.45">
      <c r="A526" t="s">
        <v>1358</v>
      </c>
      <c r="B526" s="8">
        <f>'EMCAP_Pricing Matrix'!AH69</f>
        <v>8.2500000000000004E-2</v>
      </c>
      <c r="C526" t="s">
        <v>1359</v>
      </c>
    </row>
    <row r="527" spans="1:3" ht="15" customHeight="1" x14ac:dyDescent="0.45">
      <c r="A527" t="s">
        <v>1360</v>
      </c>
      <c r="B527" s="8">
        <f>'EMCAP_Pricing Matrix'!AI69</f>
        <v>8.2500000000000004E-2</v>
      </c>
      <c r="C527" t="s">
        <v>1361</v>
      </c>
    </row>
    <row r="528" spans="1:3" ht="15" customHeight="1" x14ac:dyDescent="0.45">
      <c r="A528" t="s">
        <v>1362</v>
      </c>
      <c r="B528" s="8">
        <f>'EMCAP_Pricing Matrix'!AJ69</f>
        <v>8.5000000000000006E-2</v>
      </c>
      <c r="C528" t="s">
        <v>1363</v>
      </c>
    </row>
    <row r="529" spans="1:3" ht="15" customHeight="1" x14ac:dyDescent="0.45">
      <c r="A529" t="s">
        <v>1364</v>
      </c>
      <c r="B529" s="8">
        <f>'EMCAP_Pricing Matrix'!AK69</f>
        <v>8.7500000000000008E-2</v>
      </c>
      <c r="C529" t="s">
        <v>1365</v>
      </c>
    </row>
    <row r="530" spans="1:3" ht="15" customHeight="1" x14ac:dyDescent="0.45">
      <c r="A530" t="s">
        <v>1366</v>
      </c>
      <c r="B530" s="8">
        <f>'EMCAP_Pricing Matrix'!AL69</f>
        <v>9.0000000000000011E-2</v>
      </c>
      <c r="C530" t="s">
        <v>1367</v>
      </c>
    </row>
    <row r="531" spans="1:3" ht="15" customHeight="1" x14ac:dyDescent="0.45">
      <c r="A531" t="s">
        <v>1368</v>
      </c>
      <c r="B531" s="8">
        <f>'EMCAP_Pricing Matrix'!AQ69</f>
        <v>8.1250000000000003E-2</v>
      </c>
      <c r="C531" t="s">
        <v>1369</v>
      </c>
    </row>
    <row r="532" spans="1:3" ht="15" customHeight="1" x14ac:dyDescent="0.45">
      <c r="A532" t="s">
        <v>1370</v>
      </c>
      <c r="B532" s="8">
        <f>'EMCAP_Pricing Matrix'!AR69</f>
        <v>8.3750000000000005E-2</v>
      </c>
      <c r="C532" t="s">
        <v>1371</v>
      </c>
    </row>
    <row r="533" spans="1:3" ht="15" customHeight="1" x14ac:dyDescent="0.45">
      <c r="A533" t="s">
        <v>1372</v>
      </c>
      <c r="B533" s="8">
        <f>'EMCAP_Pricing Matrix'!AS69</f>
        <v>8.3750000000000005E-2</v>
      </c>
      <c r="C533" t="s">
        <v>1373</v>
      </c>
    </row>
    <row r="534" spans="1:3" ht="15" customHeight="1" x14ac:dyDescent="0.45">
      <c r="A534" t="s">
        <v>1374</v>
      </c>
      <c r="B534" s="8">
        <f>'EMCAP_Pricing Matrix'!AT69</f>
        <v>8.6250000000000007E-2</v>
      </c>
      <c r="C534" t="s">
        <v>1375</v>
      </c>
    </row>
    <row r="535" spans="1:3" ht="15" customHeight="1" x14ac:dyDescent="0.45">
      <c r="A535" t="s">
        <v>1376</v>
      </c>
      <c r="B535" s="8">
        <f>'EMCAP_Pricing Matrix'!AU69</f>
        <v>8.8750000000000009E-2</v>
      </c>
      <c r="C535" t="s">
        <v>1377</v>
      </c>
    </row>
    <row r="536" spans="1:3" ht="15" customHeight="1" x14ac:dyDescent="0.45">
      <c r="A536" t="s">
        <v>1378</v>
      </c>
      <c r="B536" s="8">
        <f>'EMCAP_Pricing Matrix'!AV69</f>
        <v>9.1250000000000012E-2</v>
      </c>
      <c r="C536" t="s">
        <v>1379</v>
      </c>
    </row>
    <row r="537" spans="1:3" ht="15" customHeight="1" x14ac:dyDescent="0.45">
      <c r="A537" t="s">
        <v>1380</v>
      </c>
      <c r="B537" s="8">
        <f>'EMCAP_Pricing Matrix'!C70</f>
        <v>8.3750000000000005E-2</v>
      </c>
      <c r="C537" t="s">
        <v>1381</v>
      </c>
    </row>
    <row r="538" spans="1:3" ht="15" customHeight="1" x14ac:dyDescent="0.45">
      <c r="A538" t="s">
        <v>1382</v>
      </c>
      <c r="B538" s="8">
        <f>'EMCAP_Pricing Matrix'!D70</f>
        <v>8.6250000000000007E-2</v>
      </c>
      <c r="C538" t="s">
        <v>1383</v>
      </c>
    </row>
    <row r="539" spans="1:3" ht="15" customHeight="1" x14ac:dyDescent="0.45">
      <c r="A539" t="s">
        <v>1384</v>
      </c>
      <c r="B539" s="8">
        <f>'EMCAP_Pricing Matrix'!E70</f>
        <v>8.6250000000000007E-2</v>
      </c>
      <c r="C539" t="s">
        <v>1385</v>
      </c>
    </row>
    <row r="540" spans="1:3" ht="15" customHeight="1" x14ac:dyDescent="0.45">
      <c r="A540" t="s">
        <v>1386</v>
      </c>
      <c r="B540" s="8">
        <f>'EMCAP_Pricing Matrix'!F70</f>
        <v>8.8750000000000009E-2</v>
      </c>
      <c r="C540" t="s">
        <v>1387</v>
      </c>
    </row>
    <row r="541" spans="1:3" ht="15" customHeight="1" x14ac:dyDescent="0.45">
      <c r="A541" t="s">
        <v>1388</v>
      </c>
      <c r="B541" s="8">
        <f>'EMCAP_Pricing Matrix'!G70</f>
        <v>9.1250000000000012E-2</v>
      </c>
      <c r="C541" t="s">
        <v>1389</v>
      </c>
    </row>
    <row r="542" spans="1:3" ht="15" customHeight="1" x14ac:dyDescent="0.45">
      <c r="A542" t="s">
        <v>1390</v>
      </c>
      <c r="B542" s="8">
        <f>'EMCAP_Pricing Matrix'!H70</f>
        <v>9.3750000000000014E-2</v>
      </c>
      <c r="C542" t="s">
        <v>1391</v>
      </c>
    </row>
    <row r="543" spans="1:3" ht="15" customHeight="1" x14ac:dyDescent="0.45">
      <c r="A543" t="s">
        <v>1392</v>
      </c>
      <c r="B543" s="8">
        <f>'EMCAP_Pricing Matrix'!M70</f>
        <v>8.3750000000000005E-2</v>
      </c>
      <c r="C543" t="s">
        <v>1393</v>
      </c>
    </row>
    <row r="544" spans="1:3" ht="15" customHeight="1" x14ac:dyDescent="0.45">
      <c r="A544" t="s">
        <v>1394</v>
      </c>
      <c r="B544" s="8">
        <f>'EMCAP_Pricing Matrix'!N70</f>
        <v>8.6250000000000007E-2</v>
      </c>
      <c r="C544" t="s">
        <v>1395</v>
      </c>
    </row>
    <row r="545" spans="1:3" ht="15" customHeight="1" x14ac:dyDescent="0.45">
      <c r="A545" t="s">
        <v>1396</v>
      </c>
      <c r="B545" s="8">
        <f>'EMCAP_Pricing Matrix'!O70</f>
        <v>8.6250000000000007E-2</v>
      </c>
      <c r="C545" t="s">
        <v>1397</v>
      </c>
    </row>
    <row r="546" spans="1:3" ht="15" customHeight="1" x14ac:dyDescent="0.45">
      <c r="A546" t="s">
        <v>1398</v>
      </c>
      <c r="B546" s="8">
        <f>'EMCAP_Pricing Matrix'!P70</f>
        <v>8.8750000000000009E-2</v>
      </c>
      <c r="C546" t="s">
        <v>1399</v>
      </c>
    </row>
    <row r="547" spans="1:3" ht="15" customHeight="1" x14ac:dyDescent="0.45">
      <c r="A547" t="s">
        <v>1400</v>
      </c>
      <c r="B547" s="8">
        <f>'EMCAP_Pricing Matrix'!Q70</f>
        <v>9.1250000000000012E-2</v>
      </c>
      <c r="C547" t="s">
        <v>1401</v>
      </c>
    </row>
    <row r="548" spans="1:3" ht="15" customHeight="1" x14ac:dyDescent="0.45">
      <c r="A548" t="s">
        <v>1402</v>
      </c>
      <c r="B548" s="8">
        <f>'EMCAP_Pricing Matrix'!R70</f>
        <v>9.3750000000000014E-2</v>
      </c>
      <c r="C548" t="s">
        <v>1403</v>
      </c>
    </row>
    <row r="549" spans="1:3" ht="15" customHeight="1" x14ac:dyDescent="0.45">
      <c r="A549" t="s">
        <v>1404</v>
      </c>
      <c r="B549" s="8">
        <f>'EMCAP_Pricing Matrix'!W70</f>
        <v>8.5000000000000006E-2</v>
      </c>
      <c r="C549" t="s">
        <v>1405</v>
      </c>
    </row>
    <row r="550" spans="1:3" ht="15" customHeight="1" x14ac:dyDescent="0.45">
      <c r="A550" t="s">
        <v>1406</v>
      </c>
      <c r="B550" s="8">
        <f>'EMCAP_Pricing Matrix'!X70</f>
        <v>8.7500000000000008E-2</v>
      </c>
      <c r="C550" t="s">
        <v>1407</v>
      </c>
    </row>
    <row r="551" spans="1:3" ht="15" customHeight="1" x14ac:dyDescent="0.45">
      <c r="A551" t="s">
        <v>1408</v>
      </c>
      <c r="B551" s="8">
        <f>'EMCAP_Pricing Matrix'!Y70</f>
        <v>8.7500000000000008E-2</v>
      </c>
      <c r="C551" t="s">
        <v>1409</v>
      </c>
    </row>
    <row r="552" spans="1:3" ht="15" customHeight="1" x14ac:dyDescent="0.45">
      <c r="A552" t="s">
        <v>1410</v>
      </c>
      <c r="B552" s="8">
        <f>'EMCAP_Pricing Matrix'!Z70</f>
        <v>9.0000000000000011E-2</v>
      </c>
      <c r="C552" t="s">
        <v>1411</v>
      </c>
    </row>
    <row r="553" spans="1:3" ht="15" customHeight="1" x14ac:dyDescent="0.45">
      <c r="A553" t="s">
        <v>1412</v>
      </c>
      <c r="B553" s="8">
        <f>'EMCAP_Pricing Matrix'!AA70</f>
        <v>9.2500000000000013E-2</v>
      </c>
      <c r="C553" t="s">
        <v>1413</v>
      </c>
    </row>
    <row r="554" spans="1:3" ht="15" customHeight="1" x14ac:dyDescent="0.45">
      <c r="A554" t="s">
        <v>1414</v>
      </c>
      <c r="B554" s="8">
        <f>'EMCAP_Pricing Matrix'!AB70</f>
        <v>9.5000000000000015E-2</v>
      </c>
      <c r="C554" t="s">
        <v>1415</v>
      </c>
    </row>
    <row r="555" spans="1:3" ht="15" customHeight="1" x14ac:dyDescent="0.45">
      <c r="A555" t="s">
        <v>1416</v>
      </c>
      <c r="B555" s="8">
        <f>'EMCAP_Pricing Matrix'!AG70</f>
        <v>8.5000000000000006E-2</v>
      </c>
      <c r="C555" t="s">
        <v>1417</v>
      </c>
    </row>
    <row r="556" spans="1:3" ht="15" customHeight="1" x14ac:dyDescent="0.45">
      <c r="A556" t="s">
        <v>1418</v>
      </c>
      <c r="B556" s="8">
        <f>'EMCAP_Pricing Matrix'!AH70</f>
        <v>8.7500000000000008E-2</v>
      </c>
      <c r="C556" t="s">
        <v>1419</v>
      </c>
    </row>
    <row r="557" spans="1:3" ht="15" customHeight="1" x14ac:dyDescent="0.45">
      <c r="A557" t="s">
        <v>1420</v>
      </c>
      <c r="B557" s="8">
        <f>'EMCAP_Pricing Matrix'!AI70</f>
        <v>8.7500000000000008E-2</v>
      </c>
      <c r="C557" t="s">
        <v>1421</v>
      </c>
    </row>
    <row r="558" spans="1:3" ht="15" customHeight="1" x14ac:dyDescent="0.45">
      <c r="A558" t="s">
        <v>1422</v>
      </c>
      <c r="B558" s="8">
        <f>'EMCAP_Pricing Matrix'!AJ70</f>
        <v>9.0000000000000011E-2</v>
      </c>
      <c r="C558" t="s">
        <v>1423</v>
      </c>
    </row>
    <row r="559" spans="1:3" ht="15" customHeight="1" x14ac:dyDescent="0.45">
      <c r="A559" t="s">
        <v>1424</v>
      </c>
      <c r="B559" s="8">
        <f>'EMCAP_Pricing Matrix'!AK70</f>
        <v>9.2500000000000013E-2</v>
      </c>
      <c r="C559" t="s">
        <v>1425</v>
      </c>
    </row>
    <row r="560" spans="1:3" ht="15" customHeight="1" x14ac:dyDescent="0.45">
      <c r="A560" t="s">
        <v>1426</v>
      </c>
      <c r="B560" s="8">
        <f>'EMCAP_Pricing Matrix'!AL70</f>
        <v>9.5000000000000015E-2</v>
      </c>
      <c r="C560" t="s">
        <v>1427</v>
      </c>
    </row>
    <row r="561" spans="1:3" ht="15" customHeight="1" x14ac:dyDescent="0.45">
      <c r="A561" t="s">
        <v>1428</v>
      </c>
      <c r="B561" s="8">
        <f>'EMCAP_Pricing Matrix'!AQ70</f>
        <v>8.6250000000000007E-2</v>
      </c>
      <c r="C561" t="s">
        <v>1429</v>
      </c>
    </row>
    <row r="562" spans="1:3" ht="15" customHeight="1" x14ac:dyDescent="0.45">
      <c r="A562" t="s">
        <v>1430</v>
      </c>
      <c r="B562" s="8">
        <f>'EMCAP_Pricing Matrix'!AR70</f>
        <v>8.8750000000000009E-2</v>
      </c>
      <c r="C562" t="s">
        <v>1431</v>
      </c>
    </row>
    <row r="563" spans="1:3" ht="15" customHeight="1" x14ac:dyDescent="0.45">
      <c r="A563" t="s">
        <v>1432</v>
      </c>
      <c r="B563" s="8">
        <f>'EMCAP_Pricing Matrix'!AS70</f>
        <v>8.8750000000000009E-2</v>
      </c>
      <c r="C563" t="s">
        <v>1433</v>
      </c>
    </row>
    <row r="564" spans="1:3" ht="15" customHeight="1" x14ac:dyDescent="0.45">
      <c r="A564" t="s">
        <v>1434</v>
      </c>
      <c r="B564" s="8">
        <f>'EMCAP_Pricing Matrix'!AT70</f>
        <v>9.1250000000000012E-2</v>
      </c>
      <c r="C564" t="s">
        <v>1435</v>
      </c>
    </row>
    <row r="565" spans="1:3" ht="15" customHeight="1" x14ac:dyDescent="0.45">
      <c r="A565" t="s">
        <v>1436</v>
      </c>
      <c r="B565" s="8">
        <f>'EMCAP_Pricing Matrix'!AU70</f>
        <v>9.3750000000000014E-2</v>
      </c>
      <c r="C565" t="s">
        <v>1437</v>
      </c>
    </row>
    <row r="566" spans="1:3" ht="15" customHeight="1" x14ac:dyDescent="0.45">
      <c r="A566" t="s">
        <v>1438</v>
      </c>
      <c r="B566" s="8">
        <f>'EMCAP_Pricing Matrix'!AV70</f>
        <v>9.6250000000000016E-2</v>
      </c>
      <c r="C566" t="s">
        <v>1439</v>
      </c>
    </row>
    <row r="567" spans="1:3" ht="15" customHeight="1" x14ac:dyDescent="0.45">
      <c r="A567" t="s">
        <v>1440</v>
      </c>
      <c r="B567" s="8">
        <f>'EMCAP_Pricing Matrix'!C71</f>
        <v>8.6249999999999993E-2</v>
      </c>
      <c r="C567" t="s">
        <v>1441</v>
      </c>
    </row>
    <row r="568" spans="1:3" ht="15" customHeight="1" x14ac:dyDescent="0.45">
      <c r="A568" t="s">
        <v>1442</v>
      </c>
      <c r="B568" s="8">
        <f>'EMCAP_Pricing Matrix'!D71</f>
        <v>8.8749999999999996E-2</v>
      </c>
      <c r="C568" t="s">
        <v>1443</v>
      </c>
    </row>
    <row r="569" spans="1:3" ht="15" customHeight="1" x14ac:dyDescent="0.45">
      <c r="A569" t="s">
        <v>1444</v>
      </c>
      <c r="B569" s="8">
        <f>'EMCAP_Pricing Matrix'!E71</f>
        <v>8.8749999999999996E-2</v>
      </c>
      <c r="C569" t="s">
        <v>1445</v>
      </c>
    </row>
    <row r="570" spans="1:3" ht="15" customHeight="1" x14ac:dyDescent="0.45">
      <c r="A570" t="s">
        <v>1446</v>
      </c>
      <c r="B570" s="8">
        <f>'EMCAP_Pricing Matrix'!F71</f>
        <v>9.1249999999999998E-2</v>
      </c>
      <c r="C570" t="s">
        <v>1447</v>
      </c>
    </row>
    <row r="571" spans="1:3" ht="15" customHeight="1" x14ac:dyDescent="0.45">
      <c r="A571" t="s">
        <v>1448</v>
      </c>
      <c r="B571" s="8">
        <f>'EMCAP_Pricing Matrix'!G71</f>
        <v>9.375E-2</v>
      </c>
      <c r="C571" t="s">
        <v>1449</v>
      </c>
    </row>
    <row r="572" spans="1:3" ht="15" customHeight="1" x14ac:dyDescent="0.45">
      <c r="A572" t="s">
        <v>1450</v>
      </c>
      <c r="B572" s="8">
        <f>'EMCAP_Pricing Matrix'!H71</f>
        <v>9.6250000000000002E-2</v>
      </c>
      <c r="C572" t="s">
        <v>1451</v>
      </c>
    </row>
    <row r="573" spans="1:3" ht="15" customHeight="1" x14ac:dyDescent="0.45">
      <c r="A573" t="s">
        <v>1452</v>
      </c>
      <c r="B573" s="8">
        <f>'EMCAP_Pricing Matrix'!M71</f>
        <v>8.6249999999999993E-2</v>
      </c>
      <c r="C573" t="s">
        <v>1453</v>
      </c>
    </row>
    <row r="574" spans="1:3" ht="15" customHeight="1" x14ac:dyDescent="0.45">
      <c r="A574" t="s">
        <v>1454</v>
      </c>
      <c r="B574" s="8">
        <f>'EMCAP_Pricing Matrix'!N71</f>
        <v>8.8749999999999996E-2</v>
      </c>
      <c r="C574" t="s">
        <v>1455</v>
      </c>
    </row>
    <row r="575" spans="1:3" ht="15" customHeight="1" x14ac:dyDescent="0.45">
      <c r="A575" t="s">
        <v>1456</v>
      </c>
      <c r="B575" s="8">
        <f>'EMCAP_Pricing Matrix'!O71</f>
        <v>8.8749999999999996E-2</v>
      </c>
      <c r="C575" t="s">
        <v>1457</v>
      </c>
    </row>
    <row r="576" spans="1:3" ht="15" customHeight="1" x14ac:dyDescent="0.45">
      <c r="A576" t="s">
        <v>1458</v>
      </c>
      <c r="B576" s="8">
        <f>'EMCAP_Pricing Matrix'!P71</f>
        <v>9.1249999999999998E-2</v>
      </c>
      <c r="C576" t="s">
        <v>1459</v>
      </c>
    </row>
    <row r="577" spans="1:3" ht="15" customHeight="1" x14ac:dyDescent="0.45">
      <c r="A577" t="s">
        <v>1460</v>
      </c>
      <c r="B577" s="8">
        <f>'EMCAP_Pricing Matrix'!Q71</f>
        <v>9.375E-2</v>
      </c>
      <c r="C577" t="s">
        <v>1461</v>
      </c>
    </row>
    <row r="578" spans="1:3" ht="15" customHeight="1" x14ac:dyDescent="0.45">
      <c r="A578" t="s">
        <v>1462</v>
      </c>
      <c r="B578" s="8">
        <f>'EMCAP_Pricing Matrix'!R71</f>
        <v>9.6250000000000002E-2</v>
      </c>
      <c r="C578" t="s">
        <v>1463</v>
      </c>
    </row>
    <row r="579" spans="1:3" ht="15" customHeight="1" x14ac:dyDescent="0.45">
      <c r="A579" t="s">
        <v>1464</v>
      </c>
      <c r="B579" s="8">
        <f>'EMCAP_Pricing Matrix'!W71</f>
        <v>8.7499999999999994E-2</v>
      </c>
      <c r="C579" t="s">
        <v>1465</v>
      </c>
    </row>
    <row r="580" spans="1:3" ht="15" customHeight="1" x14ac:dyDescent="0.45">
      <c r="A580" t="s">
        <v>1466</v>
      </c>
      <c r="B580" s="8">
        <f>'EMCAP_Pricing Matrix'!X71</f>
        <v>0.09</v>
      </c>
      <c r="C580" t="s">
        <v>1467</v>
      </c>
    </row>
    <row r="581" spans="1:3" ht="15" customHeight="1" x14ac:dyDescent="0.45">
      <c r="A581" t="s">
        <v>1468</v>
      </c>
      <c r="B581" s="8">
        <f>'EMCAP_Pricing Matrix'!Y71</f>
        <v>0.09</v>
      </c>
      <c r="C581" t="s">
        <v>1469</v>
      </c>
    </row>
    <row r="582" spans="1:3" ht="15" customHeight="1" x14ac:dyDescent="0.45">
      <c r="A582" t="s">
        <v>1470</v>
      </c>
      <c r="B582" s="8">
        <f>'EMCAP_Pricing Matrix'!Z71</f>
        <v>9.2499999999999999E-2</v>
      </c>
      <c r="C582" t="s">
        <v>1471</v>
      </c>
    </row>
    <row r="583" spans="1:3" ht="15" customHeight="1" x14ac:dyDescent="0.45">
      <c r="A583" t="s">
        <v>1472</v>
      </c>
      <c r="B583" s="8">
        <f>'EMCAP_Pricing Matrix'!AA71</f>
        <v>9.5000000000000001E-2</v>
      </c>
      <c r="C583" t="s">
        <v>1473</v>
      </c>
    </row>
    <row r="584" spans="1:3" ht="15" customHeight="1" x14ac:dyDescent="0.45">
      <c r="A584" t="s">
        <v>1474</v>
      </c>
      <c r="B584" s="8">
        <f>'EMCAP_Pricing Matrix'!AB71</f>
        <v>9.7500000000000003E-2</v>
      </c>
      <c r="C584" t="s">
        <v>1475</v>
      </c>
    </row>
    <row r="585" spans="1:3" ht="15" customHeight="1" x14ac:dyDescent="0.45">
      <c r="A585" t="s">
        <v>1476</v>
      </c>
      <c r="B585" s="8">
        <f>'EMCAP_Pricing Matrix'!AG71</f>
        <v>8.7499999999999994E-2</v>
      </c>
      <c r="C585" t="s">
        <v>1477</v>
      </c>
    </row>
    <row r="586" spans="1:3" ht="15" customHeight="1" x14ac:dyDescent="0.45">
      <c r="A586" t="s">
        <v>1478</v>
      </c>
      <c r="B586" s="8">
        <f>'EMCAP_Pricing Matrix'!AH71</f>
        <v>0.09</v>
      </c>
      <c r="C586" t="s">
        <v>1479</v>
      </c>
    </row>
    <row r="587" spans="1:3" ht="15" customHeight="1" x14ac:dyDescent="0.45">
      <c r="A587" t="s">
        <v>1480</v>
      </c>
      <c r="B587" s="8">
        <f>'EMCAP_Pricing Matrix'!AI71</f>
        <v>0.09</v>
      </c>
      <c r="C587" t="s">
        <v>1481</v>
      </c>
    </row>
    <row r="588" spans="1:3" ht="15" customHeight="1" x14ac:dyDescent="0.45">
      <c r="A588" t="s">
        <v>1482</v>
      </c>
      <c r="B588" s="8">
        <f>'EMCAP_Pricing Matrix'!AJ71</f>
        <v>9.2499999999999999E-2</v>
      </c>
      <c r="C588" t="s">
        <v>1483</v>
      </c>
    </row>
    <row r="589" spans="1:3" ht="15" customHeight="1" x14ac:dyDescent="0.45">
      <c r="A589" t="s">
        <v>1484</v>
      </c>
      <c r="B589" s="8">
        <f>'EMCAP_Pricing Matrix'!AK71</f>
        <v>9.5000000000000001E-2</v>
      </c>
      <c r="C589" t="s">
        <v>1485</v>
      </c>
    </row>
    <row r="590" spans="1:3" ht="15" customHeight="1" x14ac:dyDescent="0.45">
      <c r="A590" t="s">
        <v>1486</v>
      </c>
      <c r="B590" s="8">
        <f>'EMCAP_Pricing Matrix'!AL71</f>
        <v>9.7500000000000003E-2</v>
      </c>
      <c r="C590" t="s">
        <v>1487</v>
      </c>
    </row>
    <row r="591" spans="1:3" ht="15" customHeight="1" x14ac:dyDescent="0.45">
      <c r="A591" t="s">
        <v>1488</v>
      </c>
      <c r="B591" s="8">
        <f>'EMCAP_Pricing Matrix'!AQ71</f>
        <v>8.8749999999999996E-2</v>
      </c>
      <c r="C591" t="s">
        <v>1489</v>
      </c>
    </row>
    <row r="592" spans="1:3" ht="15" customHeight="1" x14ac:dyDescent="0.45">
      <c r="A592" t="s">
        <v>1490</v>
      </c>
      <c r="B592" s="8">
        <f>'EMCAP_Pricing Matrix'!AR71</f>
        <v>9.1249999999999998E-2</v>
      </c>
      <c r="C592" t="s">
        <v>1491</v>
      </c>
    </row>
    <row r="593" spans="1:3" ht="15" customHeight="1" x14ac:dyDescent="0.45">
      <c r="A593" t="s">
        <v>1492</v>
      </c>
      <c r="B593" s="8">
        <f>'EMCAP_Pricing Matrix'!AS71</f>
        <v>9.1249999999999998E-2</v>
      </c>
      <c r="C593" t="s">
        <v>1493</v>
      </c>
    </row>
    <row r="594" spans="1:3" ht="15" customHeight="1" x14ac:dyDescent="0.45">
      <c r="A594" t="s">
        <v>1494</v>
      </c>
      <c r="B594" s="8">
        <f>'EMCAP_Pricing Matrix'!AT71</f>
        <v>9.375E-2</v>
      </c>
      <c r="C594" t="s">
        <v>1495</v>
      </c>
    </row>
    <row r="595" spans="1:3" ht="15" customHeight="1" x14ac:dyDescent="0.45">
      <c r="A595" t="s">
        <v>1496</v>
      </c>
      <c r="B595" s="8">
        <f>'EMCAP_Pricing Matrix'!AU71</f>
        <v>9.6250000000000002E-2</v>
      </c>
      <c r="C595" t="s">
        <v>1497</v>
      </c>
    </row>
    <row r="596" spans="1:3" ht="15" customHeight="1" x14ac:dyDescent="0.45">
      <c r="A596" t="s">
        <v>1498</v>
      </c>
      <c r="B596" s="8">
        <f>'EMCAP_Pricing Matrix'!AV71</f>
        <v>9.8750000000000004E-2</v>
      </c>
      <c r="C596" t="s">
        <v>1499</v>
      </c>
    </row>
    <row r="597" spans="1:3" ht="15" customHeight="1" x14ac:dyDescent="0.45">
      <c r="A597" t="s">
        <v>1500</v>
      </c>
      <c r="B597" s="8">
        <f>'EMCAP_Pricing Matrix'!C81</f>
        <v>0.09</v>
      </c>
      <c r="C597" t="s">
        <v>1501</v>
      </c>
    </row>
    <row r="598" spans="1:3" ht="15" customHeight="1" x14ac:dyDescent="0.45">
      <c r="A598" t="s">
        <v>1502</v>
      </c>
      <c r="B598" s="8">
        <f>'EMCAP_Pricing Matrix'!D81</f>
        <v>9.2499999999999999E-2</v>
      </c>
      <c r="C598" t="s">
        <v>1503</v>
      </c>
    </row>
    <row r="599" spans="1:3" ht="15" customHeight="1" x14ac:dyDescent="0.45">
      <c r="A599" t="s">
        <v>1504</v>
      </c>
      <c r="B599" s="8">
        <f>'EMCAP_Pricing Matrix'!E81</f>
        <v>9.5000000000000001E-2</v>
      </c>
      <c r="C599" t="s">
        <v>1505</v>
      </c>
    </row>
    <row r="600" spans="1:3" ht="15" customHeight="1" x14ac:dyDescent="0.45">
      <c r="A600" t="s">
        <v>1506</v>
      </c>
      <c r="B600" s="8">
        <f>'EMCAP_Pricing Matrix'!M81</f>
        <v>0.09</v>
      </c>
      <c r="C600" t="s">
        <v>1507</v>
      </c>
    </row>
    <row r="601" spans="1:3" ht="15" customHeight="1" x14ac:dyDescent="0.45">
      <c r="A601" t="s">
        <v>1508</v>
      </c>
      <c r="B601" s="8">
        <f>'EMCAP_Pricing Matrix'!N81</f>
        <v>9.2499999999999999E-2</v>
      </c>
      <c r="C601" t="s">
        <v>1509</v>
      </c>
    </row>
    <row r="602" spans="1:3" ht="15" customHeight="1" x14ac:dyDescent="0.45">
      <c r="A602" t="s">
        <v>1510</v>
      </c>
      <c r="B602" s="8">
        <f>'EMCAP_Pricing Matrix'!O81</f>
        <v>9.5000000000000001E-2</v>
      </c>
      <c r="C602" t="s">
        <v>1511</v>
      </c>
    </row>
    <row r="603" spans="1:3" ht="15" customHeight="1" x14ac:dyDescent="0.45">
      <c r="A603" t="s">
        <v>1512</v>
      </c>
      <c r="B603" s="8">
        <f>'EMCAP_Pricing Matrix'!W81</f>
        <v>9.1249999999999998E-2</v>
      </c>
      <c r="C603" t="s">
        <v>1513</v>
      </c>
    </row>
    <row r="604" spans="1:3" ht="15" customHeight="1" x14ac:dyDescent="0.45">
      <c r="A604" t="s">
        <v>1514</v>
      </c>
      <c r="B604" s="8">
        <f>'EMCAP_Pricing Matrix'!X81</f>
        <v>9.375E-2</v>
      </c>
      <c r="C604" t="s">
        <v>1515</v>
      </c>
    </row>
    <row r="605" spans="1:3" ht="15" customHeight="1" x14ac:dyDescent="0.45">
      <c r="A605" t="s">
        <v>1516</v>
      </c>
      <c r="B605" s="8">
        <f>'EMCAP_Pricing Matrix'!Y81</f>
        <v>9.6250000000000002E-2</v>
      </c>
      <c r="C605" t="s">
        <v>1517</v>
      </c>
    </row>
    <row r="606" spans="1:3" ht="15" customHeight="1" x14ac:dyDescent="0.45">
      <c r="A606" t="s">
        <v>1518</v>
      </c>
      <c r="B606" s="8">
        <f>'EMCAP_Pricing Matrix'!AG81</f>
        <v>9.1249999999999998E-2</v>
      </c>
      <c r="C606" t="s">
        <v>1519</v>
      </c>
    </row>
    <row r="607" spans="1:3" ht="15" customHeight="1" x14ac:dyDescent="0.45">
      <c r="A607" t="s">
        <v>1520</v>
      </c>
      <c r="B607" s="8">
        <f>'EMCAP_Pricing Matrix'!AH81</f>
        <v>9.375E-2</v>
      </c>
      <c r="C607" t="s">
        <v>1521</v>
      </c>
    </row>
    <row r="608" spans="1:3" ht="15" customHeight="1" x14ac:dyDescent="0.45">
      <c r="A608" t="s">
        <v>1522</v>
      </c>
      <c r="B608" s="8">
        <f>'EMCAP_Pricing Matrix'!AI81</f>
        <v>9.6250000000000002E-2</v>
      </c>
      <c r="C608" t="s">
        <v>1523</v>
      </c>
    </row>
    <row r="609" spans="1:3" ht="15" customHeight="1" x14ac:dyDescent="0.45">
      <c r="A609" t="s">
        <v>1524</v>
      </c>
      <c r="B609" s="8">
        <f>'EMCAP_Pricing Matrix'!AQ81</f>
        <v>9.2499999999999999E-2</v>
      </c>
      <c r="C609" t="s">
        <v>1525</v>
      </c>
    </row>
    <row r="610" spans="1:3" ht="15" customHeight="1" x14ac:dyDescent="0.45">
      <c r="A610" t="s">
        <v>1526</v>
      </c>
      <c r="B610" s="8">
        <f>'EMCAP_Pricing Matrix'!AR81</f>
        <v>9.5000000000000001E-2</v>
      </c>
      <c r="C610" t="s">
        <v>1527</v>
      </c>
    </row>
    <row r="611" spans="1:3" ht="15" customHeight="1" x14ac:dyDescent="0.45">
      <c r="A611" t="s">
        <v>1528</v>
      </c>
      <c r="B611" s="8">
        <f>'EMCAP_Pricing Matrix'!AS81</f>
        <v>9.7500000000000003E-2</v>
      </c>
      <c r="C611" t="s">
        <v>1529</v>
      </c>
    </row>
    <row r="612" spans="1:3" ht="15" customHeight="1" x14ac:dyDescent="0.45">
      <c r="A612" t="s">
        <v>1530</v>
      </c>
      <c r="B612" s="8">
        <f>'EMCAP_Pricing Matrix'!C82</f>
        <v>9.5000000000000001E-2</v>
      </c>
      <c r="C612" t="s">
        <v>1531</v>
      </c>
    </row>
    <row r="613" spans="1:3" ht="15" customHeight="1" x14ac:dyDescent="0.45">
      <c r="A613" t="s">
        <v>1532</v>
      </c>
      <c r="B613" s="8">
        <f>'EMCAP_Pricing Matrix'!D82</f>
        <v>9.7500000000000003E-2</v>
      </c>
      <c r="C613" t="s">
        <v>1533</v>
      </c>
    </row>
    <row r="614" spans="1:3" ht="15" customHeight="1" x14ac:dyDescent="0.45">
      <c r="A614" t="s">
        <v>1534</v>
      </c>
      <c r="B614" s="8">
        <f>'EMCAP_Pricing Matrix'!E82</f>
        <v>0.1</v>
      </c>
      <c r="C614" t="s">
        <v>1535</v>
      </c>
    </row>
    <row r="615" spans="1:3" ht="15" customHeight="1" x14ac:dyDescent="0.45">
      <c r="A615" t="s">
        <v>1536</v>
      </c>
      <c r="B615" s="8">
        <f>'EMCAP_Pricing Matrix'!M82</f>
        <v>9.5000000000000001E-2</v>
      </c>
      <c r="C615" t="s">
        <v>1537</v>
      </c>
    </row>
    <row r="616" spans="1:3" ht="15" customHeight="1" x14ac:dyDescent="0.45">
      <c r="A616" t="s">
        <v>1538</v>
      </c>
      <c r="B616" s="8">
        <f>'EMCAP_Pricing Matrix'!N82</f>
        <v>9.7500000000000003E-2</v>
      </c>
      <c r="C616" t="s">
        <v>1539</v>
      </c>
    </row>
    <row r="617" spans="1:3" ht="15" customHeight="1" x14ac:dyDescent="0.45">
      <c r="A617" t="s">
        <v>1540</v>
      </c>
      <c r="B617" s="8">
        <f>'EMCAP_Pricing Matrix'!O82</f>
        <v>0.1</v>
      </c>
      <c r="C617" t="s">
        <v>1541</v>
      </c>
    </row>
    <row r="618" spans="1:3" ht="15" customHeight="1" x14ac:dyDescent="0.45">
      <c r="A618" t="s">
        <v>1542</v>
      </c>
      <c r="B618" s="8">
        <f>'EMCAP_Pricing Matrix'!W82</f>
        <v>9.6250000000000002E-2</v>
      </c>
      <c r="C618" t="s">
        <v>1543</v>
      </c>
    </row>
    <row r="619" spans="1:3" ht="15" customHeight="1" x14ac:dyDescent="0.45">
      <c r="A619" t="s">
        <v>1544</v>
      </c>
      <c r="B619" s="8">
        <f>'EMCAP_Pricing Matrix'!X82</f>
        <v>9.8750000000000004E-2</v>
      </c>
      <c r="C619" t="s">
        <v>1545</v>
      </c>
    </row>
    <row r="620" spans="1:3" ht="15" customHeight="1" x14ac:dyDescent="0.45">
      <c r="A620" t="s">
        <v>1546</v>
      </c>
      <c r="B620" s="8">
        <f>'EMCAP_Pricing Matrix'!Y82</f>
        <v>0.10125000000000001</v>
      </c>
      <c r="C620" t="s">
        <v>1547</v>
      </c>
    </row>
    <row r="621" spans="1:3" ht="15" customHeight="1" x14ac:dyDescent="0.45">
      <c r="A621" t="s">
        <v>1548</v>
      </c>
      <c r="B621" s="8">
        <f>'EMCAP_Pricing Matrix'!AG82</f>
        <v>9.6250000000000002E-2</v>
      </c>
      <c r="C621" t="s">
        <v>1549</v>
      </c>
    </row>
    <row r="622" spans="1:3" ht="15" customHeight="1" x14ac:dyDescent="0.45">
      <c r="A622" t="s">
        <v>1550</v>
      </c>
      <c r="B622" s="8">
        <f>'EMCAP_Pricing Matrix'!AH82</f>
        <v>9.8750000000000004E-2</v>
      </c>
      <c r="C622" t="s">
        <v>1551</v>
      </c>
    </row>
    <row r="623" spans="1:3" ht="15" customHeight="1" x14ac:dyDescent="0.45">
      <c r="A623" t="s">
        <v>1552</v>
      </c>
      <c r="B623" s="8">
        <f>'EMCAP_Pricing Matrix'!AI82</f>
        <v>0.10125000000000001</v>
      </c>
      <c r="C623" t="s">
        <v>1553</v>
      </c>
    </row>
    <row r="624" spans="1:3" ht="15" customHeight="1" x14ac:dyDescent="0.45">
      <c r="A624" t="s">
        <v>1554</v>
      </c>
      <c r="B624" s="8">
        <f>'EMCAP_Pricing Matrix'!AQ82</f>
        <v>9.7500000000000003E-2</v>
      </c>
      <c r="C624" t="s">
        <v>1555</v>
      </c>
    </row>
    <row r="625" spans="1:3" ht="15" customHeight="1" x14ac:dyDescent="0.45">
      <c r="A625" t="s">
        <v>1556</v>
      </c>
      <c r="B625" s="8">
        <f>'EMCAP_Pricing Matrix'!AR82</f>
        <v>0.1</v>
      </c>
      <c r="C625" t="s">
        <v>1557</v>
      </c>
    </row>
    <row r="626" spans="1:3" ht="15" customHeight="1" x14ac:dyDescent="0.45">
      <c r="A626" t="s">
        <v>1558</v>
      </c>
      <c r="B626" s="8">
        <f>'EMCAP_Pricing Matrix'!AS82</f>
        <v>0.10250000000000001</v>
      </c>
      <c r="C626" t="s">
        <v>1559</v>
      </c>
    </row>
    <row r="627" spans="1:3" ht="15" customHeight="1" x14ac:dyDescent="0.45">
      <c r="A627" t="s">
        <v>1560</v>
      </c>
      <c r="B627" s="8">
        <f>'EMCAP_Pricing Matrix'!C85</f>
        <v>8.7499999999999994E-2</v>
      </c>
      <c r="C627" t="s">
        <v>1561</v>
      </c>
    </row>
    <row r="628" spans="1:3" ht="15" customHeight="1" x14ac:dyDescent="0.45">
      <c r="A628" t="s">
        <v>1562</v>
      </c>
      <c r="B628" s="8">
        <f>'EMCAP_Pricing Matrix'!D85</f>
        <v>0.09</v>
      </c>
      <c r="C628" t="s">
        <v>1563</v>
      </c>
    </row>
    <row r="629" spans="1:3" ht="15" customHeight="1" x14ac:dyDescent="0.45">
      <c r="A629" t="s">
        <v>1564</v>
      </c>
      <c r="B629" s="8">
        <f>'EMCAP_Pricing Matrix'!E85</f>
        <v>9.2499999999999999E-2</v>
      </c>
      <c r="C629" t="s">
        <v>1565</v>
      </c>
    </row>
    <row r="630" spans="1:3" ht="15" customHeight="1" x14ac:dyDescent="0.45">
      <c r="A630" t="s">
        <v>1566</v>
      </c>
      <c r="B630" s="8">
        <f>'EMCAP_Pricing Matrix'!M85</f>
        <v>8.7499999999999994E-2</v>
      </c>
      <c r="C630" t="s">
        <v>1567</v>
      </c>
    </row>
    <row r="631" spans="1:3" ht="15" customHeight="1" x14ac:dyDescent="0.45">
      <c r="A631" t="s">
        <v>1568</v>
      </c>
      <c r="B631" s="8">
        <f>'EMCAP_Pricing Matrix'!N85</f>
        <v>0.09</v>
      </c>
      <c r="C631" t="s">
        <v>1569</v>
      </c>
    </row>
    <row r="632" spans="1:3" ht="15" customHeight="1" x14ac:dyDescent="0.45">
      <c r="A632" t="s">
        <v>1570</v>
      </c>
      <c r="B632" s="8">
        <f>'EMCAP_Pricing Matrix'!O85</f>
        <v>9.2499999999999999E-2</v>
      </c>
      <c r="C632" t="s">
        <v>1571</v>
      </c>
    </row>
    <row r="633" spans="1:3" ht="15" customHeight="1" x14ac:dyDescent="0.45">
      <c r="A633" t="s">
        <v>1572</v>
      </c>
      <c r="B633" s="8">
        <f>'EMCAP_Pricing Matrix'!W85</f>
        <v>8.8749999999999996E-2</v>
      </c>
      <c r="C633" t="s">
        <v>1573</v>
      </c>
    </row>
    <row r="634" spans="1:3" ht="15" customHeight="1" x14ac:dyDescent="0.45">
      <c r="A634" t="s">
        <v>1574</v>
      </c>
      <c r="B634" s="8">
        <f>'EMCAP_Pricing Matrix'!X85</f>
        <v>9.1249999999999998E-2</v>
      </c>
      <c r="C634" t="s">
        <v>1575</v>
      </c>
    </row>
    <row r="635" spans="1:3" ht="15" customHeight="1" x14ac:dyDescent="0.45">
      <c r="A635" t="s">
        <v>1576</v>
      </c>
      <c r="B635" s="8">
        <f>'EMCAP_Pricing Matrix'!Y85</f>
        <v>9.375E-2</v>
      </c>
      <c r="C635" t="s">
        <v>1577</v>
      </c>
    </row>
    <row r="636" spans="1:3" ht="15" customHeight="1" x14ac:dyDescent="0.45">
      <c r="A636" t="s">
        <v>1578</v>
      </c>
      <c r="B636" s="8">
        <f>'EMCAP_Pricing Matrix'!AG85</f>
        <v>8.8749999999999996E-2</v>
      </c>
      <c r="C636" t="s">
        <v>1579</v>
      </c>
    </row>
    <row r="637" spans="1:3" ht="15" customHeight="1" x14ac:dyDescent="0.45">
      <c r="A637" t="s">
        <v>1580</v>
      </c>
      <c r="B637" s="8">
        <f>'EMCAP_Pricing Matrix'!AH85</f>
        <v>9.1249999999999998E-2</v>
      </c>
      <c r="C637" t="s">
        <v>1581</v>
      </c>
    </row>
    <row r="638" spans="1:3" ht="15" customHeight="1" x14ac:dyDescent="0.45">
      <c r="A638" t="s">
        <v>1582</v>
      </c>
      <c r="B638" s="8">
        <f>'EMCAP_Pricing Matrix'!AI85</f>
        <v>9.375E-2</v>
      </c>
      <c r="C638" t="s">
        <v>1583</v>
      </c>
    </row>
    <row r="639" spans="1:3" ht="15" customHeight="1" x14ac:dyDescent="0.45">
      <c r="A639" t="s">
        <v>1584</v>
      </c>
      <c r="B639" s="8">
        <f>'EMCAP_Pricing Matrix'!AQ85</f>
        <v>0.09</v>
      </c>
      <c r="C639" t="s">
        <v>1585</v>
      </c>
    </row>
    <row r="640" spans="1:3" ht="15" customHeight="1" x14ac:dyDescent="0.45">
      <c r="A640" t="s">
        <v>1586</v>
      </c>
      <c r="B640" s="8">
        <f>'EMCAP_Pricing Matrix'!AR85</f>
        <v>9.2499999999999999E-2</v>
      </c>
      <c r="C640" t="s">
        <v>1587</v>
      </c>
    </row>
    <row r="641" spans="1:3" ht="15" customHeight="1" x14ac:dyDescent="0.45">
      <c r="A641" t="s">
        <v>1588</v>
      </c>
      <c r="B641" s="8">
        <f>'EMCAP_Pricing Matrix'!AS85</f>
        <v>9.5000000000000001E-2</v>
      </c>
      <c r="C641" t="s">
        <v>1589</v>
      </c>
    </row>
    <row r="642" spans="1:3" ht="15" customHeight="1" x14ac:dyDescent="0.45">
      <c r="A642" t="s">
        <v>1590</v>
      </c>
      <c r="B642" s="8">
        <f>'EMCAP_Pricing Matrix'!C86</f>
        <v>9.2499999999999999E-2</v>
      </c>
      <c r="C642" t="s">
        <v>1591</v>
      </c>
    </row>
    <row r="643" spans="1:3" ht="15" customHeight="1" x14ac:dyDescent="0.45">
      <c r="A643" t="s">
        <v>1592</v>
      </c>
      <c r="B643" s="8">
        <f>'EMCAP_Pricing Matrix'!D86</f>
        <v>9.5000000000000001E-2</v>
      </c>
      <c r="C643" t="s">
        <v>1593</v>
      </c>
    </row>
    <row r="644" spans="1:3" ht="15" customHeight="1" x14ac:dyDescent="0.45">
      <c r="A644" t="s">
        <v>1594</v>
      </c>
      <c r="B644" s="8">
        <f>'EMCAP_Pricing Matrix'!E86</f>
        <v>9.7500000000000003E-2</v>
      </c>
      <c r="C644" t="s">
        <v>1595</v>
      </c>
    </row>
    <row r="645" spans="1:3" ht="15" customHeight="1" x14ac:dyDescent="0.45">
      <c r="A645" t="s">
        <v>1596</v>
      </c>
      <c r="B645" s="8">
        <f>'EMCAP_Pricing Matrix'!M86</f>
        <v>9.2499999999999999E-2</v>
      </c>
      <c r="C645" t="s">
        <v>1597</v>
      </c>
    </row>
    <row r="646" spans="1:3" ht="15" customHeight="1" x14ac:dyDescent="0.45">
      <c r="A646" t="s">
        <v>1598</v>
      </c>
      <c r="B646" s="8">
        <f>'EMCAP_Pricing Matrix'!N86</f>
        <v>9.5000000000000001E-2</v>
      </c>
      <c r="C646" t="s">
        <v>1599</v>
      </c>
    </row>
    <row r="647" spans="1:3" ht="15" customHeight="1" x14ac:dyDescent="0.45">
      <c r="A647" t="s">
        <v>1600</v>
      </c>
      <c r="B647" s="8">
        <f>'EMCAP_Pricing Matrix'!O86</f>
        <v>9.7500000000000003E-2</v>
      </c>
      <c r="C647" t="s">
        <v>1601</v>
      </c>
    </row>
    <row r="648" spans="1:3" ht="15" customHeight="1" x14ac:dyDescent="0.45">
      <c r="A648" t="s">
        <v>1602</v>
      </c>
      <c r="B648" s="8">
        <f>'EMCAP_Pricing Matrix'!W86</f>
        <v>9.375E-2</v>
      </c>
      <c r="C648" t="s">
        <v>1603</v>
      </c>
    </row>
    <row r="649" spans="1:3" ht="15" customHeight="1" x14ac:dyDescent="0.45">
      <c r="A649" t="s">
        <v>1604</v>
      </c>
      <c r="B649" s="8">
        <f>'EMCAP_Pricing Matrix'!X86</f>
        <v>9.6250000000000002E-2</v>
      </c>
      <c r="C649" t="s">
        <v>1605</v>
      </c>
    </row>
    <row r="650" spans="1:3" ht="15" customHeight="1" x14ac:dyDescent="0.45">
      <c r="A650" t="s">
        <v>1606</v>
      </c>
      <c r="B650" s="8">
        <f>'EMCAP_Pricing Matrix'!Y86</f>
        <v>9.8750000000000004E-2</v>
      </c>
      <c r="C650" t="s">
        <v>1607</v>
      </c>
    </row>
    <row r="651" spans="1:3" ht="15" customHeight="1" x14ac:dyDescent="0.45">
      <c r="A651" t="s">
        <v>1608</v>
      </c>
      <c r="B651" s="8">
        <f>'EMCAP_Pricing Matrix'!AG86</f>
        <v>9.375E-2</v>
      </c>
      <c r="C651" t="s">
        <v>1609</v>
      </c>
    </row>
    <row r="652" spans="1:3" ht="15" customHeight="1" x14ac:dyDescent="0.45">
      <c r="A652" t="s">
        <v>1610</v>
      </c>
      <c r="B652" s="8">
        <f>'EMCAP_Pricing Matrix'!AH86</f>
        <v>9.6250000000000002E-2</v>
      </c>
      <c r="C652" t="s">
        <v>1611</v>
      </c>
    </row>
    <row r="653" spans="1:3" ht="15" customHeight="1" x14ac:dyDescent="0.45">
      <c r="A653" t="s">
        <v>1612</v>
      </c>
      <c r="B653" s="8">
        <f>'EMCAP_Pricing Matrix'!AI86</f>
        <v>9.8750000000000004E-2</v>
      </c>
      <c r="C653" t="s">
        <v>1613</v>
      </c>
    </row>
    <row r="654" spans="1:3" ht="15" customHeight="1" x14ac:dyDescent="0.45">
      <c r="A654" t="s">
        <v>1614</v>
      </c>
      <c r="B654" s="8">
        <f>'EMCAP_Pricing Matrix'!AQ86</f>
        <v>9.5000000000000001E-2</v>
      </c>
      <c r="C654" t="s">
        <v>1615</v>
      </c>
    </row>
    <row r="655" spans="1:3" ht="15" customHeight="1" x14ac:dyDescent="0.45">
      <c r="A655" t="s">
        <v>1616</v>
      </c>
      <c r="B655" s="8">
        <f>'EMCAP_Pricing Matrix'!AR86</f>
        <v>9.7500000000000003E-2</v>
      </c>
      <c r="C655" t="s">
        <v>1617</v>
      </c>
    </row>
    <row r="656" spans="1:3" ht="15" customHeight="1" x14ac:dyDescent="0.45">
      <c r="A656" t="s">
        <v>1618</v>
      </c>
      <c r="B656" s="8">
        <f>'EMCAP_Pricing Matrix'!AS86</f>
        <v>0.1</v>
      </c>
      <c r="C656" t="s">
        <v>1619</v>
      </c>
    </row>
    <row r="657" spans="1:3" ht="15" customHeight="1" x14ac:dyDescent="0.45">
      <c r="A657" t="s">
        <v>1620</v>
      </c>
      <c r="B657" s="8">
        <f>'EMCAP_Pricing Matrix'!C101</f>
        <v>0.10249999999999999</v>
      </c>
      <c r="C657" t="s">
        <v>1621</v>
      </c>
    </row>
    <row r="658" spans="1:3" ht="15" customHeight="1" x14ac:dyDescent="0.45">
      <c r="A658" t="s">
        <v>1622</v>
      </c>
      <c r="B658" s="8">
        <f>'EMCAP_Pricing Matrix'!D101</f>
        <v>0.105</v>
      </c>
      <c r="C658" t="s">
        <v>1623</v>
      </c>
    </row>
    <row r="659" spans="1:3" ht="15" customHeight="1" x14ac:dyDescent="0.45">
      <c r="A659" t="s">
        <v>1624</v>
      </c>
      <c r="B659" s="8">
        <f>'EMCAP_Pricing Matrix'!M101</f>
        <v>0.10249999999999999</v>
      </c>
      <c r="C659" t="s">
        <v>1625</v>
      </c>
    </row>
    <row r="660" spans="1:3" ht="15" customHeight="1" x14ac:dyDescent="0.45">
      <c r="A660" t="s">
        <v>1626</v>
      </c>
      <c r="B660" s="8">
        <f>'EMCAP_Pricing Matrix'!N101</f>
        <v>0.105</v>
      </c>
      <c r="C660" t="s">
        <v>1627</v>
      </c>
    </row>
    <row r="661" spans="1:3" ht="15" customHeight="1" x14ac:dyDescent="0.45">
      <c r="A661" t="s">
        <v>1628</v>
      </c>
      <c r="B661" s="8">
        <f>'EMCAP_Pricing Matrix'!W101</f>
        <v>0.10375</v>
      </c>
      <c r="C661" t="s">
        <v>1629</v>
      </c>
    </row>
    <row r="662" spans="1:3" ht="15" customHeight="1" x14ac:dyDescent="0.45">
      <c r="A662" t="s">
        <v>1630</v>
      </c>
      <c r="B662" s="8">
        <f>'EMCAP_Pricing Matrix'!X101</f>
        <v>0.10625</v>
      </c>
      <c r="C662" t="s">
        <v>1631</v>
      </c>
    </row>
    <row r="663" spans="1:3" ht="15" customHeight="1" x14ac:dyDescent="0.45">
      <c r="A663" t="s">
        <v>1632</v>
      </c>
      <c r="B663" s="8">
        <f>'EMCAP_Pricing Matrix'!AG101</f>
        <v>0.10375</v>
      </c>
      <c r="C663" t="s">
        <v>1633</v>
      </c>
    </row>
    <row r="664" spans="1:3" ht="15" customHeight="1" x14ac:dyDescent="0.45">
      <c r="A664" t="s">
        <v>1634</v>
      </c>
      <c r="B664" s="8">
        <f>'EMCAP_Pricing Matrix'!AH101</f>
        <v>0.10625</v>
      </c>
      <c r="C664" t="s">
        <v>1635</v>
      </c>
    </row>
    <row r="665" spans="1:3" ht="15" customHeight="1" x14ac:dyDescent="0.45">
      <c r="A665" t="s">
        <v>1636</v>
      </c>
      <c r="B665" s="8">
        <f>'EMCAP_Pricing Matrix'!AQ101</f>
        <v>0.105</v>
      </c>
      <c r="C665" t="s">
        <v>1637</v>
      </c>
    </row>
    <row r="666" spans="1:3" ht="15" customHeight="1" x14ac:dyDescent="0.45">
      <c r="A666" t="s">
        <v>1638</v>
      </c>
      <c r="B666" s="8">
        <f>'EMCAP_Pricing Matrix'!AR101</f>
        <v>0.1075</v>
      </c>
      <c r="C666" t="s">
        <v>1639</v>
      </c>
    </row>
    <row r="667" spans="1:3" ht="15" customHeight="1" x14ac:dyDescent="0.45">
      <c r="A667" t="s">
        <v>1640</v>
      </c>
      <c r="B667" s="8">
        <f>'EMCAP_Pricing Matrix'!C102</f>
        <v>0.1075</v>
      </c>
      <c r="C667" t="s">
        <v>1641</v>
      </c>
    </row>
    <row r="668" spans="1:3" ht="15" customHeight="1" x14ac:dyDescent="0.45">
      <c r="A668" t="s">
        <v>1642</v>
      </c>
      <c r="B668" s="8">
        <f>'EMCAP_Pricing Matrix'!D102</f>
        <v>0.11</v>
      </c>
      <c r="C668" t="s">
        <v>1643</v>
      </c>
    </row>
    <row r="669" spans="1:3" ht="15" customHeight="1" x14ac:dyDescent="0.45">
      <c r="A669" t="s">
        <v>1644</v>
      </c>
      <c r="B669" s="8">
        <f>'EMCAP_Pricing Matrix'!M102</f>
        <v>0.1075</v>
      </c>
      <c r="C669" t="s">
        <v>1645</v>
      </c>
    </row>
    <row r="670" spans="1:3" ht="15" customHeight="1" x14ac:dyDescent="0.45">
      <c r="A670" t="s">
        <v>1646</v>
      </c>
      <c r="B670" s="8">
        <f>'EMCAP_Pricing Matrix'!N102</f>
        <v>0.11</v>
      </c>
      <c r="C670" t="s">
        <v>1647</v>
      </c>
    </row>
    <row r="671" spans="1:3" ht="15" customHeight="1" x14ac:dyDescent="0.45">
      <c r="A671" t="s">
        <v>1648</v>
      </c>
      <c r="B671" s="8">
        <f>'EMCAP_Pricing Matrix'!W102</f>
        <v>0.10875</v>
      </c>
      <c r="C671" t="s">
        <v>1649</v>
      </c>
    </row>
    <row r="672" spans="1:3" ht="15" customHeight="1" x14ac:dyDescent="0.45">
      <c r="A672" t="s">
        <v>1650</v>
      </c>
      <c r="B672" s="8">
        <f>'EMCAP_Pricing Matrix'!X102</f>
        <v>0.11125</v>
      </c>
      <c r="C672" t="s">
        <v>1651</v>
      </c>
    </row>
    <row r="673" spans="1:3" ht="15" customHeight="1" x14ac:dyDescent="0.45">
      <c r="A673" t="s">
        <v>1652</v>
      </c>
      <c r="B673" s="8">
        <f>'EMCAP_Pricing Matrix'!AG102</f>
        <v>0.10875</v>
      </c>
      <c r="C673" t="s">
        <v>1653</v>
      </c>
    </row>
    <row r="674" spans="1:3" ht="15" customHeight="1" x14ac:dyDescent="0.45">
      <c r="A674" t="s">
        <v>1654</v>
      </c>
      <c r="B674" s="8">
        <f>'EMCAP_Pricing Matrix'!AH102</f>
        <v>0.11125</v>
      </c>
      <c r="C674" t="s">
        <v>1655</v>
      </c>
    </row>
    <row r="675" spans="1:3" ht="15" customHeight="1" x14ac:dyDescent="0.45">
      <c r="A675" t="s">
        <v>1656</v>
      </c>
      <c r="B675" s="8">
        <f>'EMCAP_Pricing Matrix'!AQ102</f>
        <v>0.11</v>
      </c>
      <c r="C675" t="s">
        <v>1657</v>
      </c>
    </row>
    <row r="676" spans="1:3" ht="15" customHeight="1" x14ac:dyDescent="0.45">
      <c r="A676" t="s">
        <v>1658</v>
      </c>
      <c r="B676" s="8">
        <f>'EMCAP_Pricing Matrix'!AR102</f>
        <v>0.1125</v>
      </c>
      <c r="C676" t="s">
        <v>1659</v>
      </c>
    </row>
    <row r="677" spans="1:3" ht="15" customHeight="1" x14ac:dyDescent="0.45">
      <c r="A677" t="s">
        <v>1660</v>
      </c>
      <c r="B677" s="8">
        <f>'EMCAP_Pricing Matrix'!C116</f>
        <v>9.2499999999999999E-2</v>
      </c>
      <c r="C677" t="s">
        <v>1661</v>
      </c>
    </row>
    <row r="678" spans="1:3" ht="15" customHeight="1" x14ac:dyDescent="0.45">
      <c r="A678" t="s">
        <v>1662</v>
      </c>
      <c r="B678" s="8">
        <f>'EMCAP_Pricing Matrix'!D116</f>
        <v>9.2499999999999999E-2</v>
      </c>
      <c r="C678" t="s">
        <v>1663</v>
      </c>
    </row>
    <row r="679" spans="1:3" ht="15" customHeight="1" x14ac:dyDescent="0.45">
      <c r="A679" t="s">
        <v>1664</v>
      </c>
      <c r="B679" s="8">
        <f>'EMCAP_Pricing Matrix'!M116</f>
        <v>9.7500000000000003E-2</v>
      </c>
      <c r="C679" t="s">
        <v>1665</v>
      </c>
    </row>
    <row r="680" spans="1:3" ht="15" customHeight="1" x14ac:dyDescent="0.45">
      <c r="A680" t="s">
        <v>1666</v>
      </c>
      <c r="B680" s="8">
        <f>'EMCAP_Pricing Matrix'!W116</f>
        <v>9.2499999999999999E-2</v>
      </c>
      <c r="C680" t="s">
        <v>1667</v>
      </c>
    </row>
    <row r="681" spans="1:3" ht="15" customHeight="1" x14ac:dyDescent="0.45">
      <c r="A681" t="s">
        <v>1668</v>
      </c>
      <c r="B681" s="8">
        <f>'EMCAP_Pricing Matrix'!X116</f>
        <v>9.2499999999999999E-2</v>
      </c>
      <c r="C681" t="s">
        <v>1669</v>
      </c>
    </row>
    <row r="682" spans="1:3" ht="15" customHeight="1" x14ac:dyDescent="0.45">
      <c r="A682" t="s">
        <v>1670</v>
      </c>
      <c r="B682" s="8">
        <f>'EMCAP_Pricing Matrix'!AG116</f>
        <v>9.7500000000000003E-2</v>
      </c>
      <c r="C682" t="s">
        <v>1671</v>
      </c>
    </row>
    <row r="683" spans="1:3" ht="15" customHeight="1" x14ac:dyDescent="0.45">
      <c r="A683" t="s">
        <v>1672</v>
      </c>
      <c r="B683" s="8">
        <f>'EMCAP_Pricing Matrix'!AQ116</f>
        <v>9.2499999999999999E-2</v>
      </c>
      <c r="C683" t="s">
        <v>1673</v>
      </c>
    </row>
    <row r="684" spans="1:3" ht="15" customHeight="1" x14ac:dyDescent="0.45">
      <c r="A684" t="s">
        <v>1674</v>
      </c>
      <c r="B684" s="8">
        <f>'EMCAP_Pricing Matrix'!AR116</f>
        <v>9.2499999999999999E-2</v>
      </c>
      <c r="C684" t="s">
        <v>1675</v>
      </c>
    </row>
    <row r="685" spans="1:3" ht="15" customHeight="1" x14ac:dyDescent="0.45">
      <c r="A685" t="s">
        <v>1676</v>
      </c>
      <c r="B685" s="8">
        <f>'EMCAP_Pricing Matrix'!C117</f>
        <v>9.5000000000000001E-2</v>
      </c>
      <c r="C685" t="s">
        <v>1677</v>
      </c>
    </row>
    <row r="686" spans="1:3" ht="15" customHeight="1" x14ac:dyDescent="0.45">
      <c r="A686" t="s">
        <v>1678</v>
      </c>
      <c r="B686" s="8">
        <f>'EMCAP_Pricing Matrix'!D117</f>
        <v>9.5000000000000001E-2</v>
      </c>
      <c r="C686" t="s">
        <v>1679</v>
      </c>
    </row>
    <row r="687" spans="1:3" ht="15" customHeight="1" x14ac:dyDescent="0.45">
      <c r="A687" t="s">
        <v>1680</v>
      </c>
      <c r="B687" s="8">
        <f>'EMCAP_Pricing Matrix'!M117</f>
        <v>0.1</v>
      </c>
      <c r="C687" t="s">
        <v>1681</v>
      </c>
    </row>
    <row r="688" spans="1:3" ht="15" customHeight="1" x14ac:dyDescent="0.45">
      <c r="A688" t="s">
        <v>1682</v>
      </c>
      <c r="B688" s="8">
        <f>'EMCAP_Pricing Matrix'!W117</f>
        <v>9.5000000000000001E-2</v>
      </c>
      <c r="C688" t="s">
        <v>1683</v>
      </c>
    </row>
    <row r="689" spans="1:3" ht="15" customHeight="1" x14ac:dyDescent="0.45">
      <c r="A689" t="s">
        <v>1684</v>
      </c>
      <c r="B689" s="8">
        <f>'EMCAP_Pricing Matrix'!X117</f>
        <v>9.5000000000000001E-2</v>
      </c>
      <c r="C689" t="s">
        <v>1685</v>
      </c>
    </row>
    <row r="690" spans="1:3" ht="15" customHeight="1" x14ac:dyDescent="0.45">
      <c r="A690" t="s">
        <v>1686</v>
      </c>
      <c r="B690" s="8">
        <f>'EMCAP_Pricing Matrix'!AG117</f>
        <v>0.1</v>
      </c>
      <c r="C690" t="s">
        <v>1687</v>
      </c>
    </row>
    <row r="691" spans="1:3" ht="15" customHeight="1" x14ac:dyDescent="0.45">
      <c r="A691" t="s">
        <v>1688</v>
      </c>
      <c r="B691" s="8">
        <f>'EMCAP_Pricing Matrix'!AQ117</f>
        <v>9.5000000000000001E-2</v>
      </c>
      <c r="C691" t="s">
        <v>1689</v>
      </c>
    </row>
    <row r="692" spans="1:3" ht="15" customHeight="1" x14ac:dyDescent="0.45">
      <c r="A692" t="s">
        <v>1690</v>
      </c>
      <c r="B692" s="8">
        <f>'EMCAP_Pricing Matrix'!AR117</f>
        <v>9.5000000000000001E-2</v>
      </c>
      <c r="C692" t="s">
        <v>1691</v>
      </c>
    </row>
    <row r="693" spans="1:3" ht="15" customHeight="1" x14ac:dyDescent="0.45">
      <c r="A693" t="s">
        <v>1692</v>
      </c>
      <c r="B693" s="8">
        <f>'EMCAP_Pricing Matrix'!C118</f>
        <v>9.7500000000000003E-2</v>
      </c>
      <c r="C693" t="s">
        <v>1693</v>
      </c>
    </row>
    <row r="694" spans="1:3" ht="15" customHeight="1" x14ac:dyDescent="0.45">
      <c r="A694" t="s">
        <v>1694</v>
      </c>
      <c r="B694" s="8">
        <f>'EMCAP_Pricing Matrix'!D118</f>
        <v>9.7500000000000003E-2</v>
      </c>
      <c r="C694" t="s">
        <v>1695</v>
      </c>
    </row>
    <row r="695" spans="1:3" ht="15" customHeight="1" x14ac:dyDescent="0.45">
      <c r="A695" t="s">
        <v>1696</v>
      </c>
      <c r="B695" s="8">
        <f>'EMCAP_Pricing Matrix'!M118</f>
        <v>0.10250000000000001</v>
      </c>
      <c r="C695" t="s">
        <v>1697</v>
      </c>
    </row>
    <row r="696" spans="1:3" ht="15" customHeight="1" x14ac:dyDescent="0.45">
      <c r="A696" t="s">
        <v>1698</v>
      </c>
      <c r="B696" s="8">
        <f>'EMCAP_Pricing Matrix'!W118</f>
        <v>9.7500000000000003E-2</v>
      </c>
      <c r="C696" t="s">
        <v>1699</v>
      </c>
    </row>
    <row r="697" spans="1:3" ht="15" customHeight="1" x14ac:dyDescent="0.45">
      <c r="A697" t="s">
        <v>1700</v>
      </c>
      <c r="B697" s="8">
        <f>'EMCAP_Pricing Matrix'!X118</f>
        <v>9.7500000000000003E-2</v>
      </c>
      <c r="C697" t="s">
        <v>1701</v>
      </c>
    </row>
    <row r="698" spans="1:3" ht="15" customHeight="1" x14ac:dyDescent="0.45">
      <c r="A698" t="s">
        <v>1702</v>
      </c>
      <c r="B698" s="8">
        <f>'EMCAP_Pricing Matrix'!AG118</f>
        <v>0.10250000000000001</v>
      </c>
      <c r="C698" t="s">
        <v>1703</v>
      </c>
    </row>
    <row r="699" spans="1:3" ht="15" customHeight="1" x14ac:dyDescent="0.45">
      <c r="A699" t="s">
        <v>1704</v>
      </c>
      <c r="B699" s="8">
        <f>'EMCAP_Pricing Matrix'!AQ118</f>
        <v>9.7500000000000003E-2</v>
      </c>
      <c r="C699" t="s">
        <v>1705</v>
      </c>
    </row>
    <row r="700" spans="1:3" ht="15" customHeight="1" x14ac:dyDescent="0.45">
      <c r="A700" t="s">
        <v>1706</v>
      </c>
      <c r="B700" s="8">
        <f>'EMCAP_Pricing Matrix'!AR118</f>
        <v>9.7500000000000003E-2</v>
      </c>
      <c r="C700" t="s">
        <v>1707</v>
      </c>
    </row>
    <row r="701" spans="1:3" ht="15" customHeight="1" x14ac:dyDescent="0.45">
      <c r="A701" t="s">
        <v>1708</v>
      </c>
      <c r="B701" s="8">
        <f>'EMCAP_Pricing Matrix'!C120</f>
        <v>0.09</v>
      </c>
      <c r="C701" t="s">
        <v>1709</v>
      </c>
    </row>
    <row r="702" spans="1:3" ht="15" customHeight="1" x14ac:dyDescent="0.45">
      <c r="A702" t="s">
        <v>1710</v>
      </c>
      <c r="B702" s="8">
        <f>'EMCAP_Pricing Matrix'!D120</f>
        <v>0.09</v>
      </c>
      <c r="C702" t="s">
        <v>1711</v>
      </c>
    </row>
    <row r="703" spans="1:3" ht="15" customHeight="1" x14ac:dyDescent="0.45">
      <c r="A703" t="s">
        <v>1712</v>
      </c>
      <c r="B703" s="8">
        <f>'EMCAP_Pricing Matrix'!M120</f>
        <v>9.5000000000000001E-2</v>
      </c>
      <c r="C703" t="s">
        <v>1713</v>
      </c>
    </row>
    <row r="704" spans="1:3" ht="15" customHeight="1" x14ac:dyDescent="0.45">
      <c r="A704" t="s">
        <v>1714</v>
      </c>
      <c r="B704" s="8">
        <f>'EMCAP_Pricing Matrix'!W120</f>
        <v>0.09</v>
      </c>
      <c r="C704" t="s">
        <v>1715</v>
      </c>
    </row>
    <row r="705" spans="1:3" ht="15" customHeight="1" x14ac:dyDescent="0.45">
      <c r="A705" t="s">
        <v>1716</v>
      </c>
      <c r="B705" s="8">
        <f>'EMCAP_Pricing Matrix'!X120</f>
        <v>0.09</v>
      </c>
      <c r="C705" t="s">
        <v>1717</v>
      </c>
    </row>
    <row r="706" spans="1:3" ht="15" customHeight="1" x14ac:dyDescent="0.45">
      <c r="A706" t="s">
        <v>1718</v>
      </c>
      <c r="B706" s="8">
        <f>'EMCAP_Pricing Matrix'!AG120</f>
        <v>9.5000000000000001E-2</v>
      </c>
      <c r="C706" t="s">
        <v>1719</v>
      </c>
    </row>
    <row r="707" spans="1:3" ht="15" customHeight="1" x14ac:dyDescent="0.45">
      <c r="A707" t="s">
        <v>1720</v>
      </c>
      <c r="B707" s="8">
        <f>'EMCAP_Pricing Matrix'!AQ120</f>
        <v>0.09</v>
      </c>
      <c r="C707" t="s">
        <v>1721</v>
      </c>
    </row>
    <row r="708" spans="1:3" ht="15" customHeight="1" x14ac:dyDescent="0.45">
      <c r="A708" t="s">
        <v>1722</v>
      </c>
      <c r="B708" s="8">
        <f>'EMCAP_Pricing Matrix'!AR120</f>
        <v>0.09</v>
      </c>
      <c r="C708" t="s">
        <v>1723</v>
      </c>
    </row>
    <row r="709" spans="1:3" ht="15" customHeight="1" x14ac:dyDescent="0.45">
      <c r="A709" t="s">
        <v>1724</v>
      </c>
      <c r="B709" s="8">
        <f>'EMCAP_Pricing Matrix'!C121</f>
        <v>9.2499999999999999E-2</v>
      </c>
      <c r="C709" t="s">
        <v>1725</v>
      </c>
    </row>
    <row r="710" spans="1:3" ht="15" customHeight="1" x14ac:dyDescent="0.45">
      <c r="A710" t="s">
        <v>1726</v>
      </c>
      <c r="B710" s="8">
        <f>'EMCAP_Pricing Matrix'!D121</f>
        <v>9.2499999999999999E-2</v>
      </c>
      <c r="C710" t="s">
        <v>1727</v>
      </c>
    </row>
    <row r="711" spans="1:3" ht="15" customHeight="1" x14ac:dyDescent="0.45">
      <c r="A711" t="s">
        <v>1728</v>
      </c>
      <c r="B711" s="8">
        <f>'EMCAP_Pricing Matrix'!M121</f>
        <v>9.7500000000000003E-2</v>
      </c>
      <c r="C711" t="s">
        <v>1729</v>
      </c>
    </row>
    <row r="712" spans="1:3" ht="15" customHeight="1" x14ac:dyDescent="0.45">
      <c r="A712" t="s">
        <v>1730</v>
      </c>
      <c r="B712" s="8">
        <f>'EMCAP_Pricing Matrix'!W121</f>
        <v>9.2499999999999999E-2</v>
      </c>
      <c r="C712" t="s">
        <v>1731</v>
      </c>
    </row>
    <row r="713" spans="1:3" ht="15" customHeight="1" x14ac:dyDescent="0.45">
      <c r="A713" t="s">
        <v>1732</v>
      </c>
      <c r="B713" s="8">
        <f>'EMCAP_Pricing Matrix'!X121</f>
        <v>9.2499999999999999E-2</v>
      </c>
      <c r="C713" t="s">
        <v>1733</v>
      </c>
    </row>
    <row r="714" spans="1:3" ht="15" customHeight="1" x14ac:dyDescent="0.45">
      <c r="A714" t="s">
        <v>1734</v>
      </c>
      <c r="B714" s="8">
        <f>'EMCAP_Pricing Matrix'!AG121</f>
        <v>9.7500000000000003E-2</v>
      </c>
      <c r="C714" t="s">
        <v>1735</v>
      </c>
    </row>
    <row r="715" spans="1:3" ht="15" customHeight="1" x14ac:dyDescent="0.45">
      <c r="A715" t="s">
        <v>1736</v>
      </c>
      <c r="B715" s="8">
        <f>'EMCAP_Pricing Matrix'!AQ121</f>
        <v>9.2499999999999999E-2</v>
      </c>
      <c r="C715" t="s">
        <v>1737</v>
      </c>
    </row>
    <row r="716" spans="1:3" ht="15" customHeight="1" x14ac:dyDescent="0.45">
      <c r="A716" t="s">
        <v>1738</v>
      </c>
      <c r="B716" s="8">
        <f>'EMCAP_Pricing Matrix'!AR121</f>
        <v>9.2499999999999999E-2</v>
      </c>
      <c r="C716" t="s">
        <v>1739</v>
      </c>
    </row>
    <row r="717" spans="1:3" ht="15" customHeight="1" x14ac:dyDescent="0.45">
      <c r="A717" t="s">
        <v>1740</v>
      </c>
      <c r="B717" s="8">
        <f>'EMCAP_Pricing Matrix'!C122</f>
        <v>9.5000000000000001E-2</v>
      </c>
      <c r="C717" t="s">
        <v>1741</v>
      </c>
    </row>
    <row r="718" spans="1:3" ht="15" customHeight="1" x14ac:dyDescent="0.45">
      <c r="A718" t="s">
        <v>1742</v>
      </c>
      <c r="B718" s="8">
        <f>'EMCAP_Pricing Matrix'!D122</f>
        <v>9.5000000000000001E-2</v>
      </c>
      <c r="C718" t="s">
        <v>1743</v>
      </c>
    </row>
    <row r="719" spans="1:3" ht="15" customHeight="1" x14ac:dyDescent="0.45">
      <c r="A719" t="s">
        <v>1744</v>
      </c>
      <c r="B719" s="8">
        <f>'EMCAP_Pricing Matrix'!M122</f>
        <v>0.1</v>
      </c>
      <c r="C719" t="s">
        <v>1745</v>
      </c>
    </row>
    <row r="720" spans="1:3" ht="15" customHeight="1" x14ac:dyDescent="0.45">
      <c r="A720" t="s">
        <v>1746</v>
      </c>
      <c r="B720" s="8">
        <f>'EMCAP_Pricing Matrix'!W122</f>
        <v>9.5000000000000001E-2</v>
      </c>
      <c r="C720" t="s">
        <v>1747</v>
      </c>
    </row>
    <row r="721" spans="1:3" ht="15" customHeight="1" x14ac:dyDescent="0.45">
      <c r="A721" t="s">
        <v>1748</v>
      </c>
      <c r="B721" s="8">
        <f>'EMCAP_Pricing Matrix'!X122</f>
        <v>9.5000000000000001E-2</v>
      </c>
      <c r="C721" t="s">
        <v>1749</v>
      </c>
    </row>
    <row r="722" spans="1:3" ht="15" customHeight="1" x14ac:dyDescent="0.45">
      <c r="A722" t="s">
        <v>1750</v>
      </c>
      <c r="B722" s="8">
        <f>'EMCAP_Pricing Matrix'!AG122</f>
        <v>0.1</v>
      </c>
      <c r="C722" t="s">
        <v>1751</v>
      </c>
    </row>
    <row r="723" spans="1:3" ht="15" customHeight="1" x14ac:dyDescent="0.45">
      <c r="A723" t="s">
        <v>1752</v>
      </c>
      <c r="B723" s="8">
        <f>'EMCAP_Pricing Matrix'!AQ122</f>
        <v>9.5000000000000001E-2</v>
      </c>
      <c r="C723" t="s">
        <v>1753</v>
      </c>
    </row>
    <row r="724" spans="1:3" ht="15" customHeight="1" x14ac:dyDescent="0.45">
      <c r="A724" t="s">
        <v>1754</v>
      </c>
      <c r="B724" s="8">
        <f>'EMCAP_Pricing Matrix'!AR122</f>
        <v>9.5000000000000001E-2</v>
      </c>
      <c r="C724" t="s">
        <v>1755</v>
      </c>
    </row>
    <row r="725" spans="1:3" ht="15" customHeight="1" x14ac:dyDescent="0.45">
      <c r="A725" t="s">
        <v>1756</v>
      </c>
      <c r="B725" s="8">
        <f>'EMCAP_Pricing Matrix'!C124</f>
        <v>8.7499999999999994E-2</v>
      </c>
      <c r="C725" t="s">
        <v>1757</v>
      </c>
    </row>
    <row r="726" spans="1:3" ht="15" customHeight="1" x14ac:dyDescent="0.45">
      <c r="A726" t="s">
        <v>1758</v>
      </c>
      <c r="B726" s="8">
        <f>'EMCAP_Pricing Matrix'!D124</f>
        <v>0.09</v>
      </c>
      <c r="C726" t="s">
        <v>1759</v>
      </c>
    </row>
    <row r="727" spans="1:3" ht="15" customHeight="1" x14ac:dyDescent="0.45">
      <c r="A727" t="s">
        <v>1760</v>
      </c>
      <c r="B727" s="8">
        <f>'EMCAP_Pricing Matrix'!M124</f>
        <v>9.2499999999999999E-2</v>
      </c>
      <c r="C727" t="s">
        <v>1761</v>
      </c>
    </row>
    <row r="728" spans="1:3" ht="15" customHeight="1" x14ac:dyDescent="0.45">
      <c r="A728" t="s">
        <v>1762</v>
      </c>
      <c r="B728" s="8">
        <f>'EMCAP_Pricing Matrix'!W124</f>
        <v>8.7499999999999994E-2</v>
      </c>
      <c r="C728" t="s">
        <v>1763</v>
      </c>
    </row>
    <row r="729" spans="1:3" ht="15" customHeight="1" x14ac:dyDescent="0.45">
      <c r="A729" t="s">
        <v>1764</v>
      </c>
      <c r="B729" s="8">
        <f>'EMCAP_Pricing Matrix'!X124</f>
        <v>0.09</v>
      </c>
      <c r="C729" t="s">
        <v>1765</v>
      </c>
    </row>
    <row r="730" spans="1:3" ht="15" customHeight="1" x14ac:dyDescent="0.45">
      <c r="A730" t="s">
        <v>1766</v>
      </c>
      <c r="B730" s="8">
        <f>'EMCAP_Pricing Matrix'!AG124</f>
        <v>9.2499999999999999E-2</v>
      </c>
      <c r="C730" t="s">
        <v>1767</v>
      </c>
    </row>
    <row r="731" spans="1:3" ht="15" customHeight="1" x14ac:dyDescent="0.45">
      <c r="A731" t="s">
        <v>1768</v>
      </c>
      <c r="B731" s="8">
        <f>'EMCAP_Pricing Matrix'!AQ124</f>
        <v>8.7499999999999994E-2</v>
      </c>
      <c r="C731" t="s">
        <v>1769</v>
      </c>
    </row>
    <row r="732" spans="1:3" ht="15" customHeight="1" x14ac:dyDescent="0.45">
      <c r="A732" t="s">
        <v>1770</v>
      </c>
      <c r="B732" s="8">
        <f>'EMCAP_Pricing Matrix'!AR124</f>
        <v>0.09</v>
      </c>
      <c r="C732" t="s">
        <v>1771</v>
      </c>
    </row>
    <row r="733" spans="1:3" ht="15" customHeight="1" x14ac:dyDescent="0.45">
      <c r="A733" t="s">
        <v>1772</v>
      </c>
      <c r="B733" s="8">
        <f>'EMCAP_Pricing Matrix'!C125</f>
        <v>0.09</v>
      </c>
      <c r="C733" t="s">
        <v>1773</v>
      </c>
    </row>
    <row r="734" spans="1:3" ht="15" customHeight="1" x14ac:dyDescent="0.45">
      <c r="A734" t="s">
        <v>1774</v>
      </c>
      <c r="B734" s="8">
        <f>'EMCAP_Pricing Matrix'!D125</f>
        <v>9.2499999999999999E-2</v>
      </c>
      <c r="C734" t="s">
        <v>1775</v>
      </c>
    </row>
    <row r="735" spans="1:3" ht="15" customHeight="1" x14ac:dyDescent="0.45">
      <c r="A735" t="s">
        <v>1776</v>
      </c>
      <c r="B735" s="8">
        <f>'EMCAP_Pricing Matrix'!M125</f>
        <v>9.5000000000000001E-2</v>
      </c>
      <c r="C735" t="s">
        <v>1777</v>
      </c>
    </row>
    <row r="736" spans="1:3" ht="15" customHeight="1" x14ac:dyDescent="0.45">
      <c r="A736" t="s">
        <v>1778</v>
      </c>
      <c r="B736" s="8">
        <f>'EMCAP_Pricing Matrix'!W125</f>
        <v>0.09</v>
      </c>
      <c r="C736" t="s">
        <v>1779</v>
      </c>
    </row>
    <row r="737" spans="1:3" ht="15" customHeight="1" x14ac:dyDescent="0.45">
      <c r="A737" t="s">
        <v>1780</v>
      </c>
      <c r="B737" s="8">
        <f>'EMCAP_Pricing Matrix'!X125</f>
        <v>9.2499999999999999E-2</v>
      </c>
      <c r="C737" t="s">
        <v>1781</v>
      </c>
    </row>
    <row r="738" spans="1:3" ht="15" customHeight="1" x14ac:dyDescent="0.45">
      <c r="A738" t="s">
        <v>1782</v>
      </c>
      <c r="B738" s="8">
        <f>'EMCAP_Pricing Matrix'!AG125</f>
        <v>9.5000000000000001E-2</v>
      </c>
      <c r="C738" t="s">
        <v>1783</v>
      </c>
    </row>
    <row r="739" spans="1:3" ht="15" customHeight="1" x14ac:dyDescent="0.45">
      <c r="A739" t="s">
        <v>1784</v>
      </c>
      <c r="B739" s="8">
        <f>'EMCAP_Pricing Matrix'!AQ125</f>
        <v>0.09</v>
      </c>
      <c r="C739" t="s">
        <v>1785</v>
      </c>
    </row>
    <row r="740" spans="1:3" ht="15" customHeight="1" x14ac:dyDescent="0.45">
      <c r="A740" t="s">
        <v>1786</v>
      </c>
      <c r="B740" s="8">
        <f>'EMCAP_Pricing Matrix'!AR125</f>
        <v>9.2499999999999999E-2</v>
      </c>
      <c r="C740" t="s">
        <v>1787</v>
      </c>
    </row>
    <row r="741" spans="1:3" ht="15" customHeight="1" x14ac:dyDescent="0.45">
      <c r="A741" t="s">
        <v>1788</v>
      </c>
      <c r="B741" s="8">
        <f>'EMCAP_Pricing Matrix'!C126</f>
        <v>9.2499999999999999E-2</v>
      </c>
      <c r="C741" t="s">
        <v>1789</v>
      </c>
    </row>
    <row r="742" spans="1:3" ht="15" customHeight="1" x14ac:dyDescent="0.45">
      <c r="A742" t="s">
        <v>1790</v>
      </c>
      <c r="B742" s="8">
        <f>'EMCAP_Pricing Matrix'!D126</f>
        <v>9.5000000000000001E-2</v>
      </c>
      <c r="C742" t="s">
        <v>1791</v>
      </c>
    </row>
    <row r="743" spans="1:3" ht="15" customHeight="1" x14ac:dyDescent="0.45">
      <c r="A743" t="s">
        <v>1792</v>
      </c>
      <c r="B743" s="8">
        <f>'EMCAP_Pricing Matrix'!M126</f>
        <v>9.7500000000000003E-2</v>
      </c>
      <c r="C743" t="s">
        <v>1793</v>
      </c>
    </row>
    <row r="744" spans="1:3" ht="15" customHeight="1" x14ac:dyDescent="0.45">
      <c r="A744" t="s">
        <v>1794</v>
      </c>
      <c r="B744" s="8">
        <f>'EMCAP_Pricing Matrix'!W126</f>
        <v>9.2499999999999999E-2</v>
      </c>
      <c r="C744" t="s">
        <v>1795</v>
      </c>
    </row>
    <row r="745" spans="1:3" ht="15" customHeight="1" x14ac:dyDescent="0.45">
      <c r="A745" t="s">
        <v>1796</v>
      </c>
      <c r="B745" s="8">
        <f>'EMCAP_Pricing Matrix'!X126</f>
        <v>9.5000000000000001E-2</v>
      </c>
      <c r="C745" t="s">
        <v>1797</v>
      </c>
    </row>
    <row r="746" spans="1:3" ht="15" customHeight="1" x14ac:dyDescent="0.45">
      <c r="A746" t="s">
        <v>1798</v>
      </c>
      <c r="B746" s="8">
        <f>'EMCAP_Pricing Matrix'!AG126</f>
        <v>9.7500000000000003E-2</v>
      </c>
      <c r="C746" t="s">
        <v>1799</v>
      </c>
    </row>
    <row r="747" spans="1:3" ht="15" customHeight="1" x14ac:dyDescent="0.45">
      <c r="A747" t="s">
        <v>1800</v>
      </c>
      <c r="B747" s="8">
        <f>'EMCAP_Pricing Matrix'!AQ126</f>
        <v>9.2499999999999999E-2</v>
      </c>
      <c r="C747" t="s">
        <v>1801</v>
      </c>
    </row>
    <row r="748" spans="1:3" ht="15" customHeight="1" x14ac:dyDescent="0.45">
      <c r="A748" t="s">
        <v>1802</v>
      </c>
      <c r="B748" s="8">
        <f>'EMCAP_Pricing Matrix'!AR126</f>
        <v>9.5000000000000001E-2</v>
      </c>
      <c r="C748" t="s">
        <v>1803</v>
      </c>
    </row>
    <row r="749" spans="1:3" ht="15" customHeight="1" x14ac:dyDescent="0.45">
      <c r="A749" t="s">
        <v>1804</v>
      </c>
      <c r="B749" s="8">
        <f>'EMCAP_Pricing Matrix'!C136</f>
        <v>9.5000000000000001E-2</v>
      </c>
      <c r="C749" t="s">
        <v>1805</v>
      </c>
    </row>
    <row r="750" spans="1:3" ht="15" customHeight="1" x14ac:dyDescent="0.45">
      <c r="A750" t="s">
        <v>1806</v>
      </c>
      <c r="B750" s="8">
        <f>'EMCAP_Pricing Matrix'!D136</f>
        <v>9.7500000000000003E-2</v>
      </c>
      <c r="C750" t="s">
        <v>1807</v>
      </c>
    </row>
    <row r="751" spans="1:3" ht="15" customHeight="1" x14ac:dyDescent="0.45">
      <c r="A751" t="s">
        <v>1808</v>
      </c>
      <c r="B751" s="8">
        <f>'EMCAP_Pricing Matrix'!W136</f>
        <v>9.5000000000000001E-2</v>
      </c>
      <c r="C751" t="s">
        <v>1809</v>
      </c>
    </row>
    <row r="752" spans="1:3" ht="15" customHeight="1" x14ac:dyDescent="0.45">
      <c r="A752" t="s">
        <v>1810</v>
      </c>
      <c r="B752" s="8">
        <f>'EMCAP_Pricing Matrix'!X136</f>
        <v>9.7500000000000003E-2</v>
      </c>
      <c r="C752" t="s">
        <v>1811</v>
      </c>
    </row>
    <row r="753" spans="1:3" ht="15" customHeight="1" x14ac:dyDescent="0.45">
      <c r="A753" t="s">
        <v>1812</v>
      </c>
      <c r="B753" s="8">
        <f>'EMCAP_Pricing Matrix'!AQ136</f>
        <v>9.5000000000000001E-2</v>
      </c>
      <c r="C753" t="s">
        <v>1813</v>
      </c>
    </row>
    <row r="754" spans="1:3" ht="15" customHeight="1" x14ac:dyDescent="0.45">
      <c r="A754" t="s">
        <v>1814</v>
      </c>
      <c r="B754" s="8">
        <f>'EMCAP_Pricing Matrix'!AR136</f>
        <v>9.7500000000000003E-2</v>
      </c>
      <c r="C754" t="s">
        <v>1815</v>
      </c>
    </row>
    <row r="755" spans="1:3" ht="15" customHeight="1" x14ac:dyDescent="0.45">
      <c r="A755" t="s">
        <v>1816</v>
      </c>
      <c r="B755" s="8">
        <f>'EMCAP_Pricing Matrix'!C137</f>
        <v>9.7500000000000003E-2</v>
      </c>
      <c r="C755" t="s">
        <v>1817</v>
      </c>
    </row>
    <row r="756" spans="1:3" ht="15" customHeight="1" x14ac:dyDescent="0.45">
      <c r="A756" t="s">
        <v>1818</v>
      </c>
      <c r="B756" s="8">
        <f>'EMCAP_Pricing Matrix'!D137</f>
        <v>0.1</v>
      </c>
      <c r="C756" t="s">
        <v>1819</v>
      </c>
    </row>
    <row r="757" spans="1:3" ht="15" customHeight="1" x14ac:dyDescent="0.45">
      <c r="A757" t="s">
        <v>1820</v>
      </c>
      <c r="B757" s="8">
        <f>'EMCAP_Pricing Matrix'!W137</f>
        <v>9.7500000000000003E-2</v>
      </c>
      <c r="C757" t="s">
        <v>1821</v>
      </c>
    </row>
    <row r="758" spans="1:3" ht="15" customHeight="1" x14ac:dyDescent="0.45">
      <c r="A758" t="s">
        <v>1822</v>
      </c>
      <c r="B758" s="8">
        <f>'EMCAP_Pricing Matrix'!X137</f>
        <v>0.1</v>
      </c>
      <c r="C758" t="s">
        <v>1823</v>
      </c>
    </row>
    <row r="759" spans="1:3" ht="15" customHeight="1" x14ac:dyDescent="0.45">
      <c r="A759" t="s">
        <v>1824</v>
      </c>
      <c r="B759" s="8">
        <f>'EMCAP_Pricing Matrix'!AQ137</f>
        <v>9.7500000000000003E-2</v>
      </c>
      <c r="C759" t="s">
        <v>1825</v>
      </c>
    </row>
    <row r="760" spans="1:3" ht="15" customHeight="1" x14ac:dyDescent="0.45">
      <c r="A760" t="s">
        <v>1826</v>
      </c>
      <c r="B760" s="8">
        <f>'EMCAP_Pricing Matrix'!AR137</f>
        <v>0.1</v>
      </c>
      <c r="C760" t="s">
        <v>1827</v>
      </c>
    </row>
    <row r="761" spans="1:3" ht="15" customHeight="1" x14ac:dyDescent="0.45">
      <c r="A761" t="s">
        <v>1828</v>
      </c>
      <c r="B761" s="8">
        <f>'EMCAP_Pricing Matrix'!C140</f>
        <v>9.2499999999999999E-2</v>
      </c>
      <c r="C761" t="s">
        <v>1829</v>
      </c>
    </row>
    <row r="762" spans="1:3" ht="15" customHeight="1" x14ac:dyDescent="0.45">
      <c r="A762" t="s">
        <v>1830</v>
      </c>
      <c r="B762" s="8">
        <f>'EMCAP_Pricing Matrix'!D140</f>
        <v>9.5000000000000001E-2</v>
      </c>
      <c r="C762" t="s">
        <v>1831</v>
      </c>
    </row>
    <row r="763" spans="1:3" ht="15" customHeight="1" x14ac:dyDescent="0.45">
      <c r="A763" t="s">
        <v>1832</v>
      </c>
      <c r="B763" s="8">
        <f>'EMCAP_Pricing Matrix'!M140</f>
        <v>0.105</v>
      </c>
      <c r="C763" t="s">
        <v>1833</v>
      </c>
    </row>
    <row r="764" spans="1:3" ht="15" customHeight="1" x14ac:dyDescent="0.45">
      <c r="A764" t="s">
        <v>1834</v>
      </c>
      <c r="B764" s="8">
        <f>'EMCAP_Pricing Matrix'!W140</f>
        <v>9.2499999999999999E-2</v>
      </c>
      <c r="C764" t="s">
        <v>1835</v>
      </c>
    </row>
    <row r="765" spans="1:3" ht="15" customHeight="1" x14ac:dyDescent="0.45">
      <c r="A765" t="s">
        <v>1836</v>
      </c>
      <c r="B765" s="8">
        <f>'EMCAP_Pricing Matrix'!X140</f>
        <v>9.5000000000000001E-2</v>
      </c>
      <c r="C765" t="s">
        <v>1837</v>
      </c>
    </row>
    <row r="766" spans="1:3" ht="15" customHeight="1" x14ac:dyDescent="0.45">
      <c r="A766" t="s">
        <v>1838</v>
      </c>
      <c r="B766" s="8">
        <f>'EMCAP_Pricing Matrix'!AG140</f>
        <v>0.105</v>
      </c>
      <c r="C766" t="s">
        <v>1839</v>
      </c>
    </row>
    <row r="767" spans="1:3" ht="15" customHeight="1" x14ac:dyDescent="0.45">
      <c r="A767" t="s">
        <v>1840</v>
      </c>
      <c r="B767" s="8">
        <f>'EMCAP_Pricing Matrix'!AQ140</f>
        <v>9.2499999999999999E-2</v>
      </c>
      <c r="C767" t="s">
        <v>1841</v>
      </c>
    </row>
    <row r="768" spans="1:3" ht="15" customHeight="1" x14ac:dyDescent="0.45">
      <c r="A768" t="s">
        <v>1842</v>
      </c>
      <c r="B768" s="8">
        <f>'EMCAP_Pricing Matrix'!AR140</f>
        <v>9.5000000000000001E-2</v>
      </c>
      <c r="C768" t="s">
        <v>1843</v>
      </c>
    </row>
    <row r="769" spans="1:3" ht="15" customHeight="1" x14ac:dyDescent="0.45">
      <c r="A769" t="s">
        <v>1844</v>
      </c>
      <c r="B769" s="8">
        <f>'EMCAP_Pricing Matrix'!C141</f>
        <v>9.5000000000000001E-2</v>
      </c>
      <c r="C769" t="s">
        <v>1845</v>
      </c>
    </row>
    <row r="770" spans="1:3" ht="15" customHeight="1" x14ac:dyDescent="0.45">
      <c r="A770" t="s">
        <v>1846</v>
      </c>
      <c r="B770" s="8">
        <f>'EMCAP_Pricing Matrix'!D141</f>
        <v>9.7500000000000003E-2</v>
      </c>
      <c r="C770" t="s">
        <v>1847</v>
      </c>
    </row>
    <row r="771" spans="1:3" ht="15" customHeight="1" x14ac:dyDescent="0.45">
      <c r="A771" t="s">
        <v>1848</v>
      </c>
      <c r="B771" s="8">
        <f>'EMCAP_Pricing Matrix'!M141</f>
        <v>0.1075</v>
      </c>
      <c r="C771" t="s">
        <v>1849</v>
      </c>
    </row>
    <row r="772" spans="1:3" ht="15" customHeight="1" x14ac:dyDescent="0.45">
      <c r="A772" t="s">
        <v>1850</v>
      </c>
      <c r="B772" s="8">
        <f>'EMCAP_Pricing Matrix'!W141</f>
        <v>9.5000000000000001E-2</v>
      </c>
      <c r="C772" t="s">
        <v>1851</v>
      </c>
    </row>
    <row r="773" spans="1:3" ht="15" customHeight="1" x14ac:dyDescent="0.45">
      <c r="A773" t="s">
        <v>1852</v>
      </c>
      <c r="B773" s="8">
        <f>'EMCAP_Pricing Matrix'!X141</f>
        <v>9.7500000000000003E-2</v>
      </c>
      <c r="C773" t="s">
        <v>1853</v>
      </c>
    </row>
    <row r="774" spans="1:3" ht="15" customHeight="1" x14ac:dyDescent="0.45">
      <c r="A774" t="s">
        <v>1854</v>
      </c>
      <c r="B774" s="8">
        <f>'EMCAP_Pricing Matrix'!AG141</f>
        <v>0.1075</v>
      </c>
      <c r="C774" t="s">
        <v>1855</v>
      </c>
    </row>
    <row r="775" spans="1:3" ht="15" customHeight="1" x14ac:dyDescent="0.45">
      <c r="A775" t="s">
        <v>1856</v>
      </c>
      <c r="B775" s="8">
        <f>'EMCAP_Pricing Matrix'!AQ141</f>
        <v>9.5000000000000001E-2</v>
      </c>
      <c r="C775" t="s">
        <v>1857</v>
      </c>
    </row>
    <row r="776" spans="1:3" ht="15" customHeight="1" x14ac:dyDescent="0.45">
      <c r="A776" t="s">
        <v>1858</v>
      </c>
      <c r="B776" s="8">
        <f>'EMCAP_Pricing Matrix'!AR141</f>
        <v>9.7500000000000003E-2</v>
      </c>
      <c r="C776" t="s">
        <v>1859</v>
      </c>
    </row>
    <row r="777" spans="1:3" ht="15" customHeight="1" x14ac:dyDescent="0.45">
      <c r="A777" t="s">
        <v>1860</v>
      </c>
      <c r="B777" s="8">
        <f>'EMCAP_Pricing Matrix'!C144</f>
        <v>0.09</v>
      </c>
      <c r="C777" t="s">
        <v>1861</v>
      </c>
    </row>
    <row r="778" spans="1:3" ht="15" customHeight="1" x14ac:dyDescent="0.45">
      <c r="A778" t="s">
        <v>1862</v>
      </c>
      <c r="B778" s="8">
        <f>'EMCAP_Pricing Matrix'!D144</f>
        <v>9.2499999999999999E-2</v>
      </c>
      <c r="C778" t="s">
        <v>1863</v>
      </c>
    </row>
    <row r="779" spans="1:3" ht="15" customHeight="1" x14ac:dyDescent="0.45">
      <c r="A779" t="s">
        <v>1864</v>
      </c>
      <c r="B779" s="8">
        <f>'EMCAP_Pricing Matrix'!M144</f>
        <v>0.10249999999999999</v>
      </c>
      <c r="C779" t="s">
        <v>1865</v>
      </c>
    </row>
    <row r="780" spans="1:3" ht="15" customHeight="1" x14ac:dyDescent="0.45">
      <c r="A780" t="s">
        <v>1866</v>
      </c>
      <c r="B780" s="8">
        <f>'EMCAP_Pricing Matrix'!W144</f>
        <v>0.09</v>
      </c>
      <c r="C780" t="s">
        <v>1867</v>
      </c>
    </row>
    <row r="781" spans="1:3" ht="15" customHeight="1" x14ac:dyDescent="0.45">
      <c r="A781" t="s">
        <v>1868</v>
      </c>
      <c r="B781" s="8">
        <f>'EMCAP_Pricing Matrix'!X144</f>
        <v>9.2499999999999999E-2</v>
      </c>
      <c r="C781" t="s">
        <v>1869</v>
      </c>
    </row>
    <row r="782" spans="1:3" ht="15" customHeight="1" x14ac:dyDescent="0.45">
      <c r="A782" t="s">
        <v>1870</v>
      </c>
      <c r="B782" s="8">
        <f>'EMCAP_Pricing Matrix'!AG144</f>
        <v>0.10249999999999999</v>
      </c>
      <c r="C782" t="s">
        <v>1871</v>
      </c>
    </row>
    <row r="783" spans="1:3" ht="15" customHeight="1" x14ac:dyDescent="0.45">
      <c r="A783" t="s">
        <v>1872</v>
      </c>
      <c r="B783" s="8">
        <f>'EMCAP_Pricing Matrix'!AQ144</f>
        <v>0.09</v>
      </c>
      <c r="C783" t="s">
        <v>1873</v>
      </c>
    </row>
    <row r="784" spans="1:3" ht="15" customHeight="1" x14ac:dyDescent="0.45">
      <c r="A784" t="s">
        <v>1874</v>
      </c>
      <c r="B784" s="8">
        <f>'EMCAP_Pricing Matrix'!AR144</f>
        <v>9.2499999999999999E-2</v>
      </c>
      <c r="C784" t="s">
        <v>1875</v>
      </c>
    </row>
    <row r="785" spans="1:3" ht="15" customHeight="1" x14ac:dyDescent="0.45">
      <c r="A785" t="s">
        <v>1876</v>
      </c>
      <c r="B785" s="8">
        <f>'EMCAP_Pricing Matrix'!C145</f>
        <v>9.2499999999999999E-2</v>
      </c>
      <c r="C785" t="s">
        <v>1877</v>
      </c>
    </row>
    <row r="786" spans="1:3" ht="15" customHeight="1" x14ac:dyDescent="0.45">
      <c r="A786" t="s">
        <v>1878</v>
      </c>
      <c r="B786" s="8">
        <f>'EMCAP_Pricing Matrix'!D145</f>
        <v>9.5000000000000001E-2</v>
      </c>
      <c r="C786" t="s">
        <v>1879</v>
      </c>
    </row>
    <row r="787" spans="1:3" ht="15" customHeight="1" x14ac:dyDescent="0.45">
      <c r="A787" t="s">
        <v>1880</v>
      </c>
      <c r="B787" s="8">
        <f>'EMCAP_Pricing Matrix'!M145</f>
        <v>0.105</v>
      </c>
      <c r="C787" t="s">
        <v>1881</v>
      </c>
    </row>
    <row r="788" spans="1:3" ht="15" customHeight="1" x14ac:dyDescent="0.45">
      <c r="A788" t="s">
        <v>1882</v>
      </c>
      <c r="B788" s="8">
        <f>'EMCAP_Pricing Matrix'!W145</f>
        <v>9.2499999999999999E-2</v>
      </c>
      <c r="C788" t="s">
        <v>1883</v>
      </c>
    </row>
    <row r="789" spans="1:3" ht="15" customHeight="1" x14ac:dyDescent="0.45">
      <c r="A789" t="s">
        <v>1884</v>
      </c>
      <c r="B789" s="8">
        <f>'EMCAP_Pricing Matrix'!X145</f>
        <v>9.5000000000000001E-2</v>
      </c>
      <c r="C789" t="s">
        <v>1885</v>
      </c>
    </row>
    <row r="790" spans="1:3" ht="15" customHeight="1" x14ac:dyDescent="0.45">
      <c r="A790" t="s">
        <v>1886</v>
      </c>
      <c r="B790" s="8">
        <f>'EMCAP_Pricing Matrix'!AG145</f>
        <v>0.105</v>
      </c>
      <c r="C790" t="s">
        <v>1887</v>
      </c>
    </row>
    <row r="791" spans="1:3" ht="15" customHeight="1" x14ac:dyDescent="0.45">
      <c r="A791" t="s">
        <v>1888</v>
      </c>
      <c r="B791" s="8">
        <f>'EMCAP_Pricing Matrix'!AQ145</f>
        <v>9.2499999999999999E-2</v>
      </c>
      <c r="C791" t="s">
        <v>1889</v>
      </c>
    </row>
    <row r="792" spans="1:3" ht="15" customHeight="1" x14ac:dyDescent="0.45">
      <c r="A792" t="s">
        <v>1890</v>
      </c>
      <c r="B792" s="8">
        <f>'EMCAP_Pricing Matrix'!AR145</f>
        <v>9.5000000000000001E-2</v>
      </c>
      <c r="C792" t="s">
        <v>1891</v>
      </c>
    </row>
    <row r="793" spans="1:3" ht="15" customHeight="1" x14ac:dyDescent="0.45">
      <c r="A793" t="s">
        <v>1892</v>
      </c>
      <c r="B793" s="8">
        <f>'EMCAP_Pricing Matrix'!C156</f>
        <v>0.10500000000000001</v>
      </c>
      <c r="C793" t="s">
        <v>1893</v>
      </c>
    </row>
    <row r="794" spans="1:3" ht="15" customHeight="1" x14ac:dyDescent="0.45">
      <c r="A794" t="s">
        <v>1894</v>
      </c>
      <c r="B794" s="8">
        <f>'EMCAP_Pricing Matrix'!W156</f>
        <v>0.10500000000000001</v>
      </c>
      <c r="C794" t="s">
        <v>1895</v>
      </c>
    </row>
    <row r="795" spans="1:3" ht="15" customHeight="1" x14ac:dyDescent="0.45">
      <c r="A795" t="s">
        <v>1896</v>
      </c>
      <c r="B795" s="8">
        <f>'EMCAP_Pricing Matrix'!AQ156</f>
        <v>0.10500000000000001</v>
      </c>
      <c r="C795" t="s">
        <v>1897</v>
      </c>
    </row>
    <row r="796" spans="1:3" ht="15" customHeight="1" x14ac:dyDescent="0.45">
      <c r="A796" t="s">
        <v>1898</v>
      </c>
      <c r="B796" s="8">
        <f>'EMCAP_Pricing Matrix'!C157</f>
        <v>0.10750000000000001</v>
      </c>
      <c r="C796" t="s">
        <v>1899</v>
      </c>
    </row>
    <row r="797" spans="1:3" ht="15" customHeight="1" x14ac:dyDescent="0.45">
      <c r="A797" t="s">
        <v>1900</v>
      </c>
      <c r="B797" s="8">
        <f>'EMCAP_Pricing Matrix'!W157</f>
        <v>0.10750000000000001</v>
      </c>
      <c r="C797" t="s">
        <v>1901</v>
      </c>
    </row>
    <row r="798" spans="1:3" ht="15" customHeight="1" x14ac:dyDescent="0.45">
      <c r="A798" t="s">
        <v>1902</v>
      </c>
      <c r="B798" s="8">
        <f>'EMCAP_Pricing Matrix'!AQ157</f>
        <v>0.10750000000000001</v>
      </c>
      <c r="C798" t="s">
        <v>1903</v>
      </c>
    </row>
    <row r="799" spans="1:3" ht="15" customHeight="1" x14ac:dyDescent="0.45">
      <c r="A799" t="s">
        <v>1904</v>
      </c>
      <c r="B799" s="8">
        <f>'EMCAP_Pricing Matrix'!C160</f>
        <v>0.10250000000000001</v>
      </c>
      <c r="C799" t="s">
        <v>1905</v>
      </c>
    </row>
    <row r="800" spans="1:3" ht="15" customHeight="1" x14ac:dyDescent="0.45">
      <c r="A800" t="s">
        <v>1906</v>
      </c>
      <c r="B800" s="8">
        <f>'EMCAP_Pricing Matrix'!W160</f>
        <v>0.10250000000000001</v>
      </c>
      <c r="C800" t="s">
        <v>1907</v>
      </c>
    </row>
    <row r="801" spans="1:3" ht="15" customHeight="1" x14ac:dyDescent="0.45">
      <c r="A801" t="s">
        <v>1908</v>
      </c>
      <c r="B801" s="8">
        <f>'EMCAP_Pricing Matrix'!AQ160</f>
        <v>0.10250000000000001</v>
      </c>
      <c r="C801" t="s">
        <v>1909</v>
      </c>
    </row>
    <row r="802" spans="1:3" ht="15" customHeight="1" x14ac:dyDescent="0.45">
      <c r="A802" t="s">
        <v>1910</v>
      </c>
      <c r="B802" s="8">
        <f>'EMCAP_Pricing Matrix'!C161</f>
        <v>0.10500000000000001</v>
      </c>
      <c r="C802" t="s">
        <v>1911</v>
      </c>
    </row>
    <row r="803" spans="1:3" ht="15" customHeight="1" x14ac:dyDescent="0.45">
      <c r="A803" t="s">
        <v>1912</v>
      </c>
      <c r="B803" s="8">
        <f>'EMCAP_Pricing Matrix'!W161</f>
        <v>0.10500000000000001</v>
      </c>
      <c r="C803" t="s">
        <v>1913</v>
      </c>
    </row>
    <row r="804" spans="1:3" ht="15" customHeight="1" x14ac:dyDescent="0.45">
      <c r="A804" t="s">
        <v>1914</v>
      </c>
      <c r="B804" s="8">
        <f>'EMCAP_Pricing Matrix'!AQ161</f>
        <v>0.10500000000000001</v>
      </c>
      <c r="C804" t="s">
        <v>1915</v>
      </c>
    </row>
    <row r="805" spans="1:3" ht="15" customHeight="1" x14ac:dyDescent="0.45">
      <c r="A805" t="s">
        <v>1916</v>
      </c>
      <c r="B805" s="8">
        <f>'EMCAP_Pricing Matrix'!C164</f>
        <v>0.1</v>
      </c>
      <c r="C805" t="s">
        <v>1917</v>
      </c>
    </row>
    <row r="806" spans="1:3" ht="15" customHeight="1" x14ac:dyDescent="0.45">
      <c r="A806" t="s">
        <v>1918</v>
      </c>
      <c r="B806" s="8">
        <f>'EMCAP_Pricing Matrix'!M164</f>
        <v>0.1125</v>
      </c>
      <c r="C806" t="s">
        <v>1919</v>
      </c>
    </row>
    <row r="807" spans="1:3" ht="15" customHeight="1" x14ac:dyDescent="0.45">
      <c r="A807" t="s">
        <v>1920</v>
      </c>
      <c r="B807" s="8">
        <f>'EMCAP_Pricing Matrix'!W164</f>
        <v>0.1</v>
      </c>
      <c r="C807" t="s">
        <v>1921</v>
      </c>
    </row>
    <row r="808" spans="1:3" ht="15" customHeight="1" x14ac:dyDescent="0.45">
      <c r="A808" t="s">
        <v>1922</v>
      </c>
      <c r="B808" s="8">
        <f>'EMCAP_Pricing Matrix'!AG164</f>
        <v>0.1125</v>
      </c>
      <c r="C808" t="s">
        <v>1923</v>
      </c>
    </row>
    <row r="809" spans="1:3" ht="15" customHeight="1" x14ac:dyDescent="0.45">
      <c r="A809" t="s">
        <v>1924</v>
      </c>
      <c r="B809" s="8">
        <f>'EMCAP_Pricing Matrix'!AQ164</f>
        <v>0.1</v>
      </c>
      <c r="C809" t="s">
        <v>1925</v>
      </c>
    </row>
    <row r="810" spans="1:3" ht="15" customHeight="1" x14ac:dyDescent="0.45">
      <c r="A810" t="s">
        <v>1926</v>
      </c>
      <c r="B810" s="8">
        <f>'EMCAP_Pricing Matrix'!C165</f>
        <v>0.10250000000000001</v>
      </c>
      <c r="C810" t="s">
        <v>1927</v>
      </c>
    </row>
    <row r="811" spans="1:3" ht="15" customHeight="1" x14ac:dyDescent="0.45">
      <c r="A811" t="s">
        <v>1928</v>
      </c>
      <c r="B811" s="8">
        <f>'EMCAP_Pricing Matrix'!M165</f>
        <v>0.115</v>
      </c>
      <c r="C811" t="s">
        <v>1929</v>
      </c>
    </row>
    <row r="812" spans="1:3" ht="15" customHeight="1" x14ac:dyDescent="0.45">
      <c r="A812" t="s">
        <v>1930</v>
      </c>
      <c r="B812" s="8">
        <f>'EMCAP_Pricing Matrix'!W165</f>
        <v>0.10250000000000001</v>
      </c>
      <c r="C812" t="s">
        <v>1931</v>
      </c>
    </row>
    <row r="813" spans="1:3" ht="15" customHeight="1" x14ac:dyDescent="0.45">
      <c r="A813" t="s">
        <v>1932</v>
      </c>
      <c r="B813" s="8">
        <f>'EMCAP_Pricing Matrix'!AG165</f>
        <v>0.115</v>
      </c>
      <c r="C813" t="s">
        <v>1933</v>
      </c>
    </row>
    <row r="814" spans="1:3" ht="15" customHeight="1" x14ac:dyDescent="0.45">
      <c r="A814" t="s">
        <v>1934</v>
      </c>
      <c r="B814" s="8">
        <f>'EMCAP_Pricing Matrix'!AQ165</f>
        <v>0.10250000000000001</v>
      </c>
      <c r="C814" t="s">
        <v>1935</v>
      </c>
    </row>
    <row r="815" spans="1:3" ht="15" customHeight="1" x14ac:dyDescent="0.45">
      <c r="A815" t="s">
        <v>1936</v>
      </c>
      <c r="B815" s="8">
        <f>'EMCAP_Pricing Matrix'!C177</f>
        <v>8.5000000000000006E-2</v>
      </c>
      <c r="C815" t="s">
        <v>1937</v>
      </c>
    </row>
    <row r="816" spans="1:3" ht="15" customHeight="1" x14ac:dyDescent="0.45">
      <c r="A816" t="s">
        <v>1938</v>
      </c>
      <c r="B816" s="8">
        <f>'EMCAP_Pricing Matrix'!D177</f>
        <v>8.6250000000000007E-2</v>
      </c>
      <c r="C816" t="s">
        <v>1939</v>
      </c>
    </row>
    <row r="817" spans="1:3" ht="15" customHeight="1" x14ac:dyDescent="0.45">
      <c r="A817" t="s">
        <v>1940</v>
      </c>
      <c r="B817" s="8">
        <f>'EMCAP_Pricing Matrix'!E177</f>
        <v>8.7500000000000008E-2</v>
      </c>
      <c r="C817" t="s">
        <v>1941</v>
      </c>
    </row>
    <row r="818" spans="1:3" ht="15" customHeight="1" x14ac:dyDescent="0.45">
      <c r="A818" t="s">
        <v>1942</v>
      </c>
      <c r="B818" s="8">
        <f>'EMCAP_Pricing Matrix'!F177</f>
        <v>8.8750000000000009E-2</v>
      </c>
      <c r="C818" t="s">
        <v>1943</v>
      </c>
    </row>
    <row r="819" spans="1:3" ht="15" customHeight="1" x14ac:dyDescent="0.45">
      <c r="A819" t="s">
        <v>1944</v>
      </c>
      <c r="B819" s="8">
        <f>'EMCAP_Pricing Matrix'!G177</f>
        <v>9.0000000000000011E-2</v>
      </c>
      <c r="C819" t="s">
        <v>1945</v>
      </c>
    </row>
    <row r="820" spans="1:3" ht="15" customHeight="1" x14ac:dyDescent="0.45">
      <c r="A820" t="s">
        <v>1946</v>
      </c>
      <c r="B820" s="8">
        <f>'EMCAP_Pricing Matrix'!H177</f>
        <v>9.0000000000000011E-2</v>
      </c>
      <c r="C820" t="s">
        <v>1947</v>
      </c>
    </row>
    <row r="821" spans="1:3" ht="15" customHeight="1" x14ac:dyDescent="0.45">
      <c r="A821" t="s">
        <v>1948</v>
      </c>
      <c r="B821" s="8">
        <f>'EMCAP_Pricing Matrix'!M177</f>
        <v>0.11</v>
      </c>
      <c r="C821" t="s">
        <v>1949</v>
      </c>
    </row>
    <row r="822" spans="1:3" ht="15" customHeight="1" x14ac:dyDescent="0.45">
      <c r="A822" t="s">
        <v>1950</v>
      </c>
      <c r="B822" s="8">
        <f>'EMCAP_Pricing Matrix'!N177</f>
        <v>0.1125</v>
      </c>
      <c r="C822" t="s">
        <v>1951</v>
      </c>
    </row>
    <row r="823" spans="1:3" ht="15" customHeight="1" x14ac:dyDescent="0.45">
      <c r="A823" t="s">
        <v>1952</v>
      </c>
      <c r="B823" s="8">
        <f>'EMCAP_Pricing Matrix'!O177</f>
        <v>0.115</v>
      </c>
      <c r="C823" t="s">
        <v>1953</v>
      </c>
    </row>
    <row r="824" spans="1:3" ht="15" customHeight="1" x14ac:dyDescent="0.45">
      <c r="A824" t="s">
        <v>1954</v>
      </c>
      <c r="B824" s="8">
        <f>'EMCAP_Pricing Matrix'!W177</f>
        <v>8.6250000000000007E-2</v>
      </c>
      <c r="C824" t="s">
        <v>1955</v>
      </c>
    </row>
    <row r="825" spans="1:3" ht="15" customHeight="1" x14ac:dyDescent="0.45">
      <c r="A825" t="s">
        <v>1956</v>
      </c>
      <c r="B825" s="8">
        <f>'EMCAP_Pricing Matrix'!X177</f>
        <v>8.7500000000000008E-2</v>
      </c>
      <c r="C825" t="s">
        <v>1957</v>
      </c>
    </row>
    <row r="826" spans="1:3" ht="15" customHeight="1" x14ac:dyDescent="0.45">
      <c r="A826" t="s">
        <v>1958</v>
      </c>
      <c r="B826" s="8">
        <f>'EMCAP_Pricing Matrix'!Y177</f>
        <v>8.8750000000000009E-2</v>
      </c>
      <c r="C826" t="s">
        <v>1959</v>
      </c>
    </row>
    <row r="827" spans="1:3" ht="15" customHeight="1" x14ac:dyDescent="0.45">
      <c r="A827" t="s">
        <v>1960</v>
      </c>
      <c r="B827" s="8">
        <f>'EMCAP_Pricing Matrix'!Z177</f>
        <v>9.0000000000000011E-2</v>
      </c>
      <c r="C827" t="s">
        <v>1961</v>
      </c>
    </row>
    <row r="828" spans="1:3" ht="15" customHeight="1" x14ac:dyDescent="0.45">
      <c r="A828" t="s">
        <v>1962</v>
      </c>
      <c r="B828" s="8">
        <f>'EMCAP_Pricing Matrix'!AA177</f>
        <v>9.1250000000000012E-2</v>
      </c>
      <c r="C828" t="s">
        <v>1963</v>
      </c>
    </row>
    <row r="829" spans="1:3" ht="15" customHeight="1" x14ac:dyDescent="0.45">
      <c r="A829" t="s">
        <v>1964</v>
      </c>
      <c r="B829" s="8">
        <f>'EMCAP_Pricing Matrix'!AB177</f>
        <v>9.1250000000000012E-2</v>
      </c>
      <c r="C829" t="s">
        <v>1965</v>
      </c>
    </row>
    <row r="830" spans="1:3" ht="15" customHeight="1" x14ac:dyDescent="0.45">
      <c r="A830" t="s">
        <v>1966</v>
      </c>
      <c r="B830" s="8">
        <f>'EMCAP_Pricing Matrix'!AG177</f>
        <v>0.11125</v>
      </c>
      <c r="C830" t="s">
        <v>1967</v>
      </c>
    </row>
    <row r="831" spans="1:3" ht="15" customHeight="1" x14ac:dyDescent="0.45">
      <c r="A831" t="s">
        <v>1968</v>
      </c>
      <c r="B831" s="8">
        <f>'EMCAP_Pricing Matrix'!AH177</f>
        <v>0.11375</v>
      </c>
      <c r="C831" t="s">
        <v>1969</v>
      </c>
    </row>
    <row r="832" spans="1:3" ht="15" customHeight="1" x14ac:dyDescent="0.45">
      <c r="A832" t="s">
        <v>1970</v>
      </c>
      <c r="B832" s="8">
        <f>'EMCAP_Pricing Matrix'!AI177</f>
        <v>0.11625000000000001</v>
      </c>
      <c r="C832" t="s">
        <v>1971</v>
      </c>
    </row>
    <row r="833" spans="1:3" ht="15" customHeight="1" x14ac:dyDescent="0.45">
      <c r="A833" t="s">
        <v>1972</v>
      </c>
      <c r="B833" s="8">
        <f>'EMCAP_Pricing Matrix'!AQ177</f>
        <v>8.7500000000000008E-2</v>
      </c>
      <c r="C833" t="s">
        <v>1973</v>
      </c>
    </row>
    <row r="834" spans="1:3" ht="15" customHeight="1" x14ac:dyDescent="0.45">
      <c r="A834" t="s">
        <v>1974</v>
      </c>
      <c r="B834" s="8">
        <f>'EMCAP_Pricing Matrix'!AR177</f>
        <v>8.8750000000000009E-2</v>
      </c>
      <c r="C834" t="s">
        <v>1975</v>
      </c>
    </row>
    <row r="835" spans="1:3" ht="15" customHeight="1" x14ac:dyDescent="0.45">
      <c r="A835" t="s">
        <v>1976</v>
      </c>
      <c r="B835" s="8">
        <f>'EMCAP_Pricing Matrix'!AS177</f>
        <v>9.0000000000000011E-2</v>
      </c>
      <c r="C835" t="s">
        <v>1977</v>
      </c>
    </row>
    <row r="836" spans="1:3" ht="15" customHeight="1" x14ac:dyDescent="0.45">
      <c r="A836" t="s">
        <v>1978</v>
      </c>
      <c r="B836" s="8">
        <f>'EMCAP_Pricing Matrix'!AT177</f>
        <v>9.1250000000000012E-2</v>
      </c>
      <c r="C836" t="s">
        <v>1979</v>
      </c>
    </row>
    <row r="837" spans="1:3" ht="15" customHeight="1" x14ac:dyDescent="0.45">
      <c r="A837" t="s">
        <v>1980</v>
      </c>
      <c r="B837" s="8">
        <f>'EMCAP_Pricing Matrix'!AU177</f>
        <v>9.2500000000000013E-2</v>
      </c>
      <c r="C837" t="s">
        <v>1981</v>
      </c>
    </row>
    <row r="838" spans="1:3" ht="15" customHeight="1" x14ac:dyDescent="0.45">
      <c r="A838" t="s">
        <v>1982</v>
      </c>
      <c r="B838" s="8">
        <f>'EMCAP_Pricing Matrix'!AV177</f>
        <v>9.2500000000000013E-2</v>
      </c>
      <c r="C838" t="s">
        <v>1983</v>
      </c>
    </row>
    <row r="839" spans="1:3" ht="15" customHeight="1" x14ac:dyDescent="0.45">
      <c r="A839" t="s">
        <v>1984</v>
      </c>
      <c r="B839" s="8">
        <f>'EMCAP_Pricing Matrix'!C178</f>
        <v>9.0000000000000011E-2</v>
      </c>
      <c r="C839" t="s">
        <v>1985</v>
      </c>
    </row>
    <row r="840" spans="1:3" ht="15" customHeight="1" x14ac:dyDescent="0.45">
      <c r="A840" t="s">
        <v>1986</v>
      </c>
      <c r="B840" s="8">
        <f>'EMCAP_Pricing Matrix'!D178</f>
        <v>9.1250000000000012E-2</v>
      </c>
      <c r="C840" t="s">
        <v>1987</v>
      </c>
    </row>
    <row r="841" spans="1:3" ht="15" customHeight="1" x14ac:dyDescent="0.45">
      <c r="A841" t="s">
        <v>1988</v>
      </c>
      <c r="B841" s="8">
        <f>'EMCAP_Pricing Matrix'!E178</f>
        <v>9.2500000000000013E-2</v>
      </c>
      <c r="C841" t="s">
        <v>1989</v>
      </c>
    </row>
    <row r="842" spans="1:3" ht="15" customHeight="1" x14ac:dyDescent="0.45">
      <c r="A842" t="s">
        <v>1990</v>
      </c>
      <c r="B842" s="8">
        <f>'EMCAP_Pricing Matrix'!F178</f>
        <v>9.3750000000000014E-2</v>
      </c>
      <c r="C842" t="s">
        <v>1991</v>
      </c>
    </row>
    <row r="843" spans="1:3" ht="15" customHeight="1" x14ac:dyDescent="0.45">
      <c r="A843" t="s">
        <v>1992</v>
      </c>
      <c r="B843" s="8">
        <f>'EMCAP_Pricing Matrix'!G178</f>
        <v>9.5000000000000015E-2</v>
      </c>
      <c r="C843" t="s">
        <v>1993</v>
      </c>
    </row>
    <row r="844" spans="1:3" ht="15" customHeight="1" x14ac:dyDescent="0.45">
      <c r="A844" t="s">
        <v>1994</v>
      </c>
      <c r="B844" s="8">
        <f>'EMCAP_Pricing Matrix'!M178</f>
        <v>0.1125</v>
      </c>
      <c r="C844" t="s">
        <v>1995</v>
      </c>
    </row>
    <row r="845" spans="1:3" ht="15" customHeight="1" x14ac:dyDescent="0.45">
      <c r="A845" t="s">
        <v>1996</v>
      </c>
      <c r="B845" s="8">
        <f>'EMCAP_Pricing Matrix'!N178</f>
        <v>0.115</v>
      </c>
      <c r="C845" t="s">
        <v>1997</v>
      </c>
    </row>
    <row r="846" spans="1:3" ht="15" customHeight="1" x14ac:dyDescent="0.45">
      <c r="A846" t="s">
        <v>1998</v>
      </c>
      <c r="B846" s="8">
        <f>'EMCAP_Pricing Matrix'!O178</f>
        <v>0.11750000000000001</v>
      </c>
      <c r="C846" t="s">
        <v>1999</v>
      </c>
    </row>
    <row r="847" spans="1:3" ht="15" customHeight="1" x14ac:dyDescent="0.45">
      <c r="A847" t="s">
        <v>2000</v>
      </c>
      <c r="B847" s="8">
        <f>'EMCAP_Pricing Matrix'!W178</f>
        <v>9.1250000000000012E-2</v>
      </c>
      <c r="C847" t="s">
        <v>2001</v>
      </c>
    </row>
    <row r="848" spans="1:3" ht="15" customHeight="1" x14ac:dyDescent="0.45">
      <c r="A848" t="s">
        <v>2002</v>
      </c>
      <c r="B848" s="8">
        <f>'EMCAP_Pricing Matrix'!X178</f>
        <v>9.2500000000000013E-2</v>
      </c>
      <c r="C848" t="s">
        <v>2003</v>
      </c>
    </row>
    <row r="849" spans="1:3" ht="15" customHeight="1" x14ac:dyDescent="0.45">
      <c r="A849" t="s">
        <v>2004</v>
      </c>
      <c r="B849" s="8">
        <f>'EMCAP_Pricing Matrix'!Y178</f>
        <v>9.3750000000000014E-2</v>
      </c>
      <c r="C849" t="s">
        <v>2005</v>
      </c>
    </row>
    <row r="850" spans="1:3" ht="15" customHeight="1" x14ac:dyDescent="0.45">
      <c r="A850" t="s">
        <v>2006</v>
      </c>
      <c r="B850" s="8">
        <f>'EMCAP_Pricing Matrix'!Z178</f>
        <v>9.5000000000000015E-2</v>
      </c>
      <c r="C850" t="s">
        <v>2007</v>
      </c>
    </row>
    <row r="851" spans="1:3" ht="15" customHeight="1" x14ac:dyDescent="0.45">
      <c r="A851" t="s">
        <v>2008</v>
      </c>
      <c r="B851" s="8">
        <f>'EMCAP_Pricing Matrix'!AA178</f>
        <v>9.6250000000000016E-2</v>
      </c>
      <c r="C851" t="s">
        <v>2009</v>
      </c>
    </row>
    <row r="852" spans="1:3" ht="15" customHeight="1" x14ac:dyDescent="0.45">
      <c r="A852" t="s">
        <v>2010</v>
      </c>
      <c r="B852" s="8">
        <f>'EMCAP_Pricing Matrix'!AG178</f>
        <v>0.11625000000000001</v>
      </c>
      <c r="C852" t="s">
        <v>2011</v>
      </c>
    </row>
    <row r="853" spans="1:3" ht="15" customHeight="1" x14ac:dyDescent="0.45">
      <c r="A853" t="s">
        <v>2012</v>
      </c>
      <c r="B853" s="8">
        <f>'EMCAP_Pricing Matrix'!AH178</f>
        <v>0.11875000000000001</v>
      </c>
      <c r="C853" t="s">
        <v>2013</v>
      </c>
    </row>
    <row r="854" spans="1:3" ht="15" customHeight="1" x14ac:dyDescent="0.45">
      <c r="A854" t="s">
        <v>2014</v>
      </c>
      <c r="B854" s="8">
        <f>'EMCAP_Pricing Matrix'!AI178</f>
        <v>0.12125000000000001</v>
      </c>
      <c r="C854" t="s">
        <v>2015</v>
      </c>
    </row>
    <row r="855" spans="1:3" ht="15" customHeight="1" x14ac:dyDescent="0.45">
      <c r="A855" t="s">
        <v>2016</v>
      </c>
      <c r="B855" s="8">
        <f>'EMCAP_Pricing Matrix'!AQ178</f>
        <v>9.2500000000000013E-2</v>
      </c>
      <c r="C855" t="s">
        <v>2017</v>
      </c>
    </row>
    <row r="856" spans="1:3" ht="15" customHeight="1" x14ac:dyDescent="0.45">
      <c r="A856" t="s">
        <v>2018</v>
      </c>
      <c r="B856" s="8">
        <f>'EMCAP_Pricing Matrix'!AR178</f>
        <v>9.3750000000000014E-2</v>
      </c>
      <c r="C856" t="s">
        <v>2019</v>
      </c>
    </row>
    <row r="857" spans="1:3" ht="15" customHeight="1" x14ac:dyDescent="0.45">
      <c r="A857" t="s">
        <v>2020</v>
      </c>
      <c r="B857" s="8">
        <f>'EMCAP_Pricing Matrix'!AS178</f>
        <v>9.5000000000000015E-2</v>
      </c>
      <c r="C857" t="s">
        <v>2021</v>
      </c>
    </row>
    <row r="858" spans="1:3" ht="15" customHeight="1" x14ac:dyDescent="0.45">
      <c r="A858" t="s">
        <v>2022</v>
      </c>
      <c r="B858" s="8">
        <f>'EMCAP_Pricing Matrix'!AT178</f>
        <v>9.6250000000000016E-2</v>
      </c>
      <c r="C858" t="s">
        <v>2023</v>
      </c>
    </row>
    <row r="859" spans="1:3" ht="15" customHeight="1" x14ac:dyDescent="0.45">
      <c r="A859" t="s">
        <v>2024</v>
      </c>
      <c r="B859" s="8">
        <f>'EMCAP_Pricing Matrix'!AU178</f>
        <v>9.7500000000000017E-2</v>
      </c>
      <c r="C859" t="s">
        <v>2025</v>
      </c>
    </row>
    <row r="860" spans="1:3" ht="15" customHeight="1" x14ac:dyDescent="0.45">
      <c r="A860" t="s">
        <v>2026</v>
      </c>
      <c r="B860" s="8">
        <f>'EMCAP_Pricing Matrix'!C181</f>
        <v>8.3750000000000005E-2</v>
      </c>
      <c r="C860" t="s">
        <v>2027</v>
      </c>
    </row>
    <row r="861" spans="1:3" ht="15" customHeight="1" x14ac:dyDescent="0.45">
      <c r="A861" t="s">
        <v>2028</v>
      </c>
      <c r="B861" s="8">
        <f>'EMCAP_Pricing Matrix'!D181</f>
        <v>8.5000000000000006E-2</v>
      </c>
      <c r="C861" t="s">
        <v>2029</v>
      </c>
    </row>
    <row r="862" spans="1:3" ht="15" customHeight="1" x14ac:dyDescent="0.45">
      <c r="A862" t="s">
        <v>2030</v>
      </c>
      <c r="B862" s="8">
        <f>'EMCAP_Pricing Matrix'!E181</f>
        <v>8.6250000000000007E-2</v>
      </c>
      <c r="C862" t="s">
        <v>2031</v>
      </c>
    </row>
    <row r="863" spans="1:3" ht="15" customHeight="1" x14ac:dyDescent="0.45">
      <c r="A863" t="s">
        <v>2032</v>
      </c>
      <c r="B863" s="8">
        <f>'EMCAP_Pricing Matrix'!F181</f>
        <v>8.7500000000000008E-2</v>
      </c>
      <c r="C863" t="s">
        <v>2033</v>
      </c>
    </row>
    <row r="864" spans="1:3" ht="15" customHeight="1" x14ac:dyDescent="0.45">
      <c r="A864" t="s">
        <v>2034</v>
      </c>
      <c r="B864" s="8">
        <f>'EMCAP_Pricing Matrix'!G181</f>
        <v>8.8750000000000009E-2</v>
      </c>
      <c r="C864" t="s">
        <v>2035</v>
      </c>
    </row>
    <row r="865" spans="1:3" ht="15" customHeight="1" x14ac:dyDescent="0.45">
      <c r="A865" t="s">
        <v>2036</v>
      </c>
      <c r="B865" s="8">
        <f>'EMCAP_Pricing Matrix'!H181</f>
        <v>8.8750000000000009E-2</v>
      </c>
      <c r="C865" t="s">
        <v>2037</v>
      </c>
    </row>
    <row r="866" spans="1:3" ht="15" customHeight="1" x14ac:dyDescent="0.45">
      <c r="A866" t="s">
        <v>2038</v>
      </c>
      <c r="B866" s="8">
        <f>'EMCAP_Pricing Matrix'!M181</f>
        <v>0.1075</v>
      </c>
      <c r="C866" t="s">
        <v>2039</v>
      </c>
    </row>
    <row r="867" spans="1:3" ht="15" customHeight="1" x14ac:dyDescent="0.45">
      <c r="A867" t="s">
        <v>2040</v>
      </c>
      <c r="B867" s="8">
        <f>'EMCAP_Pricing Matrix'!N181</f>
        <v>0.11</v>
      </c>
      <c r="C867" t="s">
        <v>2041</v>
      </c>
    </row>
    <row r="868" spans="1:3" ht="15" customHeight="1" x14ac:dyDescent="0.45">
      <c r="A868" t="s">
        <v>2042</v>
      </c>
      <c r="B868" s="8">
        <f>'EMCAP_Pricing Matrix'!O181</f>
        <v>0.1125</v>
      </c>
      <c r="C868" t="s">
        <v>2043</v>
      </c>
    </row>
    <row r="869" spans="1:3" ht="15" customHeight="1" x14ac:dyDescent="0.45">
      <c r="A869" t="s">
        <v>2044</v>
      </c>
      <c r="B869" s="8">
        <f>'EMCAP_Pricing Matrix'!W181</f>
        <v>8.5000000000000006E-2</v>
      </c>
      <c r="C869" t="s">
        <v>2045</v>
      </c>
    </row>
    <row r="870" spans="1:3" ht="15" customHeight="1" x14ac:dyDescent="0.45">
      <c r="A870" t="s">
        <v>2046</v>
      </c>
      <c r="B870" s="8">
        <f>'EMCAP_Pricing Matrix'!X181</f>
        <v>8.6250000000000007E-2</v>
      </c>
      <c r="C870" t="s">
        <v>2047</v>
      </c>
    </row>
    <row r="871" spans="1:3" ht="15" customHeight="1" x14ac:dyDescent="0.45">
      <c r="A871" t="s">
        <v>2048</v>
      </c>
      <c r="B871" s="8">
        <f>'EMCAP_Pricing Matrix'!Y181</f>
        <v>8.7500000000000008E-2</v>
      </c>
      <c r="C871" t="s">
        <v>2049</v>
      </c>
    </row>
    <row r="872" spans="1:3" ht="15" customHeight="1" x14ac:dyDescent="0.45">
      <c r="A872" t="s">
        <v>2050</v>
      </c>
      <c r="B872" s="8">
        <f>'EMCAP_Pricing Matrix'!Z181</f>
        <v>8.8750000000000009E-2</v>
      </c>
      <c r="C872" t="s">
        <v>2051</v>
      </c>
    </row>
    <row r="873" spans="1:3" ht="15" customHeight="1" x14ac:dyDescent="0.45">
      <c r="A873" t="s">
        <v>2052</v>
      </c>
      <c r="B873" s="8">
        <f>'EMCAP_Pricing Matrix'!AA181</f>
        <v>9.0000000000000011E-2</v>
      </c>
      <c r="C873" t="s">
        <v>2053</v>
      </c>
    </row>
    <row r="874" spans="1:3" ht="15" customHeight="1" x14ac:dyDescent="0.45">
      <c r="A874" t="s">
        <v>2054</v>
      </c>
      <c r="B874" s="8">
        <f>'EMCAP_Pricing Matrix'!AB181</f>
        <v>9.0000000000000011E-2</v>
      </c>
      <c r="C874" t="s">
        <v>2055</v>
      </c>
    </row>
    <row r="875" spans="1:3" ht="15" customHeight="1" x14ac:dyDescent="0.45">
      <c r="A875" t="s">
        <v>2056</v>
      </c>
      <c r="B875" s="8">
        <f>'EMCAP_Pricing Matrix'!AG181</f>
        <v>0.10875</v>
      </c>
      <c r="C875" t="s">
        <v>2057</v>
      </c>
    </row>
    <row r="876" spans="1:3" ht="15" customHeight="1" x14ac:dyDescent="0.45">
      <c r="A876" t="s">
        <v>2058</v>
      </c>
      <c r="B876" s="8">
        <f>'EMCAP_Pricing Matrix'!AH181</f>
        <v>0.11125</v>
      </c>
      <c r="C876" t="s">
        <v>2059</v>
      </c>
    </row>
    <row r="877" spans="1:3" ht="15" customHeight="1" x14ac:dyDescent="0.45">
      <c r="A877" t="s">
        <v>2060</v>
      </c>
      <c r="B877" s="8">
        <f>'EMCAP_Pricing Matrix'!AI181</f>
        <v>0.11375</v>
      </c>
      <c r="C877" t="s">
        <v>2061</v>
      </c>
    </row>
    <row r="878" spans="1:3" ht="15" customHeight="1" x14ac:dyDescent="0.45">
      <c r="A878" t="s">
        <v>2062</v>
      </c>
      <c r="B878" s="8">
        <f>'EMCAP_Pricing Matrix'!AQ181</f>
        <v>8.6250000000000007E-2</v>
      </c>
      <c r="C878" t="s">
        <v>2063</v>
      </c>
    </row>
    <row r="879" spans="1:3" ht="15" customHeight="1" x14ac:dyDescent="0.45">
      <c r="A879" t="s">
        <v>2064</v>
      </c>
      <c r="B879" s="8">
        <f>'EMCAP_Pricing Matrix'!AR181</f>
        <v>8.7500000000000008E-2</v>
      </c>
      <c r="C879" t="s">
        <v>2065</v>
      </c>
    </row>
    <row r="880" spans="1:3" ht="15" customHeight="1" x14ac:dyDescent="0.45">
      <c r="A880" t="s">
        <v>2066</v>
      </c>
      <c r="B880" s="8">
        <f>'EMCAP_Pricing Matrix'!AS181</f>
        <v>8.8750000000000009E-2</v>
      </c>
      <c r="C880" t="s">
        <v>2067</v>
      </c>
    </row>
    <row r="881" spans="1:3" ht="15" customHeight="1" x14ac:dyDescent="0.45">
      <c r="A881" t="s">
        <v>2068</v>
      </c>
      <c r="B881" s="8">
        <f>'EMCAP_Pricing Matrix'!AT181</f>
        <v>9.0000000000000011E-2</v>
      </c>
      <c r="C881" t="s">
        <v>2069</v>
      </c>
    </row>
    <row r="882" spans="1:3" ht="15" customHeight="1" x14ac:dyDescent="0.45">
      <c r="A882" t="s">
        <v>2070</v>
      </c>
      <c r="B882" s="8">
        <f>'EMCAP_Pricing Matrix'!AU181</f>
        <v>9.1250000000000012E-2</v>
      </c>
      <c r="C882" t="s">
        <v>2071</v>
      </c>
    </row>
    <row r="883" spans="1:3" ht="15" customHeight="1" x14ac:dyDescent="0.45">
      <c r="A883" t="s">
        <v>2072</v>
      </c>
      <c r="B883" s="8">
        <f>'EMCAP_Pricing Matrix'!AV181</f>
        <v>9.1250000000000012E-2</v>
      </c>
      <c r="C883" t="s">
        <v>2073</v>
      </c>
    </row>
    <row r="884" spans="1:3" ht="15" customHeight="1" x14ac:dyDescent="0.45">
      <c r="A884" t="s">
        <v>2074</v>
      </c>
      <c r="B884" s="8">
        <f>'EMCAP_Pricing Matrix'!C182</f>
        <v>8.8750000000000009E-2</v>
      </c>
      <c r="C884" t="s">
        <v>2075</v>
      </c>
    </row>
    <row r="885" spans="1:3" ht="15" customHeight="1" x14ac:dyDescent="0.45">
      <c r="A885" t="s">
        <v>2076</v>
      </c>
      <c r="B885" s="8">
        <f>'EMCAP_Pricing Matrix'!D182</f>
        <v>9.0000000000000011E-2</v>
      </c>
      <c r="C885" t="s">
        <v>2077</v>
      </c>
    </row>
    <row r="886" spans="1:3" ht="15" customHeight="1" x14ac:dyDescent="0.45">
      <c r="A886" t="s">
        <v>2078</v>
      </c>
      <c r="B886" s="8">
        <f>'EMCAP_Pricing Matrix'!E182</f>
        <v>9.1250000000000012E-2</v>
      </c>
      <c r="C886" t="s">
        <v>2079</v>
      </c>
    </row>
    <row r="887" spans="1:3" ht="15" customHeight="1" x14ac:dyDescent="0.45">
      <c r="A887" t="s">
        <v>2080</v>
      </c>
      <c r="B887" s="8">
        <f>'EMCAP_Pricing Matrix'!F182</f>
        <v>9.2500000000000013E-2</v>
      </c>
      <c r="C887" t="s">
        <v>2081</v>
      </c>
    </row>
    <row r="888" spans="1:3" ht="15" customHeight="1" x14ac:dyDescent="0.45">
      <c r="A888" t="s">
        <v>2082</v>
      </c>
      <c r="B888" s="8">
        <f>'EMCAP_Pricing Matrix'!G182</f>
        <v>9.3750000000000014E-2</v>
      </c>
      <c r="C888" t="s">
        <v>2083</v>
      </c>
    </row>
    <row r="889" spans="1:3" ht="15" customHeight="1" x14ac:dyDescent="0.45">
      <c r="A889" t="s">
        <v>2084</v>
      </c>
      <c r="B889" s="8">
        <f>'EMCAP_Pricing Matrix'!M182</f>
        <v>0.11</v>
      </c>
      <c r="C889" t="s">
        <v>2085</v>
      </c>
    </row>
    <row r="890" spans="1:3" ht="15" customHeight="1" x14ac:dyDescent="0.45">
      <c r="A890" t="s">
        <v>2086</v>
      </c>
      <c r="B890" s="8">
        <f>'EMCAP_Pricing Matrix'!N182</f>
        <v>0.1125</v>
      </c>
      <c r="C890" t="s">
        <v>2087</v>
      </c>
    </row>
    <row r="891" spans="1:3" ht="15" customHeight="1" x14ac:dyDescent="0.45">
      <c r="A891" t="s">
        <v>2088</v>
      </c>
      <c r="B891" s="8">
        <f>'EMCAP_Pricing Matrix'!O182</f>
        <v>0.115</v>
      </c>
      <c r="C891" t="s">
        <v>2089</v>
      </c>
    </row>
    <row r="892" spans="1:3" ht="15" customHeight="1" x14ac:dyDescent="0.45">
      <c r="A892" t="s">
        <v>2090</v>
      </c>
      <c r="B892" s="8">
        <f>'EMCAP_Pricing Matrix'!W182</f>
        <v>9.0000000000000011E-2</v>
      </c>
      <c r="C892" t="s">
        <v>2091</v>
      </c>
    </row>
    <row r="893" spans="1:3" ht="15" customHeight="1" x14ac:dyDescent="0.45">
      <c r="A893" t="s">
        <v>2092</v>
      </c>
      <c r="B893" s="8">
        <f>'EMCAP_Pricing Matrix'!X182</f>
        <v>9.1250000000000012E-2</v>
      </c>
      <c r="C893" t="s">
        <v>2093</v>
      </c>
    </row>
    <row r="894" spans="1:3" ht="15" customHeight="1" x14ac:dyDescent="0.45">
      <c r="A894" t="s">
        <v>2094</v>
      </c>
      <c r="B894" s="8">
        <f>'EMCAP_Pricing Matrix'!Y182</f>
        <v>9.2500000000000013E-2</v>
      </c>
      <c r="C894" t="s">
        <v>2095</v>
      </c>
    </row>
    <row r="895" spans="1:3" ht="15" customHeight="1" x14ac:dyDescent="0.45">
      <c r="A895" t="s">
        <v>2096</v>
      </c>
      <c r="B895" s="8">
        <f>'EMCAP_Pricing Matrix'!Z182</f>
        <v>9.3750000000000014E-2</v>
      </c>
      <c r="C895" t="s">
        <v>2097</v>
      </c>
    </row>
    <row r="896" spans="1:3" ht="15" customHeight="1" x14ac:dyDescent="0.45">
      <c r="A896" t="s">
        <v>2098</v>
      </c>
      <c r="B896" s="8">
        <f>'EMCAP_Pricing Matrix'!AA182</f>
        <v>9.5000000000000015E-2</v>
      </c>
      <c r="C896" t="s">
        <v>2099</v>
      </c>
    </row>
    <row r="897" spans="1:3" ht="15" customHeight="1" x14ac:dyDescent="0.45">
      <c r="A897" t="s">
        <v>2100</v>
      </c>
      <c r="B897" s="8">
        <f>'EMCAP_Pricing Matrix'!AG182</f>
        <v>0.11375</v>
      </c>
      <c r="C897" t="s">
        <v>2101</v>
      </c>
    </row>
    <row r="898" spans="1:3" ht="15" customHeight="1" x14ac:dyDescent="0.45">
      <c r="A898" t="s">
        <v>2102</v>
      </c>
      <c r="B898" s="8">
        <f>'EMCAP_Pricing Matrix'!AH182</f>
        <v>0.11625000000000001</v>
      </c>
      <c r="C898" t="s">
        <v>2103</v>
      </c>
    </row>
    <row r="899" spans="1:3" ht="15" customHeight="1" x14ac:dyDescent="0.45">
      <c r="A899" t="s">
        <v>2104</v>
      </c>
      <c r="B899" s="8">
        <f>'EMCAP_Pricing Matrix'!AI182</f>
        <v>0.11875000000000001</v>
      </c>
      <c r="C899" t="s">
        <v>2105</v>
      </c>
    </row>
    <row r="900" spans="1:3" ht="15" customHeight="1" x14ac:dyDescent="0.45">
      <c r="A900" t="s">
        <v>2106</v>
      </c>
      <c r="B900" s="8">
        <f>'EMCAP_Pricing Matrix'!AQ182</f>
        <v>9.1250000000000012E-2</v>
      </c>
      <c r="C900" t="s">
        <v>2107</v>
      </c>
    </row>
    <row r="901" spans="1:3" ht="15" customHeight="1" x14ac:dyDescent="0.45">
      <c r="A901" t="s">
        <v>2108</v>
      </c>
      <c r="B901" s="8">
        <f>'EMCAP_Pricing Matrix'!AR182</f>
        <v>9.2500000000000013E-2</v>
      </c>
      <c r="C901" t="s">
        <v>2109</v>
      </c>
    </row>
    <row r="902" spans="1:3" ht="15" customHeight="1" x14ac:dyDescent="0.45">
      <c r="A902" t="s">
        <v>2110</v>
      </c>
      <c r="B902" s="8">
        <f>'EMCAP_Pricing Matrix'!AS182</f>
        <v>9.3750000000000014E-2</v>
      </c>
      <c r="C902" t="s">
        <v>2111</v>
      </c>
    </row>
    <row r="903" spans="1:3" ht="15" customHeight="1" x14ac:dyDescent="0.45">
      <c r="A903" t="s">
        <v>2112</v>
      </c>
      <c r="B903" s="8">
        <f>'EMCAP_Pricing Matrix'!AT182</f>
        <v>9.5000000000000015E-2</v>
      </c>
      <c r="C903" t="s">
        <v>2113</v>
      </c>
    </row>
    <row r="904" spans="1:3" ht="15" customHeight="1" x14ac:dyDescent="0.45">
      <c r="A904" t="s">
        <v>2114</v>
      </c>
      <c r="B904" s="8">
        <f>'EMCAP_Pricing Matrix'!AU182</f>
        <v>9.6250000000000016E-2</v>
      </c>
      <c r="C904" t="s">
        <v>2115</v>
      </c>
    </row>
    <row r="905" spans="1:3" ht="15" customHeight="1" x14ac:dyDescent="0.45">
      <c r="A905" t="s">
        <v>2116</v>
      </c>
      <c r="B905" s="8">
        <f>'EMCAP_Pricing Matrix'!C185</f>
        <v>8.2500000000000004E-2</v>
      </c>
      <c r="C905" t="s">
        <v>2117</v>
      </c>
    </row>
    <row r="906" spans="1:3" ht="15" customHeight="1" x14ac:dyDescent="0.45">
      <c r="A906" t="s">
        <v>2118</v>
      </c>
      <c r="B906" s="8">
        <f>'EMCAP_Pricing Matrix'!D185</f>
        <v>8.3750000000000005E-2</v>
      </c>
      <c r="C906" t="s">
        <v>2119</v>
      </c>
    </row>
    <row r="907" spans="1:3" ht="15" customHeight="1" x14ac:dyDescent="0.45">
      <c r="A907" t="s">
        <v>2120</v>
      </c>
      <c r="B907" s="8">
        <f>'EMCAP_Pricing Matrix'!E185</f>
        <v>8.5000000000000006E-2</v>
      </c>
      <c r="C907" t="s">
        <v>2121</v>
      </c>
    </row>
    <row r="908" spans="1:3" ht="15" customHeight="1" x14ac:dyDescent="0.45">
      <c r="A908" t="s">
        <v>2122</v>
      </c>
      <c r="B908" s="8">
        <f>'EMCAP_Pricing Matrix'!F185</f>
        <v>8.6250000000000007E-2</v>
      </c>
      <c r="C908" t="s">
        <v>2123</v>
      </c>
    </row>
    <row r="909" spans="1:3" ht="15" customHeight="1" x14ac:dyDescent="0.45">
      <c r="A909" t="s">
        <v>2124</v>
      </c>
      <c r="B909" s="8">
        <f>'EMCAP_Pricing Matrix'!G185</f>
        <v>8.7500000000000008E-2</v>
      </c>
      <c r="C909" t="s">
        <v>2125</v>
      </c>
    </row>
    <row r="910" spans="1:3" ht="15" customHeight="1" x14ac:dyDescent="0.45">
      <c r="A910" t="s">
        <v>2126</v>
      </c>
      <c r="B910" s="8">
        <f>'EMCAP_Pricing Matrix'!H185</f>
        <v>8.7500000000000008E-2</v>
      </c>
      <c r="C910" t="s">
        <v>2127</v>
      </c>
    </row>
    <row r="911" spans="1:3" ht="15" customHeight="1" x14ac:dyDescent="0.45">
      <c r="A911" t="s">
        <v>2128</v>
      </c>
      <c r="B911" s="8">
        <f>'EMCAP_Pricing Matrix'!M185</f>
        <v>0.105</v>
      </c>
      <c r="C911" t="s">
        <v>2129</v>
      </c>
    </row>
    <row r="912" spans="1:3" ht="15" customHeight="1" x14ac:dyDescent="0.45">
      <c r="A912" t="s">
        <v>2130</v>
      </c>
      <c r="B912" s="8">
        <f>'EMCAP_Pricing Matrix'!N185</f>
        <v>0.1075</v>
      </c>
      <c r="C912" t="s">
        <v>2131</v>
      </c>
    </row>
    <row r="913" spans="1:3" ht="15" customHeight="1" x14ac:dyDescent="0.45">
      <c r="A913" t="s">
        <v>2132</v>
      </c>
      <c r="B913" s="8">
        <f>'EMCAP_Pricing Matrix'!O185</f>
        <v>0.11</v>
      </c>
      <c r="C913" t="s">
        <v>2133</v>
      </c>
    </row>
    <row r="914" spans="1:3" ht="15" customHeight="1" x14ac:dyDescent="0.45">
      <c r="A914" t="s">
        <v>2134</v>
      </c>
      <c r="B914" s="8">
        <f>'EMCAP_Pricing Matrix'!W185</f>
        <v>8.3750000000000005E-2</v>
      </c>
      <c r="C914" t="s">
        <v>2135</v>
      </c>
    </row>
    <row r="915" spans="1:3" ht="15" customHeight="1" x14ac:dyDescent="0.45">
      <c r="A915" t="s">
        <v>2136</v>
      </c>
      <c r="B915" s="8">
        <f>'EMCAP_Pricing Matrix'!X185</f>
        <v>8.5000000000000006E-2</v>
      </c>
      <c r="C915" t="s">
        <v>2137</v>
      </c>
    </row>
    <row r="916" spans="1:3" ht="15" customHeight="1" x14ac:dyDescent="0.45">
      <c r="A916" t="s">
        <v>2138</v>
      </c>
      <c r="B916" s="8">
        <f>'EMCAP_Pricing Matrix'!Y185</f>
        <v>8.6250000000000007E-2</v>
      </c>
      <c r="C916" t="s">
        <v>2139</v>
      </c>
    </row>
    <row r="917" spans="1:3" ht="15" customHeight="1" x14ac:dyDescent="0.45">
      <c r="A917" t="s">
        <v>2140</v>
      </c>
      <c r="B917" s="8">
        <f>'EMCAP_Pricing Matrix'!Z185</f>
        <v>8.7500000000000008E-2</v>
      </c>
      <c r="C917" t="s">
        <v>2141</v>
      </c>
    </row>
    <row r="918" spans="1:3" ht="15" customHeight="1" x14ac:dyDescent="0.45">
      <c r="A918" t="s">
        <v>2142</v>
      </c>
      <c r="B918" s="8">
        <f>'EMCAP_Pricing Matrix'!AA185</f>
        <v>8.8750000000000009E-2</v>
      </c>
      <c r="C918" t="s">
        <v>2143</v>
      </c>
    </row>
    <row r="919" spans="1:3" ht="15" customHeight="1" x14ac:dyDescent="0.45">
      <c r="A919" t="s">
        <v>2144</v>
      </c>
      <c r="B919" s="8">
        <f>'EMCAP_Pricing Matrix'!AB185</f>
        <v>8.8750000000000009E-2</v>
      </c>
      <c r="C919" t="s">
        <v>2145</v>
      </c>
    </row>
    <row r="920" spans="1:3" ht="15" customHeight="1" x14ac:dyDescent="0.45">
      <c r="A920" t="s">
        <v>2146</v>
      </c>
      <c r="B920" s="8">
        <f>'EMCAP_Pricing Matrix'!AG185</f>
        <v>0.10625</v>
      </c>
      <c r="C920" t="s">
        <v>2147</v>
      </c>
    </row>
    <row r="921" spans="1:3" ht="15" customHeight="1" x14ac:dyDescent="0.45">
      <c r="A921" t="s">
        <v>2148</v>
      </c>
      <c r="B921" s="8">
        <f>'EMCAP_Pricing Matrix'!AH185</f>
        <v>0.10875</v>
      </c>
      <c r="C921" t="s">
        <v>2149</v>
      </c>
    </row>
    <row r="922" spans="1:3" ht="15" customHeight="1" x14ac:dyDescent="0.45">
      <c r="A922" t="s">
        <v>2150</v>
      </c>
      <c r="B922" s="8">
        <f>'EMCAP_Pricing Matrix'!AI185</f>
        <v>0.11125</v>
      </c>
      <c r="C922" t="s">
        <v>2151</v>
      </c>
    </row>
    <row r="923" spans="1:3" ht="15" customHeight="1" x14ac:dyDescent="0.45">
      <c r="A923" t="s">
        <v>2152</v>
      </c>
      <c r="B923" s="8">
        <f>'EMCAP_Pricing Matrix'!AQ185</f>
        <v>8.5000000000000006E-2</v>
      </c>
      <c r="C923" t="s">
        <v>2153</v>
      </c>
    </row>
    <row r="924" spans="1:3" ht="15" customHeight="1" x14ac:dyDescent="0.45">
      <c r="A924" t="s">
        <v>2154</v>
      </c>
      <c r="B924" s="8">
        <f>'EMCAP_Pricing Matrix'!AR185</f>
        <v>8.6250000000000007E-2</v>
      </c>
      <c r="C924" t="s">
        <v>2155</v>
      </c>
    </row>
    <row r="925" spans="1:3" ht="15" customHeight="1" x14ac:dyDescent="0.45">
      <c r="A925" t="s">
        <v>2156</v>
      </c>
      <c r="B925" s="8">
        <f>'EMCAP_Pricing Matrix'!AS185</f>
        <v>8.7500000000000008E-2</v>
      </c>
      <c r="C925" t="s">
        <v>2157</v>
      </c>
    </row>
    <row r="926" spans="1:3" ht="15" customHeight="1" x14ac:dyDescent="0.45">
      <c r="A926" t="s">
        <v>2158</v>
      </c>
      <c r="B926" s="8">
        <f>'EMCAP_Pricing Matrix'!AT185</f>
        <v>8.8750000000000009E-2</v>
      </c>
      <c r="C926" t="s">
        <v>2159</v>
      </c>
    </row>
    <row r="927" spans="1:3" ht="15" customHeight="1" x14ac:dyDescent="0.45">
      <c r="A927" t="s">
        <v>2160</v>
      </c>
      <c r="B927" s="8">
        <f>'EMCAP_Pricing Matrix'!AU185</f>
        <v>9.0000000000000011E-2</v>
      </c>
      <c r="C927" t="s">
        <v>2161</v>
      </c>
    </row>
    <row r="928" spans="1:3" ht="15" customHeight="1" x14ac:dyDescent="0.45">
      <c r="A928" t="s">
        <v>2162</v>
      </c>
      <c r="B928" s="8">
        <f>'EMCAP_Pricing Matrix'!AV185</f>
        <v>9.0000000000000011E-2</v>
      </c>
      <c r="C928" t="s">
        <v>2163</v>
      </c>
    </row>
    <row r="929" spans="1:3" ht="15" customHeight="1" x14ac:dyDescent="0.45">
      <c r="A929" t="s">
        <v>2164</v>
      </c>
      <c r="B929" s="8">
        <f>'EMCAP_Pricing Matrix'!C186</f>
        <v>8.7500000000000008E-2</v>
      </c>
      <c r="C929" t="s">
        <v>2165</v>
      </c>
    </row>
    <row r="930" spans="1:3" ht="15" customHeight="1" x14ac:dyDescent="0.45">
      <c r="A930" t="s">
        <v>2166</v>
      </c>
      <c r="B930" s="8">
        <f>'EMCAP_Pricing Matrix'!D186</f>
        <v>8.8750000000000009E-2</v>
      </c>
      <c r="C930" t="s">
        <v>2167</v>
      </c>
    </row>
    <row r="931" spans="1:3" ht="15" customHeight="1" x14ac:dyDescent="0.45">
      <c r="A931" t="s">
        <v>2168</v>
      </c>
      <c r="B931" s="8">
        <f>'EMCAP_Pricing Matrix'!E186</f>
        <v>9.0000000000000011E-2</v>
      </c>
      <c r="C931" t="s">
        <v>2169</v>
      </c>
    </row>
    <row r="932" spans="1:3" ht="15" customHeight="1" x14ac:dyDescent="0.45">
      <c r="A932" t="s">
        <v>2170</v>
      </c>
      <c r="B932" s="8">
        <f>'EMCAP_Pricing Matrix'!F186</f>
        <v>9.1250000000000012E-2</v>
      </c>
      <c r="C932" t="s">
        <v>2171</v>
      </c>
    </row>
    <row r="933" spans="1:3" ht="15" customHeight="1" x14ac:dyDescent="0.45">
      <c r="A933" t="s">
        <v>2172</v>
      </c>
      <c r="B933" s="8">
        <f>'EMCAP_Pricing Matrix'!G186</f>
        <v>9.2500000000000013E-2</v>
      </c>
      <c r="C933" t="s">
        <v>2173</v>
      </c>
    </row>
    <row r="934" spans="1:3" ht="15" customHeight="1" x14ac:dyDescent="0.45">
      <c r="A934" t="s">
        <v>2174</v>
      </c>
      <c r="B934" s="8">
        <f>'EMCAP_Pricing Matrix'!H186</f>
        <v>9.2500000000000013E-2</v>
      </c>
      <c r="C934" t="s">
        <v>2175</v>
      </c>
    </row>
    <row r="935" spans="1:3" ht="15" customHeight="1" x14ac:dyDescent="0.45">
      <c r="A935" t="s">
        <v>2176</v>
      </c>
      <c r="B935" s="8">
        <f>'EMCAP_Pricing Matrix'!M186</f>
        <v>0.1075</v>
      </c>
      <c r="C935" t="s">
        <v>2177</v>
      </c>
    </row>
    <row r="936" spans="1:3" ht="15" customHeight="1" x14ac:dyDescent="0.45">
      <c r="A936" t="s">
        <v>2178</v>
      </c>
      <c r="B936" s="8">
        <f>'EMCAP_Pricing Matrix'!N186</f>
        <v>0.11</v>
      </c>
      <c r="C936" t="s">
        <v>2179</v>
      </c>
    </row>
    <row r="937" spans="1:3" ht="15" customHeight="1" x14ac:dyDescent="0.45">
      <c r="A937" t="s">
        <v>2180</v>
      </c>
      <c r="B937" s="8">
        <f>'EMCAP_Pricing Matrix'!O186</f>
        <v>0.1125</v>
      </c>
      <c r="C937" t="s">
        <v>2181</v>
      </c>
    </row>
    <row r="938" spans="1:3" ht="15" customHeight="1" x14ac:dyDescent="0.45">
      <c r="A938" t="s">
        <v>2182</v>
      </c>
      <c r="B938" s="8">
        <f>'EMCAP_Pricing Matrix'!W186</f>
        <v>8.8750000000000009E-2</v>
      </c>
      <c r="C938" t="s">
        <v>2183</v>
      </c>
    </row>
    <row r="939" spans="1:3" ht="15" customHeight="1" x14ac:dyDescent="0.45">
      <c r="A939" t="s">
        <v>2184</v>
      </c>
      <c r="B939" s="8">
        <f>'EMCAP_Pricing Matrix'!X186</f>
        <v>9.0000000000000011E-2</v>
      </c>
      <c r="C939" t="s">
        <v>2185</v>
      </c>
    </row>
    <row r="940" spans="1:3" ht="15" customHeight="1" x14ac:dyDescent="0.45">
      <c r="A940" t="s">
        <v>2186</v>
      </c>
      <c r="B940" s="8">
        <f>'EMCAP_Pricing Matrix'!Y186</f>
        <v>9.1250000000000012E-2</v>
      </c>
      <c r="C940" t="s">
        <v>2187</v>
      </c>
    </row>
    <row r="941" spans="1:3" ht="15" customHeight="1" x14ac:dyDescent="0.45">
      <c r="A941" t="s">
        <v>2188</v>
      </c>
      <c r="B941" s="8">
        <f>'EMCAP_Pricing Matrix'!Z186</f>
        <v>9.2500000000000013E-2</v>
      </c>
      <c r="C941" t="s">
        <v>2189</v>
      </c>
    </row>
    <row r="942" spans="1:3" ht="15" customHeight="1" x14ac:dyDescent="0.45">
      <c r="A942" t="s">
        <v>2190</v>
      </c>
      <c r="B942" s="8">
        <f>'EMCAP_Pricing Matrix'!AA186</f>
        <v>9.3750000000000014E-2</v>
      </c>
      <c r="C942" t="s">
        <v>2191</v>
      </c>
    </row>
    <row r="943" spans="1:3" ht="15" customHeight="1" x14ac:dyDescent="0.45">
      <c r="A943" t="s">
        <v>2192</v>
      </c>
      <c r="B943" s="8">
        <f>'EMCAP_Pricing Matrix'!AB186</f>
        <v>9.3750000000000014E-2</v>
      </c>
      <c r="C943" t="s">
        <v>2193</v>
      </c>
    </row>
    <row r="944" spans="1:3" ht="15" customHeight="1" x14ac:dyDescent="0.45">
      <c r="A944" t="s">
        <v>2194</v>
      </c>
      <c r="B944" s="8">
        <f>'EMCAP_Pricing Matrix'!AG186</f>
        <v>0.11125</v>
      </c>
      <c r="C944" t="s">
        <v>2195</v>
      </c>
    </row>
    <row r="945" spans="1:3" ht="15" customHeight="1" x14ac:dyDescent="0.45">
      <c r="A945" t="s">
        <v>2196</v>
      </c>
      <c r="B945" s="8">
        <f>'EMCAP_Pricing Matrix'!AH186</f>
        <v>0.11375</v>
      </c>
      <c r="C945" t="s">
        <v>2197</v>
      </c>
    </row>
    <row r="946" spans="1:3" ht="15" customHeight="1" x14ac:dyDescent="0.45">
      <c r="A946" t="s">
        <v>2198</v>
      </c>
      <c r="B946" s="8">
        <f>'EMCAP_Pricing Matrix'!AI186</f>
        <v>0.11625000000000001</v>
      </c>
      <c r="C946" t="s">
        <v>2199</v>
      </c>
    </row>
    <row r="947" spans="1:3" ht="15" customHeight="1" x14ac:dyDescent="0.45">
      <c r="A947" t="s">
        <v>2200</v>
      </c>
      <c r="B947" s="8">
        <f>'EMCAP_Pricing Matrix'!AQ186</f>
        <v>9.0000000000000011E-2</v>
      </c>
      <c r="C947" t="s">
        <v>2201</v>
      </c>
    </row>
    <row r="948" spans="1:3" ht="15" customHeight="1" x14ac:dyDescent="0.45">
      <c r="A948" t="s">
        <v>2202</v>
      </c>
      <c r="B948" s="8">
        <f>'EMCAP_Pricing Matrix'!AR186</f>
        <v>9.1250000000000012E-2</v>
      </c>
      <c r="C948" t="s">
        <v>2203</v>
      </c>
    </row>
    <row r="949" spans="1:3" ht="15" customHeight="1" x14ac:dyDescent="0.45">
      <c r="A949" t="s">
        <v>2204</v>
      </c>
      <c r="B949" s="8">
        <f>'EMCAP_Pricing Matrix'!AS186</f>
        <v>9.2500000000000013E-2</v>
      </c>
      <c r="C949" t="s">
        <v>2205</v>
      </c>
    </row>
    <row r="950" spans="1:3" ht="15" customHeight="1" x14ac:dyDescent="0.45">
      <c r="A950" t="s">
        <v>2206</v>
      </c>
      <c r="B950" s="8">
        <f>'EMCAP_Pricing Matrix'!AT186</f>
        <v>9.3750000000000014E-2</v>
      </c>
      <c r="C950" t="s">
        <v>2207</v>
      </c>
    </row>
    <row r="951" spans="1:3" ht="15" customHeight="1" x14ac:dyDescent="0.45">
      <c r="A951" t="s">
        <v>2208</v>
      </c>
      <c r="B951" s="8">
        <f>'EMCAP_Pricing Matrix'!AU186</f>
        <v>9.5000000000000015E-2</v>
      </c>
      <c r="C951" t="s">
        <v>2209</v>
      </c>
    </row>
    <row r="952" spans="1:3" ht="15" customHeight="1" x14ac:dyDescent="0.45">
      <c r="A952" t="s">
        <v>2210</v>
      </c>
      <c r="B952" s="8">
        <f>'EMCAP_Pricing Matrix'!AV186</f>
        <v>9.5000000000000015E-2</v>
      </c>
      <c r="C952" t="s">
        <v>2211</v>
      </c>
    </row>
    <row r="953" spans="1:3" ht="15" customHeight="1" x14ac:dyDescent="0.45">
      <c r="A953" t="s">
        <v>2212</v>
      </c>
      <c r="B953" s="8">
        <f>'EMCAP_Pricing Matrix'!C197</f>
        <v>8.6000000000000007E-2</v>
      </c>
      <c r="C953" t="s">
        <v>2213</v>
      </c>
    </row>
    <row r="954" spans="1:3" ht="15" customHeight="1" x14ac:dyDescent="0.45">
      <c r="A954" t="s">
        <v>2214</v>
      </c>
      <c r="B954" s="8">
        <f>'EMCAP_Pricing Matrix'!D197</f>
        <v>8.7250000000000008E-2</v>
      </c>
      <c r="C954" t="s">
        <v>2215</v>
      </c>
    </row>
    <row r="955" spans="1:3" ht="15" customHeight="1" x14ac:dyDescent="0.45">
      <c r="A955" t="s">
        <v>2216</v>
      </c>
      <c r="B955" s="8">
        <f>'EMCAP_Pricing Matrix'!E197</f>
        <v>8.8500000000000009E-2</v>
      </c>
      <c r="C955" t="s">
        <v>2217</v>
      </c>
    </row>
    <row r="956" spans="1:3" ht="15" customHeight="1" x14ac:dyDescent="0.45">
      <c r="A956" t="s">
        <v>2218</v>
      </c>
      <c r="B956" s="8">
        <f>'EMCAP_Pricing Matrix'!F197</f>
        <v>8.975000000000001E-2</v>
      </c>
      <c r="C956" t="s">
        <v>2219</v>
      </c>
    </row>
    <row r="957" spans="1:3" ht="15" customHeight="1" x14ac:dyDescent="0.45">
      <c r="A957" t="s">
        <v>2220</v>
      </c>
      <c r="B957" s="8">
        <f>'EMCAP_Pricing Matrix'!G197</f>
        <v>9.1000000000000011E-2</v>
      </c>
      <c r="C957" t="s">
        <v>2221</v>
      </c>
    </row>
    <row r="958" spans="1:3" ht="15" customHeight="1" x14ac:dyDescent="0.45">
      <c r="A958" t="s">
        <v>2222</v>
      </c>
      <c r="B958" s="8">
        <f>'EMCAP_Pricing Matrix'!H197</f>
        <v>9.1000000000000011E-2</v>
      </c>
      <c r="C958" t="s">
        <v>2223</v>
      </c>
    </row>
    <row r="959" spans="1:3" ht="15" customHeight="1" x14ac:dyDescent="0.45">
      <c r="A959" t="s">
        <v>2224</v>
      </c>
      <c r="B959" s="8">
        <f>'EMCAP_Pricing Matrix'!M197</f>
        <v>0.1075</v>
      </c>
      <c r="C959" t="s">
        <v>2225</v>
      </c>
    </row>
    <row r="960" spans="1:3" ht="15" customHeight="1" x14ac:dyDescent="0.45">
      <c r="A960" t="s">
        <v>2226</v>
      </c>
      <c r="B960" s="8">
        <f>'EMCAP_Pricing Matrix'!N197</f>
        <v>0.11</v>
      </c>
      <c r="C960" t="s">
        <v>2227</v>
      </c>
    </row>
    <row r="961" spans="1:3" ht="15" customHeight="1" x14ac:dyDescent="0.45">
      <c r="A961" t="s">
        <v>2228</v>
      </c>
      <c r="B961" s="8">
        <f>'EMCAP_Pricing Matrix'!W197</f>
        <v>8.7250000000000008E-2</v>
      </c>
      <c r="C961" t="s">
        <v>2229</v>
      </c>
    </row>
    <row r="962" spans="1:3" ht="15" customHeight="1" x14ac:dyDescent="0.45">
      <c r="A962" t="s">
        <v>2230</v>
      </c>
      <c r="B962" s="8">
        <f>'EMCAP_Pricing Matrix'!X197</f>
        <v>8.8500000000000009E-2</v>
      </c>
      <c r="C962" t="s">
        <v>2231</v>
      </c>
    </row>
    <row r="963" spans="1:3" ht="15" customHeight="1" x14ac:dyDescent="0.45">
      <c r="A963" t="s">
        <v>2232</v>
      </c>
      <c r="B963" s="8">
        <f>'EMCAP_Pricing Matrix'!Y197</f>
        <v>8.975000000000001E-2</v>
      </c>
      <c r="C963" t="s">
        <v>2233</v>
      </c>
    </row>
    <row r="964" spans="1:3" ht="15" customHeight="1" x14ac:dyDescent="0.45">
      <c r="A964" t="s">
        <v>2234</v>
      </c>
      <c r="B964" s="8">
        <f>'EMCAP_Pricing Matrix'!Z197</f>
        <v>9.1000000000000011E-2</v>
      </c>
      <c r="C964" t="s">
        <v>2235</v>
      </c>
    </row>
    <row r="965" spans="1:3" ht="15" customHeight="1" x14ac:dyDescent="0.45">
      <c r="A965" t="s">
        <v>2236</v>
      </c>
      <c r="B965" s="8">
        <f>'EMCAP_Pricing Matrix'!AA197</f>
        <v>9.2250000000000013E-2</v>
      </c>
      <c r="C965" t="s">
        <v>2237</v>
      </c>
    </row>
    <row r="966" spans="1:3" ht="15" customHeight="1" x14ac:dyDescent="0.45">
      <c r="A966" t="s">
        <v>2238</v>
      </c>
      <c r="B966" s="8">
        <f>'EMCAP_Pricing Matrix'!AB197</f>
        <v>9.2250000000000013E-2</v>
      </c>
      <c r="C966" t="s">
        <v>2239</v>
      </c>
    </row>
    <row r="967" spans="1:3" ht="15" customHeight="1" x14ac:dyDescent="0.45">
      <c r="A967" t="s">
        <v>2240</v>
      </c>
      <c r="B967" s="8">
        <f>'EMCAP_Pricing Matrix'!AQ197</f>
        <v>8.8500000000000009E-2</v>
      </c>
      <c r="C967" t="s">
        <v>2241</v>
      </c>
    </row>
    <row r="968" spans="1:3" ht="15" customHeight="1" x14ac:dyDescent="0.45">
      <c r="A968" t="s">
        <v>2242</v>
      </c>
      <c r="B968" s="8">
        <f>'EMCAP_Pricing Matrix'!AR197</f>
        <v>8.975000000000001E-2</v>
      </c>
      <c r="C968" t="s">
        <v>2243</v>
      </c>
    </row>
    <row r="969" spans="1:3" ht="15" customHeight="1" x14ac:dyDescent="0.45">
      <c r="A969" t="s">
        <v>2244</v>
      </c>
      <c r="B969" s="8">
        <f>'EMCAP_Pricing Matrix'!AS197</f>
        <v>9.1000000000000011E-2</v>
      </c>
      <c r="C969" t="s">
        <v>2245</v>
      </c>
    </row>
    <row r="970" spans="1:3" ht="15" customHeight="1" x14ac:dyDescent="0.45">
      <c r="A970" t="s">
        <v>2246</v>
      </c>
      <c r="B970" s="8">
        <f>'EMCAP_Pricing Matrix'!AT197</f>
        <v>9.2250000000000013E-2</v>
      </c>
      <c r="C970" t="s">
        <v>2247</v>
      </c>
    </row>
    <row r="971" spans="1:3" ht="15" customHeight="1" x14ac:dyDescent="0.45">
      <c r="A971" t="s">
        <v>2248</v>
      </c>
      <c r="B971" s="8">
        <f>'EMCAP_Pricing Matrix'!AU197</f>
        <v>9.3500000000000014E-2</v>
      </c>
      <c r="C971" t="s">
        <v>2249</v>
      </c>
    </row>
    <row r="972" spans="1:3" ht="15" customHeight="1" x14ac:dyDescent="0.45">
      <c r="A972" t="s">
        <v>2250</v>
      </c>
      <c r="B972" s="8">
        <f>'EMCAP_Pricing Matrix'!AV197</f>
        <v>9.3500000000000014E-2</v>
      </c>
      <c r="C972" t="s">
        <v>2251</v>
      </c>
    </row>
    <row r="973" spans="1:3" ht="15" customHeight="1" x14ac:dyDescent="0.45">
      <c r="A973" t="s">
        <v>2252</v>
      </c>
      <c r="B973" s="8">
        <f>'EMCAP_Pricing Matrix'!C198</f>
        <v>9.1000000000000011E-2</v>
      </c>
      <c r="C973" t="s">
        <v>2253</v>
      </c>
    </row>
    <row r="974" spans="1:3" ht="15" customHeight="1" x14ac:dyDescent="0.45">
      <c r="A974" t="s">
        <v>2254</v>
      </c>
      <c r="B974" s="8">
        <f>'EMCAP_Pricing Matrix'!D198</f>
        <v>9.2250000000000013E-2</v>
      </c>
      <c r="C974" t="s">
        <v>2255</v>
      </c>
    </row>
    <row r="975" spans="1:3" ht="15" customHeight="1" x14ac:dyDescent="0.45">
      <c r="A975" t="s">
        <v>2256</v>
      </c>
      <c r="B975" s="8">
        <f>'EMCAP_Pricing Matrix'!E198</f>
        <v>9.3500000000000014E-2</v>
      </c>
      <c r="C975" t="s">
        <v>2257</v>
      </c>
    </row>
    <row r="976" spans="1:3" ht="15" customHeight="1" x14ac:dyDescent="0.45">
      <c r="A976" t="s">
        <v>2258</v>
      </c>
      <c r="B976" s="8">
        <f>'EMCAP_Pricing Matrix'!F198</f>
        <v>9.4750000000000015E-2</v>
      </c>
      <c r="C976" t="s">
        <v>2259</v>
      </c>
    </row>
    <row r="977" spans="1:3" ht="15" customHeight="1" x14ac:dyDescent="0.45">
      <c r="A977" t="s">
        <v>2260</v>
      </c>
      <c r="B977" s="8">
        <f>'EMCAP_Pricing Matrix'!G198</f>
        <v>9.6000000000000016E-2</v>
      </c>
      <c r="C977" t="s">
        <v>2261</v>
      </c>
    </row>
    <row r="978" spans="1:3" ht="15" customHeight="1" x14ac:dyDescent="0.45">
      <c r="A978" t="s">
        <v>2262</v>
      </c>
      <c r="B978" s="8">
        <f>'EMCAP_Pricing Matrix'!M198</f>
        <v>0.11</v>
      </c>
      <c r="C978" t="s">
        <v>2263</v>
      </c>
    </row>
    <row r="979" spans="1:3" ht="15" customHeight="1" x14ac:dyDescent="0.45">
      <c r="A979" t="s">
        <v>2264</v>
      </c>
      <c r="B979" s="8">
        <f>'EMCAP_Pricing Matrix'!N198</f>
        <v>0.1125</v>
      </c>
      <c r="C979" t="s">
        <v>2265</v>
      </c>
    </row>
    <row r="980" spans="1:3" ht="15" customHeight="1" x14ac:dyDescent="0.45">
      <c r="A980" t="s">
        <v>2266</v>
      </c>
      <c r="B980" s="8">
        <f>'EMCAP_Pricing Matrix'!W198</f>
        <v>9.2250000000000013E-2</v>
      </c>
      <c r="C980" t="s">
        <v>2267</v>
      </c>
    </row>
    <row r="981" spans="1:3" ht="15" customHeight="1" x14ac:dyDescent="0.45">
      <c r="A981" t="s">
        <v>2268</v>
      </c>
      <c r="B981" s="8">
        <f>'EMCAP_Pricing Matrix'!X198</f>
        <v>9.3500000000000014E-2</v>
      </c>
      <c r="C981" t="s">
        <v>2269</v>
      </c>
    </row>
    <row r="982" spans="1:3" ht="15" customHeight="1" x14ac:dyDescent="0.45">
      <c r="A982" t="s">
        <v>2270</v>
      </c>
      <c r="B982" s="8">
        <f>'EMCAP_Pricing Matrix'!Y198</f>
        <v>9.4750000000000015E-2</v>
      </c>
      <c r="C982" t="s">
        <v>2271</v>
      </c>
    </row>
    <row r="983" spans="1:3" ht="15" customHeight="1" x14ac:dyDescent="0.45">
      <c r="A983" t="s">
        <v>2272</v>
      </c>
      <c r="B983" s="8">
        <f>'EMCAP_Pricing Matrix'!Z198</f>
        <v>9.6000000000000016E-2</v>
      </c>
      <c r="C983" t="s">
        <v>2273</v>
      </c>
    </row>
    <row r="984" spans="1:3" ht="15" customHeight="1" x14ac:dyDescent="0.45">
      <c r="A984" t="s">
        <v>2274</v>
      </c>
      <c r="B984" s="8">
        <f>'EMCAP_Pricing Matrix'!AA198</f>
        <v>9.7250000000000017E-2</v>
      </c>
      <c r="C984" t="s">
        <v>2275</v>
      </c>
    </row>
    <row r="985" spans="1:3" ht="15" customHeight="1" x14ac:dyDescent="0.45">
      <c r="A985" t="s">
        <v>2276</v>
      </c>
      <c r="B985" s="8">
        <f>'EMCAP_Pricing Matrix'!AQ198</f>
        <v>9.3500000000000014E-2</v>
      </c>
      <c r="C985" t="s">
        <v>2277</v>
      </c>
    </row>
    <row r="986" spans="1:3" ht="15" customHeight="1" x14ac:dyDescent="0.45">
      <c r="A986" t="s">
        <v>2278</v>
      </c>
      <c r="B986" s="8">
        <f>'EMCAP_Pricing Matrix'!AR198</f>
        <v>9.4750000000000015E-2</v>
      </c>
      <c r="C986" t="s">
        <v>2279</v>
      </c>
    </row>
    <row r="987" spans="1:3" ht="15" customHeight="1" x14ac:dyDescent="0.45">
      <c r="A987" t="s">
        <v>2280</v>
      </c>
      <c r="B987" s="8">
        <f>'EMCAP_Pricing Matrix'!AS198</f>
        <v>9.6000000000000016E-2</v>
      </c>
      <c r="C987" t="s">
        <v>2281</v>
      </c>
    </row>
    <row r="988" spans="1:3" ht="15" customHeight="1" x14ac:dyDescent="0.45">
      <c r="A988" t="s">
        <v>2282</v>
      </c>
      <c r="B988" s="8">
        <f>'EMCAP_Pricing Matrix'!AT198</f>
        <v>9.7250000000000017E-2</v>
      </c>
      <c r="C988" t="s">
        <v>2283</v>
      </c>
    </row>
    <row r="989" spans="1:3" ht="15" customHeight="1" x14ac:dyDescent="0.45">
      <c r="A989" t="s">
        <v>2284</v>
      </c>
      <c r="B989" s="8">
        <f>'EMCAP_Pricing Matrix'!AU198</f>
        <v>9.8500000000000018E-2</v>
      </c>
      <c r="C989" t="s">
        <v>2285</v>
      </c>
    </row>
    <row r="990" spans="1:3" ht="15" customHeight="1" x14ac:dyDescent="0.45">
      <c r="A990" t="s">
        <v>2286</v>
      </c>
      <c r="B990" s="8">
        <f>'EMCAP_Pricing Matrix'!C201</f>
        <v>8.3500000000000005E-2</v>
      </c>
      <c r="C990" t="s">
        <v>2287</v>
      </c>
    </row>
    <row r="991" spans="1:3" ht="15" customHeight="1" x14ac:dyDescent="0.45">
      <c r="A991" t="s">
        <v>2288</v>
      </c>
      <c r="B991" s="8">
        <f>'EMCAP_Pricing Matrix'!D201</f>
        <v>8.4750000000000006E-2</v>
      </c>
      <c r="C991" t="s">
        <v>2289</v>
      </c>
    </row>
    <row r="992" spans="1:3" ht="15" customHeight="1" x14ac:dyDescent="0.45">
      <c r="A992" t="s">
        <v>2290</v>
      </c>
      <c r="B992" s="8">
        <f>'EMCAP_Pricing Matrix'!E201</f>
        <v>8.6000000000000007E-2</v>
      </c>
      <c r="C992" t="s">
        <v>2291</v>
      </c>
    </row>
    <row r="993" spans="1:3" ht="15" customHeight="1" x14ac:dyDescent="0.45">
      <c r="A993" t="s">
        <v>2292</v>
      </c>
      <c r="B993" s="8">
        <f>'EMCAP_Pricing Matrix'!F201</f>
        <v>8.7250000000000008E-2</v>
      </c>
      <c r="C993" t="s">
        <v>2293</v>
      </c>
    </row>
    <row r="994" spans="1:3" ht="15" customHeight="1" x14ac:dyDescent="0.45">
      <c r="A994" t="s">
        <v>2294</v>
      </c>
      <c r="B994" s="8">
        <f>'EMCAP_Pricing Matrix'!G201</f>
        <v>8.8500000000000009E-2</v>
      </c>
      <c r="C994" t="s">
        <v>2295</v>
      </c>
    </row>
    <row r="995" spans="1:3" ht="15" customHeight="1" x14ac:dyDescent="0.45">
      <c r="A995" t="s">
        <v>2296</v>
      </c>
      <c r="B995" s="8">
        <f>'EMCAP_Pricing Matrix'!H201</f>
        <v>8.8500000000000009E-2</v>
      </c>
      <c r="C995" t="s">
        <v>2297</v>
      </c>
    </row>
    <row r="996" spans="1:3" ht="15" customHeight="1" x14ac:dyDescent="0.45">
      <c r="A996" t="s">
        <v>2298</v>
      </c>
      <c r="B996" s="8">
        <f>'EMCAP_Pricing Matrix'!M201</f>
        <v>0.105</v>
      </c>
      <c r="C996" t="s">
        <v>2299</v>
      </c>
    </row>
    <row r="997" spans="1:3" ht="15" customHeight="1" x14ac:dyDescent="0.45">
      <c r="A997" t="s">
        <v>2300</v>
      </c>
      <c r="B997" s="8">
        <f>'EMCAP_Pricing Matrix'!N201</f>
        <v>0.1075</v>
      </c>
      <c r="C997" t="s">
        <v>2301</v>
      </c>
    </row>
    <row r="998" spans="1:3" ht="15" customHeight="1" x14ac:dyDescent="0.45">
      <c r="A998" t="s">
        <v>2302</v>
      </c>
      <c r="B998" s="8">
        <f>'EMCAP_Pricing Matrix'!W201</f>
        <v>8.4750000000000006E-2</v>
      </c>
      <c r="C998" t="s">
        <v>2303</v>
      </c>
    </row>
    <row r="999" spans="1:3" ht="15" customHeight="1" x14ac:dyDescent="0.45">
      <c r="A999" t="s">
        <v>2304</v>
      </c>
      <c r="B999" s="8">
        <f>'EMCAP_Pricing Matrix'!X201</f>
        <v>8.6000000000000007E-2</v>
      </c>
      <c r="C999" t="s">
        <v>2305</v>
      </c>
    </row>
    <row r="1000" spans="1:3" ht="15" customHeight="1" x14ac:dyDescent="0.45">
      <c r="A1000" t="s">
        <v>2306</v>
      </c>
      <c r="B1000" s="8">
        <f>'EMCAP_Pricing Matrix'!Y201</f>
        <v>8.7250000000000008E-2</v>
      </c>
      <c r="C1000" t="s">
        <v>2307</v>
      </c>
    </row>
    <row r="1001" spans="1:3" ht="15" customHeight="1" x14ac:dyDescent="0.45">
      <c r="A1001" t="s">
        <v>2308</v>
      </c>
      <c r="B1001" s="8">
        <f>'EMCAP_Pricing Matrix'!Z201</f>
        <v>8.8500000000000009E-2</v>
      </c>
      <c r="C1001" t="s">
        <v>2309</v>
      </c>
    </row>
    <row r="1002" spans="1:3" ht="15" customHeight="1" x14ac:dyDescent="0.45">
      <c r="A1002" t="s">
        <v>2310</v>
      </c>
      <c r="B1002" s="8">
        <f>'EMCAP_Pricing Matrix'!AA201</f>
        <v>8.975000000000001E-2</v>
      </c>
      <c r="C1002" t="s">
        <v>2311</v>
      </c>
    </row>
    <row r="1003" spans="1:3" ht="15" customHeight="1" x14ac:dyDescent="0.45">
      <c r="A1003" t="s">
        <v>2312</v>
      </c>
      <c r="B1003" s="8">
        <f>'EMCAP_Pricing Matrix'!AB201</f>
        <v>8.975000000000001E-2</v>
      </c>
      <c r="C1003" t="s">
        <v>2313</v>
      </c>
    </row>
    <row r="1004" spans="1:3" ht="15" customHeight="1" x14ac:dyDescent="0.45">
      <c r="A1004" t="s">
        <v>2314</v>
      </c>
      <c r="B1004" s="8">
        <f>'EMCAP_Pricing Matrix'!AQ201</f>
        <v>8.6000000000000007E-2</v>
      </c>
      <c r="C1004" t="s">
        <v>2315</v>
      </c>
    </row>
    <row r="1005" spans="1:3" ht="15" customHeight="1" x14ac:dyDescent="0.45">
      <c r="A1005" t="s">
        <v>2316</v>
      </c>
      <c r="B1005" s="8">
        <f>'EMCAP_Pricing Matrix'!AR201</f>
        <v>8.7250000000000008E-2</v>
      </c>
      <c r="C1005" t="s">
        <v>2317</v>
      </c>
    </row>
    <row r="1006" spans="1:3" ht="15" customHeight="1" x14ac:dyDescent="0.45">
      <c r="A1006" t="s">
        <v>2318</v>
      </c>
      <c r="B1006" s="8">
        <f>'EMCAP_Pricing Matrix'!AS201</f>
        <v>8.8500000000000009E-2</v>
      </c>
      <c r="C1006" t="s">
        <v>2319</v>
      </c>
    </row>
    <row r="1007" spans="1:3" ht="15" customHeight="1" x14ac:dyDescent="0.45">
      <c r="A1007" t="s">
        <v>2320</v>
      </c>
      <c r="B1007" s="8">
        <f>'EMCAP_Pricing Matrix'!AT201</f>
        <v>8.975000000000001E-2</v>
      </c>
      <c r="C1007" t="s">
        <v>2321</v>
      </c>
    </row>
    <row r="1008" spans="1:3" ht="15" customHeight="1" x14ac:dyDescent="0.45">
      <c r="A1008" t="s">
        <v>2322</v>
      </c>
      <c r="B1008" s="8">
        <f>'EMCAP_Pricing Matrix'!AU201</f>
        <v>9.1000000000000011E-2</v>
      </c>
      <c r="C1008" t="s">
        <v>2323</v>
      </c>
    </row>
    <row r="1009" spans="1:3" ht="15" customHeight="1" x14ac:dyDescent="0.45">
      <c r="A1009" t="s">
        <v>2324</v>
      </c>
      <c r="B1009" s="8">
        <f>'EMCAP_Pricing Matrix'!AV201</f>
        <v>9.1000000000000011E-2</v>
      </c>
      <c r="C1009" t="s">
        <v>2325</v>
      </c>
    </row>
    <row r="1010" spans="1:3" ht="15" customHeight="1" x14ac:dyDescent="0.45">
      <c r="A1010" t="s">
        <v>2326</v>
      </c>
      <c r="B1010" s="8">
        <f>'EMCAP_Pricing Matrix'!C202</f>
        <v>8.8500000000000009E-2</v>
      </c>
      <c r="C1010" t="s">
        <v>2327</v>
      </c>
    </row>
    <row r="1011" spans="1:3" ht="15" customHeight="1" x14ac:dyDescent="0.45">
      <c r="A1011" t="s">
        <v>2328</v>
      </c>
      <c r="B1011" s="8">
        <f>'EMCAP_Pricing Matrix'!D202</f>
        <v>8.975000000000001E-2</v>
      </c>
      <c r="C1011" t="s">
        <v>2329</v>
      </c>
    </row>
    <row r="1012" spans="1:3" ht="15" customHeight="1" x14ac:dyDescent="0.45">
      <c r="A1012" t="s">
        <v>2330</v>
      </c>
      <c r="B1012" s="8">
        <f>'EMCAP_Pricing Matrix'!E202</f>
        <v>9.1000000000000011E-2</v>
      </c>
      <c r="C1012" t="s">
        <v>2331</v>
      </c>
    </row>
    <row r="1013" spans="1:3" ht="15" customHeight="1" x14ac:dyDescent="0.45">
      <c r="A1013" t="s">
        <v>2332</v>
      </c>
      <c r="B1013" s="8">
        <f>'EMCAP_Pricing Matrix'!F202</f>
        <v>9.2250000000000013E-2</v>
      </c>
      <c r="C1013" t="s">
        <v>2333</v>
      </c>
    </row>
    <row r="1014" spans="1:3" ht="15" customHeight="1" x14ac:dyDescent="0.45">
      <c r="A1014" t="s">
        <v>2334</v>
      </c>
      <c r="B1014" s="8">
        <f>'EMCAP_Pricing Matrix'!G202</f>
        <v>9.3500000000000014E-2</v>
      </c>
      <c r="C1014" t="s">
        <v>2335</v>
      </c>
    </row>
    <row r="1015" spans="1:3" ht="15" customHeight="1" x14ac:dyDescent="0.45">
      <c r="A1015" t="s">
        <v>2336</v>
      </c>
      <c r="B1015" s="8">
        <f>'EMCAP_Pricing Matrix'!H202</f>
        <v>9.3500000000000014E-2</v>
      </c>
      <c r="C1015" t="s">
        <v>2337</v>
      </c>
    </row>
    <row r="1016" spans="1:3" ht="15" customHeight="1" x14ac:dyDescent="0.45">
      <c r="A1016" t="s">
        <v>2338</v>
      </c>
      <c r="B1016" s="8">
        <f>'EMCAP_Pricing Matrix'!M202</f>
        <v>0.1075</v>
      </c>
      <c r="C1016" t="s">
        <v>2339</v>
      </c>
    </row>
    <row r="1017" spans="1:3" ht="15" customHeight="1" x14ac:dyDescent="0.45">
      <c r="A1017" t="s">
        <v>2340</v>
      </c>
      <c r="B1017" s="8">
        <f>'EMCAP_Pricing Matrix'!N202</f>
        <v>0.11</v>
      </c>
      <c r="C1017" t="s">
        <v>2341</v>
      </c>
    </row>
    <row r="1018" spans="1:3" ht="15" customHeight="1" x14ac:dyDescent="0.45">
      <c r="A1018" t="s">
        <v>2342</v>
      </c>
      <c r="B1018" s="8">
        <f>'EMCAP_Pricing Matrix'!W202</f>
        <v>8.975000000000001E-2</v>
      </c>
      <c r="C1018" t="s">
        <v>2343</v>
      </c>
    </row>
    <row r="1019" spans="1:3" ht="15" customHeight="1" x14ac:dyDescent="0.45">
      <c r="A1019" t="s">
        <v>2344</v>
      </c>
      <c r="B1019" s="8">
        <f>'EMCAP_Pricing Matrix'!X202</f>
        <v>9.1000000000000011E-2</v>
      </c>
      <c r="C1019" t="s">
        <v>2345</v>
      </c>
    </row>
    <row r="1020" spans="1:3" ht="15" customHeight="1" x14ac:dyDescent="0.45">
      <c r="A1020" t="s">
        <v>2346</v>
      </c>
      <c r="B1020" s="8">
        <f>'EMCAP_Pricing Matrix'!Y202</f>
        <v>9.2250000000000013E-2</v>
      </c>
      <c r="C1020" t="s">
        <v>2347</v>
      </c>
    </row>
    <row r="1021" spans="1:3" ht="15" customHeight="1" x14ac:dyDescent="0.45">
      <c r="A1021" t="s">
        <v>2348</v>
      </c>
      <c r="B1021" s="8">
        <f>'EMCAP_Pricing Matrix'!Z202</f>
        <v>9.3500000000000014E-2</v>
      </c>
      <c r="C1021" t="s">
        <v>2349</v>
      </c>
    </row>
    <row r="1022" spans="1:3" ht="15" customHeight="1" x14ac:dyDescent="0.45">
      <c r="A1022" t="s">
        <v>2350</v>
      </c>
      <c r="B1022" s="8">
        <f>'EMCAP_Pricing Matrix'!AA202</f>
        <v>9.4750000000000015E-2</v>
      </c>
      <c r="C1022" t="s">
        <v>2351</v>
      </c>
    </row>
    <row r="1023" spans="1:3" ht="15" customHeight="1" x14ac:dyDescent="0.45">
      <c r="A1023" t="s">
        <v>2352</v>
      </c>
      <c r="B1023" s="8">
        <f>'EMCAP_Pricing Matrix'!AB202</f>
        <v>9.4750000000000015E-2</v>
      </c>
      <c r="C1023" t="s">
        <v>2353</v>
      </c>
    </row>
    <row r="1024" spans="1:3" ht="15" customHeight="1" x14ac:dyDescent="0.45">
      <c r="A1024" t="s">
        <v>2354</v>
      </c>
      <c r="B1024" s="8">
        <f>'EMCAP_Pricing Matrix'!AQ202</f>
        <v>9.1000000000000011E-2</v>
      </c>
      <c r="C1024" t="s">
        <v>2355</v>
      </c>
    </row>
    <row r="1025" spans="1:3" ht="15" customHeight="1" x14ac:dyDescent="0.45">
      <c r="A1025" t="s">
        <v>2356</v>
      </c>
      <c r="B1025" s="8">
        <f>'EMCAP_Pricing Matrix'!AR202</f>
        <v>9.2250000000000013E-2</v>
      </c>
      <c r="C1025" t="s">
        <v>2357</v>
      </c>
    </row>
    <row r="1026" spans="1:3" ht="15" customHeight="1" x14ac:dyDescent="0.45">
      <c r="A1026" t="s">
        <v>2358</v>
      </c>
      <c r="B1026" s="8">
        <f>'EMCAP_Pricing Matrix'!AS202</f>
        <v>9.3500000000000014E-2</v>
      </c>
      <c r="C1026" t="s">
        <v>2359</v>
      </c>
    </row>
    <row r="1027" spans="1:3" ht="15" customHeight="1" x14ac:dyDescent="0.45">
      <c r="A1027" t="s">
        <v>2360</v>
      </c>
      <c r="B1027" s="8">
        <f>'EMCAP_Pricing Matrix'!AT202</f>
        <v>9.4750000000000015E-2</v>
      </c>
      <c r="C1027" t="s">
        <v>2361</v>
      </c>
    </row>
    <row r="1028" spans="1:3" ht="15" customHeight="1" x14ac:dyDescent="0.45">
      <c r="A1028" t="s">
        <v>2362</v>
      </c>
      <c r="B1028" s="8">
        <f>'EMCAP_Pricing Matrix'!AU202</f>
        <v>9.6000000000000016E-2</v>
      </c>
      <c r="C1028" t="s">
        <v>2363</v>
      </c>
    </row>
    <row r="1029" spans="1:3" ht="15" customHeight="1" x14ac:dyDescent="0.45">
      <c r="A1029" t="s">
        <v>2364</v>
      </c>
      <c r="B1029" s="8">
        <f>'EMCAP_Pricing Matrix'!AV202</f>
        <v>9.6000000000000016E-2</v>
      </c>
      <c r="C1029" t="s">
        <v>2365</v>
      </c>
    </row>
    <row r="1030" spans="1:3" ht="15" customHeight="1" x14ac:dyDescent="0.45">
      <c r="A1030" t="s">
        <v>2366</v>
      </c>
      <c r="B1030" s="8">
        <f>'EMCAP_Pricing Matrix'!C228</f>
        <v>8.5000000000000006E-2</v>
      </c>
      <c r="C1030" t="s">
        <v>2367</v>
      </c>
    </row>
    <row r="1031" spans="1:3" ht="15" customHeight="1" x14ac:dyDescent="0.45">
      <c r="A1031" t="s">
        <v>2368</v>
      </c>
      <c r="B1031" s="8">
        <f>'EMCAP_Pricing Matrix'!D228</f>
        <v>8.7500000000000008E-2</v>
      </c>
      <c r="C1031" t="s">
        <v>2369</v>
      </c>
    </row>
    <row r="1032" spans="1:3" ht="15" customHeight="1" x14ac:dyDescent="0.45">
      <c r="A1032" t="s">
        <v>2370</v>
      </c>
      <c r="B1032" s="8">
        <f>'EMCAP_Pricing Matrix'!E228</f>
        <v>8.7500000000000008E-2</v>
      </c>
      <c r="C1032" t="s">
        <v>2371</v>
      </c>
    </row>
    <row r="1033" spans="1:3" ht="15" customHeight="1" x14ac:dyDescent="0.45">
      <c r="A1033" t="s">
        <v>2372</v>
      </c>
      <c r="B1033" s="8">
        <f>'EMCAP_Pricing Matrix'!F228</f>
        <v>9.0000000000000011E-2</v>
      </c>
      <c r="C1033" t="s">
        <v>2373</v>
      </c>
    </row>
    <row r="1034" spans="1:3" ht="15" customHeight="1" x14ac:dyDescent="0.45">
      <c r="A1034" t="s">
        <v>2374</v>
      </c>
      <c r="B1034" s="8">
        <f>'EMCAP_Pricing Matrix'!G228</f>
        <v>9.2500000000000013E-2</v>
      </c>
      <c r="C1034" t="s">
        <v>2375</v>
      </c>
    </row>
    <row r="1035" spans="1:3" ht="15" customHeight="1" x14ac:dyDescent="0.45">
      <c r="A1035" t="s">
        <v>2376</v>
      </c>
      <c r="B1035" s="8">
        <f>'EMCAP_Pricing Matrix'!H228</f>
        <v>9.5000000000000015E-2</v>
      </c>
      <c r="C1035" t="s">
        <v>2377</v>
      </c>
    </row>
    <row r="1036" spans="1:3" ht="15" customHeight="1" x14ac:dyDescent="0.45">
      <c r="A1036" t="s">
        <v>2378</v>
      </c>
      <c r="B1036" s="8">
        <f>'EMCAP_Pricing Matrix'!M228</f>
        <v>8.5000000000000006E-2</v>
      </c>
      <c r="C1036" t="s">
        <v>2379</v>
      </c>
    </row>
    <row r="1037" spans="1:3" ht="15" customHeight="1" x14ac:dyDescent="0.45">
      <c r="A1037" t="s">
        <v>2380</v>
      </c>
      <c r="B1037" s="8">
        <f>'EMCAP_Pricing Matrix'!N228</f>
        <v>8.7500000000000008E-2</v>
      </c>
      <c r="C1037" t="s">
        <v>2381</v>
      </c>
    </row>
    <row r="1038" spans="1:3" ht="15" customHeight="1" x14ac:dyDescent="0.45">
      <c r="A1038" t="s">
        <v>2382</v>
      </c>
      <c r="B1038" s="8">
        <f>'EMCAP_Pricing Matrix'!O228</f>
        <v>8.7500000000000008E-2</v>
      </c>
      <c r="C1038" t="s">
        <v>2383</v>
      </c>
    </row>
    <row r="1039" spans="1:3" ht="15" customHeight="1" x14ac:dyDescent="0.45">
      <c r="A1039" t="s">
        <v>2384</v>
      </c>
      <c r="B1039" s="8">
        <f>'EMCAP_Pricing Matrix'!P228</f>
        <v>9.0000000000000011E-2</v>
      </c>
      <c r="C1039" t="s">
        <v>2385</v>
      </c>
    </row>
    <row r="1040" spans="1:3" ht="15" customHeight="1" x14ac:dyDescent="0.45">
      <c r="A1040" t="s">
        <v>2386</v>
      </c>
      <c r="B1040" s="8">
        <f>'EMCAP_Pricing Matrix'!Q228</f>
        <v>9.2500000000000013E-2</v>
      </c>
      <c r="C1040" t="s">
        <v>2387</v>
      </c>
    </row>
    <row r="1041" spans="1:3" ht="15" customHeight="1" x14ac:dyDescent="0.45">
      <c r="A1041" t="s">
        <v>2388</v>
      </c>
      <c r="B1041" s="8">
        <f>'EMCAP_Pricing Matrix'!R228</f>
        <v>9.5000000000000015E-2</v>
      </c>
      <c r="C1041" t="s">
        <v>2389</v>
      </c>
    </row>
    <row r="1042" spans="1:3" ht="15" customHeight="1" x14ac:dyDescent="0.45">
      <c r="A1042" t="s">
        <v>2390</v>
      </c>
      <c r="B1042" s="8">
        <f>'EMCAP_Pricing Matrix'!W228</f>
        <v>8.6250000000000007E-2</v>
      </c>
      <c r="C1042" t="s">
        <v>2391</v>
      </c>
    </row>
    <row r="1043" spans="1:3" ht="15" customHeight="1" x14ac:dyDescent="0.45">
      <c r="A1043" t="s">
        <v>2392</v>
      </c>
      <c r="B1043" s="8">
        <f>'EMCAP_Pricing Matrix'!X228</f>
        <v>8.8750000000000009E-2</v>
      </c>
      <c r="C1043" t="s">
        <v>2393</v>
      </c>
    </row>
    <row r="1044" spans="1:3" ht="15" customHeight="1" x14ac:dyDescent="0.45">
      <c r="A1044" t="s">
        <v>2394</v>
      </c>
      <c r="B1044" s="8">
        <f>'EMCAP_Pricing Matrix'!Y228</f>
        <v>8.8750000000000009E-2</v>
      </c>
      <c r="C1044" t="s">
        <v>2395</v>
      </c>
    </row>
    <row r="1045" spans="1:3" ht="15" customHeight="1" x14ac:dyDescent="0.45">
      <c r="A1045" t="s">
        <v>2396</v>
      </c>
      <c r="B1045" s="8">
        <f>'EMCAP_Pricing Matrix'!Z228</f>
        <v>9.1250000000000012E-2</v>
      </c>
      <c r="C1045" t="s">
        <v>2397</v>
      </c>
    </row>
    <row r="1046" spans="1:3" ht="15" customHeight="1" x14ac:dyDescent="0.45">
      <c r="A1046" t="s">
        <v>2398</v>
      </c>
      <c r="B1046" s="8">
        <f>'EMCAP_Pricing Matrix'!AA228</f>
        <v>9.3750000000000014E-2</v>
      </c>
      <c r="C1046" t="s">
        <v>2399</v>
      </c>
    </row>
    <row r="1047" spans="1:3" ht="15" customHeight="1" x14ac:dyDescent="0.45">
      <c r="A1047" t="s">
        <v>2400</v>
      </c>
      <c r="B1047" s="8">
        <f>'EMCAP_Pricing Matrix'!AB228</f>
        <v>9.6250000000000016E-2</v>
      </c>
      <c r="C1047" t="s">
        <v>2401</v>
      </c>
    </row>
    <row r="1048" spans="1:3" ht="15" customHeight="1" x14ac:dyDescent="0.45">
      <c r="A1048" t="s">
        <v>2402</v>
      </c>
      <c r="B1048" s="8">
        <f>'EMCAP_Pricing Matrix'!AG228</f>
        <v>8.6250000000000007E-2</v>
      </c>
      <c r="C1048" t="s">
        <v>2403</v>
      </c>
    </row>
    <row r="1049" spans="1:3" ht="15" customHeight="1" x14ac:dyDescent="0.45">
      <c r="A1049" t="s">
        <v>2404</v>
      </c>
      <c r="B1049" s="8">
        <f>'EMCAP_Pricing Matrix'!AH228</f>
        <v>8.8750000000000009E-2</v>
      </c>
      <c r="C1049" t="s">
        <v>2405</v>
      </c>
    </row>
    <row r="1050" spans="1:3" ht="15" customHeight="1" x14ac:dyDescent="0.45">
      <c r="A1050" t="s">
        <v>2406</v>
      </c>
      <c r="B1050" s="8">
        <f>'EMCAP_Pricing Matrix'!AI228</f>
        <v>8.8750000000000009E-2</v>
      </c>
      <c r="C1050" t="s">
        <v>2407</v>
      </c>
    </row>
    <row r="1051" spans="1:3" ht="15" customHeight="1" x14ac:dyDescent="0.45">
      <c r="A1051" t="s">
        <v>2408</v>
      </c>
      <c r="B1051" s="8">
        <f>'EMCAP_Pricing Matrix'!AJ228</f>
        <v>9.1250000000000012E-2</v>
      </c>
      <c r="C1051" t="s">
        <v>2409</v>
      </c>
    </row>
    <row r="1052" spans="1:3" ht="15" customHeight="1" x14ac:dyDescent="0.45">
      <c r="A1052" t="s">
        <v>2410</v>
      </c>
      <c r="B1052" s="8">
        <f>'EMCAP_Pricing Matrix'!AK228</f>
        <v>9.3750000000000014E-2</v>
      </c>
      <c r="C1052" t="s">
        <v>2411</v>
      </c>
    </row>
    <row r="1053" spans="1:3" ht="15" customHeight="1" x14ac:dyDescent="0.45">
      <c r="A1053" t="s">
        <v>2412</v>
      </c>
      <c r="B1053" s="8">
        <f>'EMCAP_Pricing Matrix'!AL228</f>
        <v>9.6250000000000016E-2</v>
      </c>
      <c r="C1053" t="s">
        <v>2413</v>
      </c>
    </row>
    <row r="1054" spans="1:3" ht="15" customHeight="1" x14ac:dyDescent="0.45">
      <c r="A1054" t="s">
        <v>2414</v>
      </c>
      <c r="B1054" s="8">
        <f>'EMCAP_Pricing Matrix'!AQ228</f>
        <v>9.0000000000000011E-2</v>
      </c>
      <c r="C1054" t="s">
        <v>2415</v>
      </c>
    </row>
    <row r="1055" spans="1:3" ht="15" customHeight="1" x14ac:dyDescent="0.45">
      <c r="A1055" t="s">
        <v>2416</v>
      </c>
      <c r="B1055" s="8">
        <f>'EMCAP_Pricing Matrix'!AR228</f>
        <v>9.2500000000000013E-2</v>
      </c>
      <c r="C1055" t="s">
        <v>2417</v>
      </c>
    </row>
    <row r="1056" spans="1:3" ht="15" customHeight="1" x14ac:dyDescent="0.45">
      <c r="A1056" t="s">
        <v>2418</v>
      </c>
      <c r="B1056" s="8">
        <f>'EMCAP_Pricing Matrix'!AS228</f>
        <v>9.2500000000000013E-2</v>
      </c>
      <c r="C1056" t="s">
        <v>2419</v>
      </c>
    </row>
    <row r="1057" spans="1:3" ht="15" customHeight="1" x14ac:dyDescent="0.45">
      <c r="A1057" t="s">
        <v>2420</v>
      </c>
      <c r="B1057" s="8">
        <f>'EMCAP_Pricing Matrix'!AT228</f>
        <v>9.5000000000000015E-2</v>
      </c>
      <c r="C1057" t="s">
        <v>2421</v>
      </c>
    </row>
    <row r="1058" spans="1:3" ht="15" customHeight="1" x14ac:dyDescent="0.45">
      <c r="A1058" t="s">
        <v>2422</v>
      </c>
      <c r="B1058" s="8">
        <f>'EMCAP_Pricing Matrix'!AU228</f>
        <v>9.7500000000000017E-2</v>
      </c>
      <c r="C1058" t="s">
        <v>2423</v>
      </c>
    </row>
    <row r="1059" spans="1:3" ht="15" customHeight="1" x14ac:dyDescent="0.45">
      <c r="A1059" t="s">
        <v>2424</v>
      </c>
      <c r="B1059" s="8">
        <f>'EMCAP_Pricing Matrix'!AV228</f>
        <v>0.10000000000000002</v>
      </c>
      <c r="C1059" t="s">
        <v>2425</v>
      </c>
    </row>
    <row r="1060" spans="1:3" ht="15" customHeight="1" x14ac:dyDescent="0.45">
      <c r="A1060" t="s">
        <v>2426</v>
      </c>
      <c r="B1060" s="8">
        <f>'EMCAP_Pricing Matrix'!C229</f>
        <v>9.0000000000000011E-2</v>
      </c>
      <c r="C1060" t="s">
        <v>2427</v>
      </c>
    </row>
    <row r="1061" spans="1:3" ht="15" customHeight="1" x14ac:dyDescent="0.45">
      <c r="A1061" t="s">
        <v>2428</v>
      </c>
      <c r="B1061" s="8">
        <f>'EMCAP_Pricing Matrix'!D229</f>
        <v>9.2500000000000013E-2</v>
      </c>
      <c r="C1061" t="s">
        <v>2429</v>
      </c>
    </row>
    <row r="1062" spans="1:3" ht="15" customHeight="1" x14ac:dyDescent="0.45">
      <c r="A1062" t="s">
        <v>2430</v>
      </c>
      <c r="B1062" s="8">
        <f>'EMCAP_Pricing Matrix'!E229</f>
        <v>9.2500000000000013E-2</v>
      </c>
      <c r="C1062" t="s">
        <v>2431</v>
      </c>
    </row>
    <row r="1063" spans="1:3" ht="15" customHeight="1" x14ac:dyDescent="0.45">
      <c r="A1063" t="s">
        <v>2432</v>
      </c>
      <c r="B1063" s="8">
        <f>'EMCAP_Pricing Matrix'!F229</f>
        <v>9.5000000000000015E-2</v>
      </c>
      <c r="C1063" t="s">
        <v>2433</v>
      </c>
    </row>
    <row r="1064" spans="1:3" ht="15" customHeight="1" x14ac:dyDescent="0.45">
      <c r="A1064" t="s">
        <v>2434</v>
      </c>
      <c r="B1064" s="8">
        <f>'EMCAP_Pricing Matrix'!G229</f>
        <v>9.7500000000000017E-2</v>
      </c>
      <c r="C1064" t="s">
        <v>2435</v>
      </c>
    </row>
    <row r="1065" spans="1:3" ht="15" customHeight="1" x14ac:dyDescent="0.45">
      <c r="A1065" t="s">
        <v>2436</v>
      </c>
      <c r="B1065" s="8">
        <f>'EMCAP_Pricing Matrix'!M229</f>
        <v>9.0000000000000011E-2</v>
      </c>
      <c r="C1065" t="s">
        <v>2437</v>
      </c>
    </row>
    <row r="1066" spans="1:3" ht="15" customHeight="1" x14ac:dyDescent="0.45">
      <c r="A1066" t="s">
        <v>2438</v>
      </c>
      <c r="B1066" s="8">
        <f>'EMCAP_Pricing Matrix'!N229</f>
        <v>9.2500000000000013E-2</v>
      </c>
      <c r="C1066" t="s">
        <v>2439</v>
      </c>
    </row>
    <row r="1067" spans="1:3" ht="15" customHeight="1" x14ac:dyDescent="0.45">
      <c r="A1067" t="s">
        <v>2440</v>
      </c>
      <c r="B1067" s="8">
        <f>'EMCAP_Pricing Matrix'!O229</f>
        <v>9.2500000000000013E-2</v>
      </c>
      <c r="C1067" t="s">
        <v>2441</v>
      </c>
    </row>
    <row r="1068" spans="1:3" ht="15" customHeight="1" x14ac:dyDescent="0.45">
      <c r="A1068" t="s">
        <v>2442</v>
      </c>
      <c r="B1068" s="8">
        <f>'EMCAP_Pricing Matrix'!P229</f>
        <v>9.5000000000000015E-2</v>
      </c>
      <c r="C1068" t="s">
        <v>2443</v>
      </c>
    </row>
    <row r="1069" spans="1:3" ht="15" customHeight="1" x14ac:dyDescent="0.45">
      <c r="A1069" t="s">
        <v>2444</v>
      </c>
      <c r="B1069" s="8">
        <f>'EMCAP_Pricing Matrix'!Q229</f>
        <v>9.7500000000000017E-2</v>
      </c>
      <c r="C1069" t="s">
        <v>2445</v>
      </c>
    </row>
    <row r="1070" spans="1:3" ht="15" customHeight="1" x14ac:dyDescent="0.45">
      <c r="A1070" t="s">
        <v>2446</v>
      </c>
      <c r="B1070" s="8">
        <f>'EMCAP_Pricing Matrix'!W229</f>
        <v>9.1250000000000012E-2</v>
      </c>
      <c r="C1070" t="s">
        <v>2447</v>
      </c>
    </row>
    <row r="1071" spans="1:3" ht="15" customHeight="1" x14ac:dyDescent="0.45">
      <c r="A1071" t="s">
        <v>2448</v>
      </c>
      <c r="B1071" s="8">
        <f>'EMCAP_Pricing Matrix'!X229</f>
        <v>9.3750000000000014E-2</v>
      </c>
      <c r="C1071" t="s">
        <v>2449</v>
      </c>
    </row>
    <row r="1072" spans="1:3" ht="15" customHeight="1" x14ac:dyDescent="0.45">
      <c r="A1072" t="s">
        <v>2450</v>
      </c>
      <c r="B1072" s="8">
        <f>'EMCAP_Pricing Matrix'!Y229</f>
        <v>9.3750000000000014E-2</v>
      </c>
      <c r="C1072" t="s">
        <v>2451</v>
      </c>
    </row>
    <row r="1073" spans="1:3" ht="15" customHeight="1" x14ac:dyDescent="0.45">
      <c r="A1073" t="s">
        <v>2452</v>
      </c>
      <c r="B1073" s="8">
        <f>'EMCAP_Pricing Matrix'!Z229</f>
        <v>9.6250000000000016E-2</v>
      </c>
      <c r="C1073" t="s">
        <v>2453</v>
      </c>
    </row>
    <row r="1074" spans="1:3" ht="15" customHeight="1" x14ac:dyDescent="0.45">
      <c r="A1074" t="s">
        <v>2454</v>
      </c>
      <c r="B1074" s="8">
        <f>'EMCAP_Pricing Matrix'!AA229</f>
        <v>9.8750000000000018E-2</v>
      </c>
      <c r="C1074" t="s">
        <v>2455</v>
      </c>
    </row>
    <row r="1075" spans="1:3" ht="15" customHeight="1" x14ac:dyDescent="0.45">
      <c r="A1075" t="s">
        <v>2456</v>
      </c>
      <c r="B1075" s="8">
        <f>'EMCAP_Pricing Matrix'!AG229</f>
        <v>9.1250000000000012E-2</v>
      </c>
      <c r="C1075" t="s">
        <v>2457</v>
      </c>
    </row>
    <row r="1076" spans="1:3" ht="15" customHeight="1" x14ac:dyDescent="0.45">
      <c r="A1076" t="s">
        <v>2458</v>
      </c>
      <c r="B1076" s="8">
        <f>'EMCAP_Pricing Matrix'!AH229</f>
        <v>9.3750000000000014E-2</v>
      </c>
      <c r="C1076" t="s">
        <v>2459</v>
      </c>
    </row>
    <row r="1077" spans="1:3" ht="15" customHeight="1" x14ac:dyDescent="0.45">
      <c r="A1077" t="s">
        <v>2460</v>
      </c>
      <c r="B1077" s="8">
        <f>'EMCAP_Pricing Matrix'!AI229</f>
        <v>9.3750000000000014E-2</v>
      </c>
      <c r="C1077" t="s">
        <v>2461</v>
      </c>
    </row>
    <row r="1078" spans="1:3" ht="15" customHeight="1" x14ac:dyDescent="0.45">
      <c r="A1078" t="s">
        <v>2462</v>
      </c>
      <c r="B1078" s="8">
        <f>'EMCAP_Pricing Matrix'!AJ229</f>
        <v>9.6250000000000016E-2</v>
      </c>
      <c r="C1078" t="s">
        <v>2463</v>
      </c>
    </row>
    <row r="1079" spans="1:3" ht="15" customHeight="1" x14ac:dyDescent="0.45">
      <c r="A1079" t="s">
        <v>2464</v>
      </c>
      <c r="B1079" s="8">
        <f>'EMCAP_Pricing Matrix'!AK229</f>
        <v>9.8750000000000018E-2</v>
      </c>
      <c r="C1079" t="s">
        <v>2465</v>
      </c>
    </row>
    <row r="1080" spans="1:3" ht="15" customHeight="1" x14ac:dyDescent="0.45">
      <c r="A1080" t="s">
        <v>2466</v>
      </c>
      <c r="B1080" s="8">
        <f>'EMCAP_Pricing Matrix'!AQ229</f>
        <v>9.5000000000000015E-2</v>
      </c>
      <c r="C1080" t="s">
        <v>2467</v>
      </c>
    </row>
    <row r="1081" spans="1:3" ht="15" customHeight="1" x14ac:dyDescent="0.45">
      <c r="A1081" t="s">
        <v>2468</v>
      </c>
      <c r="B1081" s="8">
        <f>'EMCAP_Pricing Matrix'!AR229</f>
        <v>9.7500000000000017E-2</v>
      </c>
      <c r="C1081" t="s">
        <v>2469</v>
      </c>
    </row>
    <row r="1082" spans="1:3" ht="15" customHeight="1" x14ac:dyDescent="0.45">
      <c r="A1082" t="s">
        <v>2470</v>
      </c>
      <c r="B1082" s="8">
        <f>'EMCAP_Pricing Matrix'!AS229</f>
        <v>9.7500000000000017E-2</v>
      </c>
      <c r="C1082" t="s">
        <v>2471</v>
      </c>
    </row>
    <row r="1083" spans="1:3" ht="15" customHeight="1" x14ac:dyDescent="0.45">
      <c r="A1083" t="s">
        <v>2472</v>
      </c>
      <c r="B1083" s="8">
        <f>'EMCAP_Pricing Matrix'!AT229</f>
        <v>0.10000000000000002</v>
      </c>
      <c r="C1083" t="s">
        <v>2473</v>
      </c>
    </row>
    <row r="1084" spans="1:3" ht="15" customHeight="1" x14ac:dyDescent="0.45">
      <c r="A1084" t="s">
        <v>2474</v>
      </c>
      <c r="B1084" s="8">
        <f>'EMCAP_Pricing Matrix'!AU229</f>
        <v>0.10250000000000002</v>
      </c>
      <c r="C1084" t="s">
        <v>2475</v>
      </c>
    </row>
    <row r="1085" spans="1:3" ht="15" customHeight="1" x14ac:dyDescent="0.45">
      <c r="A1085" t="s">
        <v>2476</v>
      </c>
      <c r="B1085" s="8">
        <f>'EMCAP_Pricing Matrix'!C232</f>
        <v>8.3750000000000005E-2</v>
      </c>
      <c r="C1085" t="s">
        <v>2477</v>
      </c>
    </row>
    <row r="1086" spans="1:3" ht="15" customHeight="1" x14ac:dyDescent="0.45">
      <c r="A1086" t="s">
        <v>2478</v>
      </c>
      <c r="B1086" s="8">
        <f>'EMCAP_Pricing Matrix'!D232</f>
        <v>8.5000000000000006E-2</v>
      </c>
      <c r="C1086" t="s">
        <v>2479</v>
      </c>
    </row>
    <row r="1087" spans="1:3" ht="15" customHeight="1" x14ac:dyDescent="0.45">
      <c r="A1087" t="s">
        <v>2480</v>
      </c>
      <c r="B1087" s="8">
        <f>'EMCAP_Pricing Matrix'!E232</f>
        <v>8.5000000000000006E-2</v>
      </c>
      <c r="C1087" t="s">
        <v>2481</v>
      </c>
    </row>
    <row r="1088" spans="1:3" ht="15" customHeight="1" x14ac:dyDescent="0.45">
      <c r="A1088" t="s">
        <v>2482</v>
      </c>
      <c r="B1088" s="8">
        <f>'EMCAP_Pricing Matrix'!F232</f>
        <v>8.6250000000000007E-2</v>
      </c>
      <c r="C1088" t="s">
        <v>2483</v>
      </c>
    </row>
    <row r="1089" spans="1:3" ht="15" customHeight="1" x14ac:dyDescent="0.45">
      <c r="A1089" t="s">
        <v>2484</v>
      </c>
      <c r="B1089" s="8">
        <f>'EMCAP_Pricing Matrix'!G232</f>
        <v>8.7500000000000008E-2</v>
      </c>
      <c r="C1089" t="s">
        <v>2485</v>
      </c>
    </row>
    <row r="1090" spans="1:3" ht="15" customHeight="1" x14ac:dyDescent="0.45">
      <c r="A1090" t="s">
        <v>2486</v>
      </c>
      <c r="B1090" s="8">
        <f>'EMCAP_Pricing Matrix'!H232</f>
        <v>8.8750000000000009E-2</v>
      </c>
      <c r="C1090" t="s">
        <v>2487</v>
      </c>
    </row>
    <row r="1091" spans="1:3" ht="15" customHeight="1" x14ac:dyDescent="0.45">
      <c r="A1091" t="s">
        <v>2488</v>
      </c>
      <c r="B1091" s="8">
        <f>'EMCAP_Pricing Matrix'!M232</f>
        <v>8.3750000000000005E-2</v>
      </c>
      <c r="C1091" t="s">
        <v>2489</v>
      </c>
    </row>
    <row r="1092" spans="1:3" ht="15" customHeight="1" x14ac:dyDescent="0.45">
      <c r="A1092" t="s">
        <v>2490</v>
      </c>
      <c r="B1092" s="8">
        <f>'EMCAP_Pricing Matrix'!N232</f>
        <v>8.5000000000000006E-2</v>
      </c>
      <c r="C1092" t="s">
        <v>2491</v>
      </c>
    </row>
    <row r="1093" spans="1:3" ht="15" customHeight="1" x14ac:dyDescent="0.45">
      <c r="A1093" t="s">
        <v>2492</v>
      </c>
      <c r="B1093" s="8">
        <f>'EMCAP_Pricing Matrix'!O232</f>
        <v>8.5000000000000006E-2</v>
      </c>
      <c r="C1093" t="s">
        <v>2493</v>
      </c>
    </row>
    <row r="1094" spans="1:3" ht="15" customHeight="1" x14ac:dyDescent="0.45">
      <c r="A1094" t="s">
        <v>2494</v>
      </c>
      <c r="B1094" s="8">
        <f>'EMCAP_Pricing Matrix'!P232</f>
        <v>8.6250000000000007E-2</v>
      </c>
      <c r="C1094" t="s">
        <v>2495</v>
      </c>
    </row>
    <row r="1095" spans="1:3" ht="15" customHeight="1" x14ac:dyDescent="0.45">
      <c r="A1095" t="s">
        <v>2496</v>
      </c>
      <c r="B1095" s="8">
        <f>'EMCAP_Pricing Matrix'!Q232</f>
        <v>8.7500000000000008E-2</v>
      </c>
      <c r="C1095" t="s">
        <v>2497</v>
      </c>
    </row>
    <row r="1096" spans="1:3" ht="15" customHeight="1" x14ac:dyDescent="0.45">
      <c r="A1096" t="s">
        <v>2498</v>
      </c>
      <c r="B1096" s="8">
        <f>'EMCAP_Pricing Matrix'!R232</f>
        <v>8.8750000000000009E-2</v>
      </c>
      <c r="C1096" t="s">
        <v>2499</v>
      </c>
    </row>
    <row r="1097" spans="1:3" ht="15" customHeight="1" x14ac:dyDescent="0.45">
      <c r="A1097" t="s">
        <v>2500</v>
      </c>
      <c r="B1097" s="8">
        <f>'EMCAP_Pricing Matrix'!W232</f>
        <v>8.5000000000000006E-2</v>
      </c>
      <c r="C1097" t="s">
        <v>2501</v>
      </c>
    </row>
    <row r="1098" spans="1:3" ht="15" customHeight="1" x14ac:dyDescent="0.45">
      <c r="A1098" t="s">
        <v>2502</v>
      </c>
      <c r="B1098" s="8">
        <f>'EMCAP_Pricing Matrix'!X232</f>
        <v>8.6250000000000007E-2</v>
      </c>
      <c r="C1098" t="s">
        <v>2503</v>
      </c>
    </row>
    <row r="1099" spans="1:3" ht="15" customHeight="1" x14ac:dyDescent="0.45">
      <c r="A1099" t="s">
        <v>2504</v>
      </c>
      <c r="B1099" s="8">
        <f>'EMCAP_Pricing Matrix'!Y232</f>
        <v>8.6250000000000007E-2</v>
      </c>
      <c r="C1099" t="s">
        <v>2505</v>
      </c>
    </row>
    <row r="1100" spans="1:3" ht="15" customHeight="1" x14ac:dyDescent="0.45">
      <c r="A1100" t="s">
        <v>2506</v>
      </c>
      <c r="B1100" s="8">
        <f>'EMCAP_Pricing Matrix'!Z232</f>
        <v>8.7500000000000008E-2</v>
      </c>
      <c r="C1100" t="s">
        <v>2507</v>
      </c>
    </row>
    <row r="1101" spans="1:3" ht="15" customHeight="1" x14ac:dyDescent="0.45">
      <c r="A1101" t="s">
        <v>2508</v>
      </c>
      <c r="B1101" s="8">
        <f>'EMCAP_Pricing Matrix'!AA232</f>
        <v>8.8750000000000009E-2</v>
      </c>
      <c r="C1101" t="s">
        <v>2509</v>
      </c>
    </row>
    <row r="1102" spans="1:3" ht="15" customHeight="1" x14ac:dyDescent="0.45">
      <c r="A1102" t="s">
        <v>2510</v>
      </c>
      <c r="B1102" s="8">
        <f>'EMCAP_Pricing Matrix'!AB232</f>
        <v>9.0000000000000011E-2</v>
      </c>
      <c r="C1102" t="s">
        <v>2511</v>
      </c>
    </row>
    <row r="1103" spans="1:3" ht="15" customHeight="1" x14ac:dyDescent="0.45">
      <c r="A1103" t="s">
        <v>2512</v>
      </c>
      <c r="B1103" s="8">
        <f>'EMCAP_Pricing Matrix'!AG232</f>
        <v>8.5000000000000006E-2</v>
      </c>
      <c r="C1103" t="s">
        <v>2513</v>
      </c>
    </row>
    <row r="1104" spans="1:3" ht="15" customHeight="1" x14ac:dyDescent="0.45">
      <c r="A1104" t="s">
        <v>2514</v>
      </c>
      <c r="B1104" s="8">
        <f>'EMCAP_Pricing Matrix'!AH232</f>
        <v>8.6250000000000007E-2</v>
      </c>
      <c r="C1104" t="s">
        <v>2515</v>
      </c>
    </row>
    <row r="1105" spans="1:3" ht="15" customHeight="1" x14ac:dyDescent="0.45">
      <c r="A1105" t="s">
        <v>2516</v>
      </c>
      <c r="B1105" s="8">
        <f>'EMCAP_Pricing Matrix'!AI232</f>
        <v>8.6250000000000007E-2</v>
      </c>
      <c r="C1105" t="s">
        <v>2517</v>
      </c>
    </row>
    <row r="1106" spans="1:3" ht="15" customHeight="1" x14ac:dyDescent="0.45">
      <c r="A1106" t="s">
        <v>2518</v>
      </c>
      <c r="B1106" s="8">
        <f>'EMCAP_Pricing Matrix'!AJ232</f>
        <v>8.7500000000000008E-2</v>
      </c>
      <c r="C1106" t="s">
        <v>2519</v>
      </c>
    </row>
    <row r="1107" spans="1:3" ht="15" customHeight="1" x14ac:dyDescent="0.45">
      <c r="A1107" t="s">
        <v>2520</v>
      </c>
      <c r="B1107" s="8">
        <f>'EMCAP_Pricing Matrix'!AK232</f>
        <v>8.8750000000000009E-2</v>
      </c>
      <c r="C1107" t="s">
        <v>2521</v>
      </c>
    </row>
    <row r="1108" spans="1:3" ht="15" customHeight="1" x14ac:dyDescent="0.45">
      <c r="A1108" t="s">
        <v>2522</v>
      </c>
      <c r="B1108" s="8">
        <f>'EMCAP_Pricing Matrix'!AL232</f>
        <v>9.0000000000000011E-2</v>
      </c>
      <c r="C1108" t="s">
        <v>2523</v>
      </c>
    </row>
    <row r="1109" spans="1:3" ht="15" customHeight="1" x14ac:dyDescent="0.45">
      <c r="A1109" t="s">
        <v>2524</v>
      </c>
      <c r="B1109" s="8">
        <f>'EMCAP_Pricing Matrix'!AQ232</f>
        <v>8.7500000000000008E-2</v>
      </c>
      <c r="C1109" t="s">
        <v>2525</v>
      </c>
    </row>
    <row r="1110" spans="1:3" ht="15" customHeight="1" x14ac:dyDescent="0.45">
      <c r="A1110" t="s">
        <v>2526</v>
      </c>
      <c r="B1110" s="8">
        <f>'EMCAP_Pricing Matrix'!AR232</f>
        <v>9.0000000000000011E-2</v>
      </c>
      <c r="C1110" t="s">
        <v>2527</v>
      </c>
    </row>
    <row r="1111" spans="1:3" ht="15" customHeight="1" x14ac:dyDescent="0.45">
      <c r="A1111" t="s">
        <v>2528</v>
      </c>
      <c r="B1111" s="8">
        <f>'EMCAP_Pricing Matrix'!AS232</f>
        <v>9.0000000000000011E-2</v>
      </c>
      <c r="C1111" t="s">
        <v>2529</v>
      </c>
    </row>
    <row r="1112" spans="1:3" ht="15" customHeight="1" x14ac:dyDescent="0.45">
      <c r="A1112" t="s">
        <v>2530</v>
      </c>
      <c r="B1112" s="8">
        <f>'EMCAP_Pricing Matrix'!AT232</f>
        <v>9.2500000000000013E-2</v>
      </c>
      <c r="C1112" t="s">
        <v>2531</v>
      </c>
    </row>
    <row r="1113" spans="1:3" ht="15" customHeight="1" x14ac:dyDescent="0.45">
      <c r="A1113" t="s">
        <v>2532</v>
      </c>
      <c r="B1113" s="8">
        <f>'EMCAP_Pricing Matrix'!AU232</f>
        <v>9.5000000000000015E-2</v>
      </c>
      <c r="C1113" t="s">
        <v>2533</v>
      </c>
    </row>
    <row r="1114" spans="1:3" ht="15" customHeight="1" x14ac:dyDescent="0.45">
      <c r="A1114" t="s">
        <v>2534</v>
      </c>
      <c r="B1114" s="8">
        <f>'EMCAP_Pricing Matrix'!AV232</f>
        <v>9.7500000000000017E-2</v>
      </c>
      <c r="C1114" t="s">
        <v>2535</v>
      </c>
    </row>
    <row r="1115" spans="1:3" ht="15" customHeight="1" x14ac:dyDescent="0.45">
      <c r="A1115" t="s">
        <v>2536</v>
      </c>
      <c r="B1115" s="8">
        <f>'EMCAP_Pricing Matrix'!C233</f>
        <v>8.8750000000000009E-2</v>
      </c>
      <c r="C1115" t="s">
        <v>2537</v>
      </c>
    </row>
    <row r="1116" spans="1:3" ht="15" customHeight="1" x14ac:dyDescent="0.45">
      <c r="A1116" t="s">
        <v>2538</v>
      </c>
      <c r="B1116" s="8">
        <f>'EMCAP_Pricing Matrix'!D233</f>
        <v>9.0000000000000011E-2</v>
      </c>
      <c r="C1116" t="s">
        <v>2539</v>
      </c>
    </row>
    <row r="1117" spans="1:3" ht="15" customHeight="1" x14ac:dyDescent="0.45">
      <c r="A1117" t="s">
        <v>2540</v>
      </c>
      <c r="B1117" s="8">
        <f>'EMCAP_Pricing Matrix'!E233</f>
        <v>9.0000000000000011E-2</v>
      </c>
      <c r="C1117" t="s">
        <v>2541</v>
      </c>
    </row>
    <row r="1118" spans="1:3" ht="15" customHeight="1" x14ac:dyDescent="0.45">
      <c r="A1118" t="s">
        <v>2542</v>
      </c>
      <c r="B1118" s="8">
        <f>'EMCAP_Pricing Matrix'!F233</f>
        <v>9.1250000000000012E-2</v>
      </c>
      <c r="C1118" t="s">
        <v>2543</v>
      </c>
    </row>
    <row r="1119" spans="1:3" ht="15" customHeight="1" x14ac:dyDescent="0.45">
      <c r="A1119" t="s">
        <v>2544</v>
      </c>
      <c r="B1119" s="8">
        <f>'EMCAP_Pricing Matrix'!G233</f>
        <v>9.2500000000000013E-2</v>
      </c>
      <c r="C1119" t="s">
        <v>2545</v>
      </c>
    </row>
    <row r="1120" spans="1:3" ht="15" customHeight="1" x14ac:dyDescent="0.45">
      <c r="A1120" t="s">
        <v>2546</v>
      </c>
      <c r="B1120" s="8">
        <f>'EMCAP_Pricing Matrix'!M233</f>
        <v>8.8750000000000009E-2</v>
      </c>
      <c r="C1120" t="s">
        <v>2547</v>
      </c>
    </row>
    <row r="1121" spans="1:3" ht="15" customHeight="1" x14ac:dyDescent="0.45">
      <c r="A1121" t="s">
        <v>2548</v>
      </c>
      <c r="B1121" s="8">
        <f>'EMCAP_Pricing Matrix'!N233</f>
        <v>9.0000000000000011E-2</v>
      </c>
      <c r="C1121" t="s">
        <v>2549</v>
      </c>
    </row>
    <row r="1122" spans="1:3" ht="15" customHeight="1" x14ac:dyDescent="0.45">
      <c r="A1122" t="s">
        <v>2550</v>
      </c>
      <c r="B1122" s="8">
        <f>'EMCAP_Pricing Matrix'!O233</f>
        <v>9.0000000000000011E-2</v>
      </c>
      <c r="C1122" t="s">
        <v>2551</v>
      </c>
    </row>
    <row r="1123" spans="1:3" ht="15" customHeight="1" x14ac:dyDescent="0.45">
      <c r="A1123" t="s">
        <v>2552</v>
      </c>
      <c r="B1123" s="8">
        <f>'EMCAP_Pricing Matrix'!P233</f>
        <v>9.1250000000000012E-2</v>
      </c>
      <c r="C1123" t="s">
        <v>2553</v>
      </c>
    </row>
    <row r="1124" spans="1:3" ht="15" customHeight="1" x14ac:dyDescent="0.45">
      <c r="A1124" t="s">
        <v>2554</v>
      </c>
      <c r="B1124" s="8">
        <f>'EMCAP_Pricing Matrix'!Q233</f>
        <v>9.2500000000000013E-2</v>
      </c>
      <c r="C1124" t="s">
        <v>2555</v>
      </c>
    </row>
    <row r="1125" spans="1:3" ht="15" customHeight="1" x14ac:dyDescent="0.45">
      <c r="A1125" t="s">
        <v>2556</v>
      </c>
      <c r="B1125" s="8">
        <f>'EMCAP_Pricing Matrix'!W233</f>
        <v>9.0000000000000011E-2</v>
      </c>
      <c r="C1125" t="s">
        <v>2557</v>
      </c>
    </row>
    <row r="1126" spans="1:3" ht="15" customHeight="1" x14ac:dyDescent="0.45">
      <c r="A1126" t="s">
        <v>2558</v>
      </c>
      <c r="B1126" s="8">
        <f>'EMCAP_Pricing Matrix'!X233</f>
        <v>9.1250000000000012E-2</v>
      </c>
      <c r="C1126" t="s">
        <v>2559</v>
      </c>
    </row>
    <row r="1127" spans="1:3" ht="15" customHeight="1" x14ac:dyDescent="0.45">
      <c r="A1127" t="s">
        <v>2560</v>
      </c>
      <c r="B1127" s="8">
        <f>'EMCAP_Pricing Matrix'!Y233</f>
        <v>9.1250000000000012E-2</v>
      </c>
      <c r="C1127" t="s">
        <v>2561</v>
      </c>
    </row>
    <row r="1128" spans="1:3" ht="15" customHeight="1" x14ac:dyDescent="0.45">
      <c r="A1128" t="s">
        <v>2562</v>
      </c>
      <c r="B1128" s="8">
        <f>'EMCAP_Pricing Matrix'!Z233</f>
        <v>9.2500000000000013E-2</v>
      </c>
      <c r="C1128" t="s">
        <v>2563</v>
      </c>
    </row>
    <row r="1129" spans="1:3" ht="15" customHeight="1" x14ac:dyDescent="0.45">
      <c r="A1129" t="s">
        <v>2564</v>
      </c>
      <c r="B1129" s="8">
        <f>'EMCAP_Pricing Matrix'!AA233</f>
        <v>9.3750000000000014E-2</v>
      </c>
      <c r="C1129" t="s">
        <v>2565</v>
      </c>
    </row>
    <row r="1130" spans="1:3" ht="15" customHeight="1" x14ac:dyDescent="0.45">
      <c r="A1130" t="s">
        <v>2566</v>
      </c>
      <c r="B1130" s="8">
        <f>'EMCAP_Pricing Matrix'!AG233</f>
        <v>9.0000000000000011E-2</v>
      </c>
      <c r="C1130" t="s">
        <v>2567</v>
      </c>
    </row>
    <row r="1131" spans="1:3" ht="15" customHeight="1" x14ac:dyDescent="0.45">
      <c r="A1131" t="s">
        <v>2568</v>
      </c>
      <c r="B1131" s="8">
        <f>'EMCAP_Pricing Matrix'!AH233</f>
        <v>9.1250000000000012E-2</v>
      </c>
      <c r="C1131" t="s">
        <v>2569</v>
      </c>
    </row>
    <row r="1132" spans="1:3" ht="15" customHeight="1" x14ac:dyDescent="0.45">
      <c r="A1132" t="s">
        <v>2570</v>
      </c>
      <c r="B1132" s="8">
        <f>'EMCAP_Pricing Matrix'!AI233</f>
        <v>9.1250000000000012E-2</v>
      </c>
      <c r="C1132" t="s">
        <v>2571</v>
      </c>
    </row>
    <row r="1133" spans="1:3" ht="15" customHeight="1" x14ac:dyDescent="0.45">
      <c r="A1133" t="s">
        <v>2572</v>
      </c>
      <c r="B1133" s="8">
        <f>'EMCAP_Pricing Matrix'!AJ233</f>
        <v>9.2500000000000013E-2</v>
      </c>
      <c r="C1133" t="s">
        <v>2573</v>
      </c>
    </row>
    <row r="1134" spans="1:3" ht="15" customHeight="1" x14ac:dyDescent="0.45">
      <c r="A1134" t="s">
        <v>2574</v>
      </c>
      <c r="B1134" s="8">
        <f>'EMCAP_Pricing Matrix'!AK233</f>
        <v>9.3750000000000014E-2</v>
      </c>
      <c r="C1134" t="s">
        <v>2575</v>
      </c>
    </row>
    <row r="1135" spans="1:3" ht="15" customHeight="1" x14ac:dyDescent="0.45">
      <c r="A1135" t="s">
        <v>2576</v>
      </c>
      <c r="B1135" s="8">
        <f>'EMCAP_Pricing Matrix'!AQ233</f>
        <v>9.2500000000000013E-2</v>
      </c>
      <c r="C1135" t="s">
        <v>2577</v>
      </c>
    </row>
    <row r="1136" spans="1:3" ht="15" customHeight="1" x14ac:dyDescent="0.45">
      <c r="A1136" t="s">
        <v>2578</v>
      </c>
      <c r="B1136" s="8">
        <f>'EMCAP_Pricing Matrix'!AR233</f>
        <v>9.5000000000000015E-2</v>
      </c>
      <c r="C1136" t="s">
        <v>2579</v>
      </c>
    </row>
    <row r="1137" spans="1:3" ht="15" customHeight="1" x14ac:dyDescent="0.45">
      <c r="A1137" t="s">
        <v>2580</v>
      </c>
      <c r="B1137" s="8">
        <f>'EMCAP_Pricing Matrix'!AS233</f>
        <v>9.5000000000000015E-2</v>
      </c>
      <c r="C1137" t="s">
        <v>2581</v>
      </c>
    </row>
    <row r="1138" spans="1:3" ht="15" customHeight="1" x14ac:dyDescent="0.45">
      <c r="A1138" t="s">
        <v>2582</v>
      </c>
      <c r="B1138" s="8">
        <f>'EMCAP_Pricing Matrix'!AT233</f>
        <v>9.7500000000000017E-2</v>
      </c>
      <c r="C1138" t="s">
        <v>2583</v>
      </c>
    </row>
    <row r="1139" spans="1:3" ht="15" customHeight="1" x14ac:dyDescent="0.45">
      <c r="A1139" t="s">
        <v>2584</v>
      </c>
      <c r="B1139" s="8">
        <f>'EMCAP_Pricing Matrix'!AU233</f>
        <v>0.10000000000000002</v>
      </c>
      <c r="C1139" t="s">
        <v>2585</v>
      </c>
    </row>
    <row r="1140" spans="1:3" ht="15" customHeight="1" x14ac:dyDescent="0.45">
      <c r="A1140" t="s">
        <v>2586</v>
      </c>
      <c r="B1140" s="8">
        <f>'EMCAP_Pricing Matrix'!C236</f>
        <v>8.2500000000000004E-2</v>
      </c>
      <c r="C1140" t="s">
        <v>2587</v>
      </c>
    </row>
    <row r="1141" spans="1:3" ht="15" customHeight="1" x14ac:dyDescent="0.45">
      <c r="A1141" t="s">
        <v>2588</v>
      </c>
      <c r="B1141" s="8">
        <f>'EMCAP_Pricing Matrix'!D236</f>
        <v>8.3750000000000005E-2</v>
      </c>
      <c r="C1141" t="s">
        <v>2589</v>
      </c>
    </row>
    <row r="1142" spans="1:3" ht="15" customHeight="1" x14ac:dyDescent="0.45">
      <c r="A1142" t="s">
        <v>2590</v>
      </c>
      <c r="B1142" s="8">
        <f>'EMCAP_Pricing Matrix'!E236</f>
        <v>8.3750000000000005E-2</v>
      </c>
      <c r="C1142" t="s">
        <v>2591</v>
      </c>
    </row>
    <row r="1143" spans="1:3" ht="15" customHeight="1" x14ac:dyDescent="0.45">
      <c r="A1143" t="s">
        <v>2592</v>
      </c>
      <c r="B1143" s="8">
        <f>'EMCAP_Pricing Matrix'!F236</f>
        <v>8.5000000000000006E-2</v>
      </c>
      <c r="C1143" t="s">
        <v>2593</v>
      </c>
    </row>
    <row r="1144" spans="1:3" ht="15" customHeight="1" x14ac:dyDescent="0.45">
      <c r="A1144" t="s">
        <v>2594</v>
      </c>
      <c r="B1144" s="8">
        <f>'EMCAP_Pricing Matrix'!G236</f>
        <v>8.6250000000000007E-2</v>
      </c>
      <c r="C1144" t="s">
        <v>2595</v>
      </c>
    </row>
    <row r="1145" spans="1:3" ht="15" customHeight="1" x14ac:dyDescent="0.45">
      <c r="A1145" t="s">
        <v>2596</v>
      </c>
      <c r="B1145" s="8">
        <f>'EMCAP_Pricing Matrix'!H236</f>
        <v>8.7500000000000008E-2</v>
      </c>
      <c r="C1145" t="s">
        <v>2597</v>
      </c>
    </row>
    <row r="1146" spans="1:3" ht="15" customHeight="1" x14ac:dyDescent="0.45">
      <c r="A1146" t="s">
        <v>2598</v>
      </c>
      <c r="B1146" s="8">
        <f>'EMCAP_Pricing Matrix'!M236</f>
        <v>8.2500000000000004E-2</v>
      </c>
      <c r="C1146" t="s">
        <v>2599</v>
      </c>
    </row>
    <row r="1147" spans="1:3" ht="15" customHeight="1" x14ac:dyDescent="0.45">
      <c r="A1147" t="s">
        <v>2600</v>
      </c>
      <c r="B1147" s="8">
        <f>'EMCAP_Pricing Matrix'!N236</f>
        <v>8.3750000000000005E-2</v>
      </c>
      <c r="C1147" t="s">
        <v>2601</v>
      </c>
    </row>
    <row r="1148" spans="1:3" ht="15" customHeight="1" x14ac:dyDescent="0.45">
      <c r="A1148" t="s">
        <v>2602</v>
      </c>
      <c r="B1148" s="8">
        <f>'EMCAP_Pricing Matrix'!O236</f>
        <v>8.3750000000000005E-2</v>
      </c>
      <c r="C1148" t="s">
        <v>2603</v>
      </c>
    </row>
    <row r="1149" spans="1:3" ht="15" customHeight="1" x14ac:dyDescent="0.45">
      <c r="A1149" t="s">
        <v>2604</v>
      </c>
      <c r="B1149" s="8">
        <f>'EMCAP_Pricing Matrix'!P236</f>
        <v>8.5000000000000006E-2</v>
      </c>
      <c r="C1149" t="s">
        <v>2605</v>
      </c>
    </row>
    <row r="1150" spans="1:3" ht="15" customHeight="1" x14ac:dyDescent="0.45">
      <c r="A1150" t="s">
        <v>2606</v>
      </c>
      <c r="B1150" s="8">
        <f>'EMCAP_Pricing Matrix'!Q236</f>
        <v>8.6250000000000007E-2</v>
      </c>
      <c r="C1150" t="s">
        <v>2607</v>
      </c>
    </row>
    <row r="1151" spans="1:3" ht="15" customHeight="1" x14ac:dyDescent="0.45">
      <c r="A1151" t="s">
        <v>2608</v>
      </c>
      <c r="B1151" s="8">
        <f>'EMCAP_Pricing Matrix'!R236</f>
        <v>8.7500000000000008E-2</v>
      </c>
      <c r="C1151" t="s">
        <v>2609</v>
      </c>
    </row>
    <row r="1152" spans="1:3" ht="15" customHeight="1" x14ac:dyDescent="0.45">
      <c r="A1152" t="s">
        <v>2610</v>
      </c>
      <c r="B1152" s="8">
        <f>'EMCAP_Pricing Matrix'!W236</f>
        <v>8.3750000000000005E-2</v>
      </c>
      <c r="C1152" t="s">
        <v>2611</v>
      </c>
    </row>
    <row r="1153" spans="1:3" ht="15" customHeight="1" x14ac:dyDescent="0.45">
      <c r="A1153" t="s">
        <v>2612</v>
      </c>
      <c r="B1153" s="8">
        <f>'EMCAP_Pricing Matrix'!X236</f>
        <v>8.5000000000000006E-2</v>
      </c>
      <c r="C1153" t="s">
        <v>2613</v>
      </c>
    </row>
    <row r="1154" spans="1:3" ht="15" customHeight="1" x14ac:dyDescent="0.45">
      <c r="A1154" t="s">
        <v>2614</v>
      </c>
      <c r="B1154" s="8">
        <f>'EMCAP_Pricing Matrix'!Y236</f>
        <v>8.5000000000000006E-2</v>
      </c>
      <c r="C1154" t="s">
        <v>2615</v>
      </c>
    </row>
    <row r="1155" spans="1:3" ht="15" customHeight="1" x14ac:dyDescent="0.45">
      <c r="A1155" t="s">
        <v>2616</v>
      </c>
      <c r="B1155" s="8">
        <f>'EMCAP_Pricing Matrix'!Z236</f>
        <v>8.6250000000000007E-2</v>
      </c>
      <c r="C1155" t="s">
        <v>2617</v>
      </c>
    </row>
    <row r="1156" spans="1:3" ht="15" customHeight="1" x14ac:dyDescent="0.45">
      <c r="A1156" t="s">
        <v>2618</v>
      </c>
      <c r="B1156" s="8">
        <f>'EMCAP_Pricing Matrix'!AA236</f>
        <v>8.7500000000000008E-2</v>
      </c>
      <c r="C1156" t="s">
        <v>2619</v>
      </c>
    </row>
    <row r="1157" spans="1:3" ht="15" customHeight="1" x14ac:dyDescent="0.45">
      <c r="A1157" t="s">
        <v>2620</v>
      </c>
      <c r="B1157" s="8">
        <f>'EMCAP_Pricing Matrix'!AB236</f>
        <v>8.8750000000000009E-2</v>
      </c>
      <c r="C1157" t="s">
        <v>2621</v>
      </c>
    </row>
    <row r="1158" spans="1:3" ht="15" customHeight="1" x14ac:dyDescent="0.45">
      <c r="A1158" t="s">
        <v>2622</v>
      </c>
      <c r="B1158" s="8">
        <f>'EMCAP_Pricing Matrix'!AG236</f>
        <v>8.3750000000000005E-2</v>
      </c>
      <c r="C1158" t="s">
        <v>2623</v>
      </c>
    </row>
    <row r="1159" spans="1:3" ht="15" customHeight="1" x14ac:dyDescent="0.45">
      <c r="A1159" t="s">
        <v>2624</v>
      </c>
      <c r="B1159" s="8">
        <f>'EMCAP_Pricing Matrix'!AH236</f>
        <v>8.5000000000000006E-2</v>
      </c>
      <c r="C1159" t="s">
        <v>2625</v>
      </c>
    </row>
    <row r="1160" spans="1:3" ht="15" customHeight="1" x14ac:dyDescent="0.45">
      <c r="A1160" t="s">
        <v>2626</v>
      </c>
      <c r="B1160" s="8">
        <f>'EMCAP_Pricing Matrix'!AI236</f>
        <v>8.5000000000000006E-2</v>
      </c>
      <c r="C1160" t="s">
        <v>2627</v>
      </c>
    </row>
    <row r="1161" spans="1:3" ht="15" customHeight="1" x14ac:dyDescent="0.45">
      <c r="A1161" t="s">
        <v>2628</v>
      </c>
      <c r="B1161" s="8">
        <f>'EMCAP_Pricing Matrix'!AJ236</f>
        <v>8.6250000000000007E-2</v>
      </c>
      <c r="C1161" t="s">
        <v>2629</v>
      </c>
    </row>
    <row r="1162" spans="1:3" ht="15" customHeight="1" x14ac:dyDescent="0.45">
      <c r="A1162" t="s">
        <v>2630</v>
      </c>
      <c r="B1162" s="8">
        <f>'EMCAP_Pricing Matrix'!AK236</f>
        <v>8.7500000000000008E-2</v>
      </c>
      <c r="C1162" t="s">
        <v>2631</v>
      </c>
    </row>
    <row r="1163" spans="1:3" ht="15" customHeight="1" x14ac:dyDescent="0.45">
      <c r="A1163" t="s">
        <v>2632</v>
      </c>
      <c r="B1163" s="8">
        <f>'EMCAP_Pricing Matrix'!AL236</f>
        <v>8.8750000000000009E-2</v>
      </c>
      <c r="C1163" t="s">
        <v>2633</v>
      </c>
    </row>
    <row r="1164" spans="1:3" ht="15" customHeight="1" x14ac:dyDescent="0.45">
      <c r="A1164" t="s">
        <v>2634</v>
      </c>
      <c r="B1164" s="8">
        <f>'EMCAP_Pricing Matrix'!AQ236</f>
        <v>8.5000000000000006E-2</v>
      </c>
      <c r="C1164" t="s">
        <v>2635</v>
      </c>
    </row>
    <row r="1165" spans="1:3" ht="15" customHeight="1" x14ac:dyDescent="0.45">
      <c r="A1165" t="s">
        <v>2636</v>
      </c>
      <c r="B1165" s="8">
        <f>'EMCAP_Pricing Matrix'!AR236</f>
        <v>8.7500000000000008E-2</v>
      </c>
      <c r="C1165" t="s">
        <v>2637</v>
      </c>
    </row>
    <row r="1166" spans="1:3" ht="15" customHeight="1" x14ac:dyDescent="0.45">
      <c r="A1166" t="s">
        <v>2638</v>
      </c>
      <c r="B1166" s="8">
        <f>'EMCAP_Pricing Matrix'!AS236</f>
        <v>8.7500000000000008E-2</v>
      </c>
      <c r="C1166" t="s">
        <v>2639</v>
      </c>
    </row>
    <row r="1167" spans="1:3" ht="15" customHeight="1" x14ac:dyDescent="0.45">
      <c r="A1167" t="s">
        <v>2640</v>
      </c>
      <c r="B1167" s="8">
        <f>'EMCAP_Pricing Matrix'!AT236</f>
        <v>9.0000000000000011E-2</v>
      </c>
      <c r="C1167" t="s">
        <v>2641</v>
      </c>
    </row>
    <row r="1168" spans="1:3" ht="15" customHeight="1" x14ac:dyDescent="0.45">
      <c r="A1168" t="s">
        <v>2642</v>
      </c>
      <c r="B1168" s="8">
        <f>'EMCAP_Pricing Matrix'!AU236</f>
        <v>9.2500000000000013E-2</v>
      </c>
      <c r="C1168" t="s">
        <v>2643</v>
      </c>
    </row>
    <row r="1169" spans="1:3" ht="15" customHeight="1" x14ac:dyDescent="0.45">
      <c r="A1169" t="s">
        <v>2644</v>
      </c>
      <c r="B1169" s="8">
        <f>'EMCAP_Pricing Matrix'!AV236</f>
        <v>9.5000000000000015E-2</v>
      </c>
      <c r="C1169" t="s">
        <v>2645</v>
      </c>
    </row>
    <row r="1170" spans="1:3" ht="15" customHeight="1" x14ac:dyDescent="0.45">
      <c r="A1170" t="s">
        <v>2646</v>
      </c>
      <c r="B1170" s="8">
        <f>'EMCAP_Pricing Matrix'!C237</f>
        <v>8.7500000000000008E-2</v>
      </c>
      <c r="C1170" t="s">
        <v>2647</v>
      </c>
    </row>
    <row r="1171" spans="1:3" ht="15" customHeight="1" x14ac:dyDescent="0.45">
      <c r="A1171" t="s">
        <v>2648</v>
      </c>
      <c r="B1171" s="8">
        <f>'EMCAP_Pricing Matrix'!D237</f>
        <v>8.8750000000000009E-2</v>
      </c>
      <c r="C1171" t="s">
        <v>2649</v>
      </c>
    </row>
    <row r="1172" spans="1:3" ht="15" customHeight="1" x14ac:dyDescent="0.45">
      <c r="A1172" t="s">
        <v>2650</v>
      </c>
      <c r="B1172" s="8">
        <f>'EMCAP_Pricing Matrix'!E237</f>
        <v>8.8750000000000009E-2</v>
      </c>
      <c r="C1172" t="s">
        <v>2651</v>
      </c>
    </row>
    <row r="1173" spans="1:3" ht="15" customHeight="1" x14ac:dyDescent="0.45">
      <c r="A1173" t="s">
        <v>2652</v>
      </c>
      <c r="B1173" s="8">
        <f>'EMCAP_Pricing Matrix'!F237</f>
        <v>9.0000000000000011E-2</v>
      </c>
      <c r="C1173" t="s">
        <v>2653</v>
      </c>
    </row>
    <row r="1174" spans="1:3" ht="15" customHeight="1" x14ac:dyDescent="0.45">
      <c r="A1174" t="s">
        <v>2654</v>
      </c>
      <c r="B1174" s="8">
        <f>'EMCAP_Pricing Matrix'!G237</f>
        <v>9.1250000000000012E-2</v>
      </c>
      <c r="C1174" t="s">
        <v>2655</v>
      </c>
    </row>
    <row r="1175" spans="1:3" ht="15" customHeight="1" x14ac:dyDescent="0.45">
      <c r="A1175" t="s">
        <v>2656</v>
      </c>
      <c r="B1175" s="8">
        <f>'EMCAP_Pricing Matrix'!H237</f>
        <v>9.2500000000000013E-2</v>
      </c>
      <c r="C1175" t="s">
        <v>2657</v>
      </c>
    </row>
    <row r="1176" spans="1:3" ht="15" customHeight="1" x14ac:dyDescent="0.45">
      <c r="A1176" t="s">
        <v>2658</v>
      </c>
      <c r="B1176" s="8">
        <f>'EMCAP_Pricing Matrix'!M237</f>
        <v>8.7500000000000008E-2</v>
      </c>
      <c r="C1176" t="s">
        <v>2659</v>
      </c>
    </row>
    <row r="1177" spans="1:3" ht="15" customHeight="1" x14ac:dyDescent="0.45">
      <c r="A1177" t="s">
        <v>2660</v>
      </c>
      <c r="B1177" s="8">
        <f>'EMCAP_Pricing Matrix'!N237</f>
        <v>8.8750000000000009E-2</v>
      </c>
      <c r="C1177" t="s">
        <v>2661</v>
      </c>
    </row>
    <row r="1178" spans="1:3" ht="15" customHeight="1" x14ac:dyDescent="0.45">
      <c r="A1178" t="s">
        <v>2662</v>
      </c>
      <c r="B1178" s="8">
        <f>'EMCAP_Pricing Matrix'!O237</f>
        <v>8.8750000000000009E-2</v>
      </c>
      <c r="C1178" t="s">
        <v>2663</v>
      </c>
    </row>
    <row r="1179" spans="1:3" ht="15" customHeight="1" x14ac:dyDescent="0.45">
      <c r="A1179" t="s">
        <v>2664</v>
      </c>
      <c r="B1179" s="8">
        <f>'EMCAP_Pricing Matrix'!P237</f>
        <v>9.0000000000000011E-2</v>
      </c>
      <c r="C1179" t="s">
        <v>2665</v>
      </c>
    </row>
    <row r="1180" spans="1:3" ht="15" customHeight="1" x14ac:dyDescent="0.45">
      <c r="A1180" t="s">
        <v>2666</v>
      </c>
      <c r="B1180" s="8">
        <f>'EMCAP_Pricing Matrix'!Q237</f>
        <v>9.1250000000000012E-2</v>
      </c>
      <c r="C1180" t="s">
        <v>2667</v>
      </c>
    </row>
    <row r="1181" spans="1:3" ht="15" customHeight="1" x14ac:dyDescent="0.45">
      <c r="A1181" t="s">
        <v>2668</v>
      </c>
      <c r="B1181" s="8">
        <f>'EMCAP_Pricing Matrix'!R237</f>
        <v>9.2500000000000013E-2</v>
      </c>
      <c r="C1181" t="s">
        <v>2669</v>
      </c>
    </row>
    <row r="1182" spans="1:3" ht="15" customHeight="1" x14ac:dyDescent="0.45">
      <c r="A1182" t="s">
        <v>2670</v>
      </c>
      <c r="B1182" s="8">
        <f>'EMCAP_Pricing Matrix'!W237</f>
        <v>8.8750000000000009E-2</v>
      </c>
      <c r="C1182" t="s">
        <v>2671</v>
      </c>
    </row>
    <row r="1183" spans="1:3" ht="15" customHeight="1" x14ac:dyDescent="0.45">
      <c r="A1183" t="s">
        <v>2672</v>
      </c>
      <c r="B1183" s="8">
        <f>'EMCAP_Pricing Matrix'!X237</f>
        <v>9.0000000000000011E-2</v>
      </c>
      <c r="C1183" t="s">
        <v>2673</v>
      </c>
    </row>
    <row r="1184" spans="1:3" ht="15" customHeight="1" x14ac:dyDescent="0.45">
      <c r="A1184" t="s">
        <v>2674</v>
      </c>
      <c r="B1184" s="8">
        <f>'EMCAP_Pricing Matrix'!Y237</f>
        <v>9.0000000000000011E-2</v>
      </c>
      <c r="C1184" t="s">
        <v>2675</v>
      </c>
    </row>
    <row r="1185" spans="1:3" ht="15" customHeight="1" x14ac:dyDescent="0.45">
      <c r="A1185" t="s">
        <v>2676</v>
      </c>
      <c r="B1185" s="8">
        <f>'EMCAP_Pricing Matrix'!Z237</f>
        <v>9.1250000000000012E-2</v>
      </c>
      <c r="C1185" t="s">
        <v>2677</v>
      </c>
    </row>
    <row r="1186" spans="1:3" ht="15" customHeight="1" x14ac:dyDescent="0.45">
      <c r="A1186" t="s">
        <v>2678</v>
      </c>
      <c r="B1186" s="8">
        <f>'EMCAP_Pricing Matrix'!AA237</f>
        <v>9.2500000000000013E-2</v>
      </c>
      <c r="C1186" t="s">
        <v>2679</v>
      </c>
    </row>
    <row r="1187" spans="1:3" ht="15" customHeight="1" x14ac:dyDescent="0.45">
      <c r="A1187" t="s">
        <v>2680</v>
      </c>
      <c r="B1187" s="8">
        <f>'EMCAP_Pricing Matrix'!AB237</f>
        <v>9.3750000000000014E-2</v>
      </c>
      <c r="C1187" t="s">
        <v>2681</v>
      </c>
    </row>
    <row r="1188" spans="1:3" ht="15" customHeight="1" x14ac:dyDescent="0.45">
      <c r="A1188" t="s">
        <v>2682</v>
      </c>
      <c r="B1188" s="8">
        <f>'EMCAP_Pricing Matrix'!AG237</f>
        <v>8.8750000000000009E-2</v>
      </c>
      <c r="C1188" t="s">
        <v>2683</v>
      </c>
    </row>
    <row r="1189" spans="1:3" ht="15" customHeight="1" x14ac:dyDescent="0.45">
      <c r="A1189" t="s">
        <v>2684</v>
      </c>
      <c r="B1189" s="8">
        <f>'EMCAP_Pricing Matrix'!AH237</f>
        <v>9.0000000000000011E-2</v>
      </c>
      <c r="C1189" t="s">
        <v>2685</v>
      </c>
    </row>
    <row r="1190" spans="1:3" ht="15" customHeight="1" x14ac:dyDescent="0.45">
      <c r="A1190" t="s">
        <v>2686</v>
      </c>
      <c r="B1190" s="8">
        <f>'EMCAP_Pricing Matrix'!AI237</f>
        <v>9.0000000000000011E-2</v>
      </c>
      <c r="C1190" t="s">
        <v>2687</v>
      </c>
    </row>
    <row r="1191" spans="1:3" ht="15" customHeight="1" x14ac:dyDescent="0.45">
      <c r="A1191" t="s">
        <v>2688</v>
      </c>
      <c r="B1191" s="8">
        <f>'EMCAP_Pricing Matrix'!AJ237</f>
        <v>9.1250000000000012E-2</v>
      </c>
      <c r="C1191" t="s">
        <v>2689</v>
      </c>
    </row>
    <row r="1192" spans="1:3" ht="15" customHeight="1" x14ac:dyDescent="0.45">
      <c r="A1192" t="s">
        <v>2690</v>
      </c>
      <c r="B1192" s="8">
        <f>'EMCAP_Pricing Matrix'!AK237</f>
        <v>9.2500000000000013E-2</v>
      </c>
      <c r="C1192" t="s">
        <v>2691</v>
      </c>
    </row>
    <row r="1193" spans="1:3" ht="15" customHeight="1" x14ac:dyDescent="0.45">
      <c r="A1193" t="s">
        <v>2692</v>
      </c>
      <c r="B1193" s="8">
        <f>'EMCAP_Pricing Matrix'!AL237</f>
        <v>9.3750000000000014E-2</v>
      </c>
      <c r="C1193" t="s">
        <v>2693</v>
      </c>
    </row>
    <row r="1194" spans="1:3" ht="15" customHeight="1" x14ac:dyDescent="0.45">
      <c r="A1194" t="s">
        <v>2694</v>
      </c>
      <c r="B1194" s="8">
        <f>'EMCAP_Pricing Matrix'!AQ237</f>
        <v>9.0000000000000011E-2</v>
      </c>
      <c r="C1194" t="s">
        <v>2695</v>
      </c>
    </row>
    <row r="1195" spans="1:3" ht="15" customHeight="1" x14ac:dyDescent="0.45">
      <c r="A1195" t="s">
        <v>2696</v>
      </c>
      <c r="B1195" s="8">
        <f>'EMCAP_Pricing Matrix'!AR237</f>
        <v>9.2500000000000013E-2</v>
      </c>
      <c r="C1195" t="s">
        <v>2697</v>
      </c>
    </row>
    <row r="1196" spans="1:3" ht="15" customHeight="1" x14ac:dyDescent="0.45">
      <c r="A1196" t="s">
        <v>2698</v>
      </c>
      <c r="B1196" s="8">
        <f>'EMCAP_Pricing Matrix'!AS237</f>
        <v>9.2500000000000013E-2</v>
      </c>
      <c r="C1196" t="s">
        <v>2699</v>
      </c>
    </row>
    <row r="1197" spans="1:3" ht="15" customHeight="1" x14ac:dyDescent="0.45">
      <c r="A1197" t="s">
        <v>2700</v>
      </c>
      <c r="B1197" s="8">
        <f>'EMCAP_Pricing Matrix'!AT237</f>
        <v>9.5000000000000015E-2</v>
      </c>
      <c r="C1197" t="s">
        <v>2701</v>
      </c>
    </row>
    <row r="1198" spans="1:3" ht="15" customHeight="1" x14ac:dyDescent="0.45">
      <c r="A1198" t="s">
        <v>2702</v>
      </c>
      <c r="B1198" s="8">
        <f>'EMCAP_Pricing Matrix'!AU237</f>
        <v>9.7500000000000017E-2</v>
      </c>
      <c r="C1198" t="s">
        <v>2703</v>
      </c>
    </row>
    <row r="1199" spans="1:3" ht="15" customHeight="1" x14ac:dyDescent="0.45">
      <c r="A1199" t="s">
        <v>2704</v>
      </c>
      <c r="B1199" s="8">
        <f>'EMCAP_Pricing Matrix'!AV237</f>
        <v>0.10000000000000002</v>
      </c>
      <c r="C1199" t="s">
        <v>2705</v>
      </c>
    </row>
    <row r="1200" spans="1:3" ht="15" customHeight="1" x14ac:dyDescent="0.45">
      <c r="A1200" t="s">
        <v>2706</v>
      </c>
      <c r="B1200" s="8">
        <f>'EMCAP_Pricing Matrix'!C248</f>
        <v>0.09</v>
      </c>
      <c r="C1200" t="s">
        <v>2707</v>
      </c>
    </row>
    <row r="1201" spans="1:3" ht="15" customHeight="1" x14ac:dyDescent="0.45">
      <c r="A1201" t="s">
        <v>2708</v>
      </c>
      <c r="B1201" s="8">
        <f>'EMCAP_Pricing Matrix'!D248</f>
        <v>9.2499999999999999E-2</v>
      </c>
      <c r="C1201" t="s">
        <v>2709</v>
      </c>
    </row>
    <row r="1202" spans="1:3" ht="15" customHeight="1" x14ac:dyDescent="0.45">
      <c r="A1202" t="s">
        <v>2710</v>
      </c>
      <c r="B1202" s="8">
        <f>'EMCAP_Pricing Matrix'!E248</f>
        <v>9.5000000000000001E-2</v>
      </c>
      <c r="C1202" t="s">
        <v>2711</v>
      </c>
    </row>
    <row r="1203" spans="1:3" ht="15" customHeight="1" x14ac:dyDescent="0.45">
      <c r="A1203" t="s">
        <v>2712</v>
      </c>
      <c r="B1203" s="8">
        <f>'EMCAP_Pricing Matrix'!M248</f>
        <v>0.09</v>
      </c>
      <c r="C1203" t="s">
        <v>2713</v>
      </c>
    </row>
    <row r="1204" spans="1:3" ht="15" customHeight="1" x14ac:dyDescent="0.45">
      <c r="A1204" t="s">
        <v>2714</v>
      </c>
      <c r="B1204" s="8">
        <f>'EMCAP_Pricing Matrix'!N248</f>
        <v>9.2499999999999999E-2</v>
      </c>
      <c r="C1204" t="s">
        <v>2715</v>
      </c>
    </row>
    <row r="1205" spans="1:3" ht="15" customHeight="1" x14ac:dyDescent="0.45">
      <c r="A1205" t="s">
        <v>2716</v>
      </c>
      <c r="B1205" s="8">
        <f>'EMCAP_Pricing Matrix'!O248</f>
        <v>9.5000000000000001E-2</v>
      </c>
      <c r="C1205" t="s">
        <v>2717</v>
      </c>
    </row>
    <row r="1206" spans="1:3" ht="15" customHeight="1" x14ac:dyDescent="0.45">
      <c r="A1206" t="s">
        <v>2718</v>
      </c>
      <c r="B1206" s="8">
        <f>'EMCAP_Pricing Matrix'!W248</f>
        <v>9.1249999999999998E-2</v>
      </c>
      <c r="C1206" t="s">
        <v>2719</v>
      </c>
    </row>
    <row r="1207" spans="1:3" ht="15" customHeight="1" x14ac:dyDescent="0.45">
      <c r="A1207" t="s">
        <v>2720</v>
      </c>
      <c r="B1207" s="8">
        <f>'EMCAP_Pricing Matrix'!X248</f>
        <v>9.375E-2</v>
      </c>
      <c r="C1207" t="s">
        <v>2721</v>
      </c>
    </row>
    <row r="1208" spans="1:3" ht="15" customHeight="1" x14ac:dyDescent="0.45">
      <c r="A1208" t="s">
        <v>2722</v>
      </c>
      <c r="B1208" s="8">
        <f>'EMCAP_Pricing Matrix'!Y248</f>
        <v>9.6250000000000002E-2</v>
      </c>
      <c r="C1208" t="s">
        <v>2723</v>
      </c>
    </row>
    <row r="1209" spans="1:3" ht="15" customHeight="1" x14ac:dyDescent="0.45">
      <c r="A1209" t="s">
        <v>2724</v>
      </c>
      <c r="B1209" s="8">
        <f>'EMCAP_Pricing Matrix'!AG248</f>
        <v>9.1249999999999998E-2</v>
      </c>
      <c r="C1209" t="s">
        <v>2725</v>
      </c>
    </row>
    <row r="1210" spans="1:3" ht="15" customHeight="1" x14ac:dyDescent="0.45">
      <c r="A1210" t="s">
        <v>2726</v>
      </c>
      <c r="B1210" s="8">
        <f>'EMCAP_Pricing Matrix'!AH248</f>
        <v>9.375E-2</v>
      </c>
      <c r="C1210" t="s">
        <v>2727</v>
      </c>
    </row>
    <row r="1211" spans="1:3" ht="15" customHeight="1" x14ac:dyDescent="0.45">
      <c r="A1211" t="s">
        <v>2728</v>
      </c>
      <c r="B1211" s="8">
        <f>'EMCAP_Pricing Matrix'!AI248</f>
        <v>9.6250000000000002E-2</v>
      </c>
      <c r="C1211" t="s">
        <v>2729</v>
      </c>
    </row>
    <row r="1212" spans="1:3" ht="15" customHeight="1" x14ac:dyDescent="0.45">
      <c r="A1212" t="s">
        <v>2730</v>
      </c>
      <c r="B1212" s="8">
        <f>'EMCAP_Pricing Matrix'!AQ248</f>
        <v>9.2499999999999999E-2</v>
      </c>
      <c r="C1212" t="s">
        <v>2731</v>
      </c>
    </row>
    <row r="1213" spans="1:3" ht="15" customHeight="1" x14ac:dyDescent="0.45">
      <c r="A1213" t="s">
        <v>2732</v>
      </c>
      <c r="B1213" s="8">
        <f>'EMCAP_Pricing Matrix'!AR248</f>
        <v>9.5000000000000001E-2</v>
      </c>
      <c r="C1213" t="s">
        <v>2733</v>
      </c>
    </row>
    <row r="1214" spans="1:3" ht="15" customHeight="1" x14ac:dyDescent="0.45">
      <c r="A1214" t="s">
        <v>2734</v>
      </c>
      <c r="B1214" s="8">
        <f>'EMCAP_Pricing Matrix'!AS248</f>
        <v>9.7500000000000003E-2</v>
      </c>
      <c r="C1214" t="s">
        <v>2735</v>
      </c>
    </row>
    <row r="1215" spans="1:3" ht="15" customHeight="1" x14ac:dyDescent="0.45">
      <c r="A1215" t="s">
        <v>2736</v>
      </c>
      <c r="B1215" s="8">
        <f>'EMCAP_Pricing Matrix'!C249</f>
        <v>9.5000000000000001E-2</v>
      </c>
      <c r="C1215" t="s">
        <v>2737</v>
      </c>
    </row>
    <row r="1216" spans="1:3" ht="15" customHeight="1" x14ac:dyDescent="0.45">
      <c r="A1216" t="s">
        <v>2738</v>
      </c>
      <c r="B1216" s="8">
        <f>'EMCAP_Pricing Matrix'!D249</f>
        <v>9.7500000000000003E-2</v>
      </c>
      <c r="C1216" t="s">
        <v>2739</v>
      </c>
    </row>
    <row r="1217" spans="1:3" ht="15" customHeight="1" x14ac:dyDescent="0.45">
      <c r="A1217" t="s">
        <v>2740</v>
      </c>
      <c r="B1217" s="8">
        <f>'EMCAP_Pricing Matrix'!E249</f>
        <v>0.1</v>
      </c>
      <c r="C1217" t="s">
        <v>2741</v>
      </c>
    </row>
    <row r="1218" spans="1:3" ht="15" customHeight="1" x14ac:dyDescent="0.45">
      <c r="A1218" t="s">
        <v>2742</v>
      </c>
      <c r="B1218" s="8">
        <f>'EMCAP_Pricing Matrix'!M249</f>
        <v>9.5000000000000001E-2</v>
      </c>
      <c r="C1218" t="s">
        <v>2743</v>
      </c>
    </row>
    <row r="1219" spans="1:3" ht="15" customHeight="1" x14ac:dyDescent="0.45">
      <c r="A1219" t="s">
        <v>2744</v>
      </c>
      <c r="B1219" s="8">
        <f>'EMCAP_Pricing Matrix'!N249</f>
        <v>9.7500000000000003E-2</v>
      </c>
      <c r="C1219" t="s">
        <v>2745</v>
      </c>
    </row>
    <row r="1220" spans="1:3" ht="15" customHeight="1" x14ac:dyDescent="0.45">
      <c r="A1220" t="s">
        <v>2746</v>
      </c>
      <c r="B1220" s="8">
        <f>'EMCAP_Pricing Matrix'!O249</f>
        <v>0.1</v>
      </c>
      <c r="C1220" t="s">
        <v>2747</v>
      </c>
    </row>
    <row r="1221" spans="1:3" ht="15" customHeight="1" x14ac:dyDescent="0.45">
      <c r="A1221" t="s">
        <v>2748</v>
      </c>
      <c r="B1221" s="8">
        <f>'EMCAP_Pricing Matrix'!W249</f>
        <v>9.6250000000000002E-2</v>
      </c>
      <c r="C1221" t="s">
        <v>2749</v>
      </c>
    </row>
    <row r="1222" spans="1:3" ht="15" customHeight="1" x14ac:dyDescent="0.45">
      <c r="A1222" t="s">
        <v>2750</v>
      </c>
      <c r="B1222" s="8">
        <f>'EMCAP_Pricing Matrix'!X249</f>
        <v>9.8750000000000004E-2</v>
      </c>
      <c r="C1222" t="s">
        <v>2751</v>
      </c>
    </row>
    <row r="1223" spans="1:3" ht="15" customHeight="1" x14ac:dyDescent="0.45">
      <c r="A1223" t="s">
        <v>2752</v>
      </c>
      <c r="B1223" s="8">
        <f>'EMCAP_Pricing Matrix'!Y249</f>
        <v>0.10125000000000001</v>
      </c>
      <c r="C1223" t="s">
        <v>2753</v>
      </c>
    </row>
    <row r="1224" spans="1:3" ht="15" customHeight="1" x14ac:dyDescent="0.45">
      <c r="A1224" t="s">
        <v>2754</v>
      </c>
      <c r="B1224" s="8">
        <f>'EMCAP_Pricing Matrix'!AG249</f>
        <v>9.6250000000000002E-2</v>
      </c>
      <c r="C1224" t="s">
        <v>2755</v>
      </c>
    </row>
    <row r="1225" spans="1:3" ht="15" customHeight="1" x14ac:dyDescent="0.45">
      <c r="A1225" t="s">
        <v>2756</v>
      </c>
      <c r="B1225" s="8">
        <f>'EMCAP_Pricing Matrix'!AH249</f>
        <v>9.8750000000000004E-2</v>
      </c>
      <c r="C1225" t="s">
        <v>2757</v>
      </c>
    </row>
    <row r="1226" spans="1:3" ht="15" customHeight="1" x14ac:dyDescent="0.45">
      <c r="A1226" t="s">
        <v>2758</v>
      </c>
      <c r="B1226" s="8">
        <f>'EMCAP_Pricing Matrix'!AI249</f>
        <v>0.10125000000000001</v>
      </c>
      <c r="C1226" t="s">
        <v>2759</v>
      </c>
    </row>
    <row r="1227" spans="1:3" ht="15" customHeight="1" x14ac:dyDescent="0.45">
      <c r="A1227" t="s">
        <v>2760</v>
      </c>
      <c r="B1227" s="8">
        <f>'EMCAP_Pricing Matrix'!AQ249</f>
        <v>9.7500000000000003E-2</v>
      </c>
      <c r="C1227" t="s">
        <v>2761</v>
      </c>
    </row>
    <row r="1228" spans="1:3" ht="15" customHeight="1" x14ac:dyDescent="0.45">
      <c r="A1228" t="s">
        <v>2762</v>
      </c>
      <c r="B1228" s="8">
        <f>'EMCAP_Pricing Matrix'!AR249</f>
        <v>0.1</v>
      </c>
      <c r="C1228" t="s">
        <v>2763</v>
      </c>
    </row>
    <row r="1229" spans="1:3" ht="15" customHeight="1" x14ac:dyDescent="0.45">
      <c r="A1229" t="s">
        <v>2764</v>
      </c>
      <c r="B1229" s="8">
        <f>'EMCAP_Pricing Matrix'!AS249</f>
        <v>0.10250000000000001</v>
      </c>
      <c r="C1229" t="s">
        <v>2765</v>
      </c>
    </row>
    <row r="1230" spans="1:3" ht="15" customHeight="1" x14ac:dyDescent="0.45">
      <c r="A1230" t="s">
        <v>2766</v>
      </c>
      <c r="B1230" s="8">
        <f>'EMCAP_Pricing Matrix'!C252</f>
        <v>8.7499999999999994E-2</v>
      </c>
      <c r="C1230" t="s">
        <v>2767</v>
      </c>
    </row>
    <row r="1231" spans="1:3" ht="15" customHeight="1" x14ac:dyDescent="0.45">
      <c r="A1231" t="s">
        <v>2768</v>
      </c>
      <c r="B1231" s="8">
        <f>'EMCAP_Pricing Matrix'!D252</f>
        <v>0.09</v>
      </c>
      <c r="C1231" t="s">
        <v>2769</v>
      </c>
    </row>
    <row r="1232" spans="1:3" ht="15" customHeight="1" x14ac:dyDescent="0.45">
      <c r="A1232" t="s">
        <v>2770</v>
      </c>
      <c r="B1232" s="8">
        <f>'EMCAP_Pricing Matrix'!E252</f>
        <v>9.2499999999999999E-2</v>
      </c>
      <c r="C1232" t="s">
        <v>2771</v>
      </c>
    </row>
    <row r="1233" spans="1:3" ht="15" customHeight="1" x14ac:dyDescent="0.45">
      <c r="A1233" t="s">
        <v>2772</v>
      </c>
      <c r="B1233" s="8">
        <f>'EMCAP_Pricing Matrix'!M252</f>
        <v>8.7499999999999994E-2</v>
      </c>
      <c r="C1233" t="s">
        <v>2773</v>
      </c>
    </row>
    <row r="1234" spans="1:3" ht="15" customHeight="1" x14ac:dyDescent="0.45">
      <c r="A1234" t="s">
        <v>2774</v>
      </c>
      <c r="B1234" s="8">
        <f>'EMCAP_Pricing Matrix'!N252</f>
        <v>0.09</v>
      </c>
      <c r="C1234" t="s">
        <v>2775</v>
      </c>
    </row>
    <row r="1235" spans="1:3" ht="15" customHeight="1" x14ac:dyDescent="0.45">
      <c r="A1235" t="s">
        <v>2776</v>
      </c>
      <c r="B1235" s="8">
        <f>'EMCAP_Pricing Matrix'!O252</f>
        <v>9.2499999999999999E-2</v>
      </c>
      <c r="C1235" t="s">
        <v>2777</v>
      </c>
    </row>
    <row r="1236" spans="1:3" ht="15" customHeight="1" x14ac:dyDescent="0.45">
      <c r="A1236" t="s">
        <v>2778</v>
      </c>
      <c r="B1236" s="8">
        <f>'EMCAP_Pricing Matrix'!W252</f>
        <v>8.8749999999999996E-2</v>
      </c>
      <c r="C1236" t="s">
        <v>2779</v>
      </c>
    </row>
    <row r="1237" spans="1:3" ht="15" customHeight="1" x14ac:dyDescent="0.45">
      <c r="A1237" t="s">
        <v>2780</v>
      </c>
      <c r="B1237" s="8">
        <f>'EMCAP_Pricing Matrix'!X252</f>
        <v>9.1249999999999998E-2</v>
      </c>
      <c r="C1237" t="s">
        <v>2781</v>
      </c>
    </row>
    <row r="1238" spans="1:3" ht="15" customHeight="1" x14ac:dyDescent="0.45">
      <c r="A1238" t="s">
        <v>2782</v>
      </c>
      <c r="B1238" s="8">
        <f>'EMCAP_Pricing Matrix'!Y252</f>
        <v>9.375E-2</v>
      </c>
      <c r="C1238" t="s">
        <v>2783</v>
      </c>
    </row>
    <row r="1239" spans="1:3" ht="15" customHeight="1" x14ac:dyDescent="0.45">
      <c r="A1239" t="s">
        <v>2784</v>
      </c>
      <c r="B1239" s="8">
        <f>'EMCAP_Pricing Matrix'!AG252</f>
        <v>8.8749999999999996E-2</v>
      </c>
      <c r="C1239" t="s">
        <v>2785</v>
      </c>
    </row>
    <row r="1240" spans="1:3" ht="15" customHeight="1" x14ac:dyDescent="0.45">
      <c r="A1240" t="s">
        <v>2786</v>
      </c>
      <c r="B1240" s="8">
        <f>'EMCAP_Pricing Matrix'!AH252</f>
        <v>9.1249999999999998E-2</v>
      </c>
      <c r="C1240" t="s">
        <v>2787</v>
      </c>
    </row>
    <row r="1241" spans="1:3" ht="15" customHeight="1" x14ac:dyDescent="0.45">
      <c r="A1241" t="s">
        <v>2788</v>
      </c>
      <c r="B1241" s="8">
        <f>'EMCAP_Pricing Matrix'!AI252</f>
        <v>9.375E-2</v>
      </c>
      <c r="C1241" t="s">
        <v>2789</v>
      </c>
    </row>
    <row r="1242" spans="1:3" ht="15" customHeight="1" x14ac:dyDescent="0.45">
      <c r="A1242" t="s">
        <v>2790</v>
      </c>
      <c r="B1242" s="8">
        <f>'EMCAP_Pricing Matrix'!AQ252</f>
        <v>0.09</v>
      </c>
      <c r="C1242" t="s">
        <v>2791</v>
      </c>
    </row>
    <row r="1243" spans="1:3" ht="15" customHeight="1" x14ac:dyDescent="0.45">
      <c r="A1243" t="s">
        <v>2792</v>
      </c>
      <c r="B1243" s="8">
        <f>'EMCAP_Pricing Matrix'!AR252</f>
        <v>9.2499999999999999E-2</v>
      </c>
      <c r="C1243" t="s">
        <v>2793</v>
      </c>
    </row>
    <row r="1244" spans="1:3" ht="15" customHeight="1" x14ac:dyDescent="0.45">
      <c r="A1244" t="s">
        <v>2794</v>
      </c>
      <c r="B1244" s="8">
        <f>'EMCAP_Pricing Matrix'!AS252</f>
        <v>9.5000000000000001E-2</v>
      </c>
      <c r="C1244" t="s">
        <v>2795</v>
      </c>
    </row>
    <row r="1245" spans="1:3" ht="15" customHeight="1" x14ac:dyDescent="0.45">
      <c r="A1245" t="s">
        <v>2796</v>
      </c>
      <c r="B1245" s="8">
        <f>'EMCAP_Pricing Matrix'!C253</f>
        <v>9.2499999999999999E-2</v>
      </c>
      <c r="C1245" t="s">
        <v>2797</v>
      </c>
    </row>
    <row r="1246" spans="1:3" ht="15" customHeight="1" x14ac:dyDescent="0.45">
      <c r="A1246" t="s">
        <v>2798</v>
      </c>
      <c r="B1246" s="8">
        <f>'EMCAP_Pricing Matrix'!D253</f>
        <v>9.5000000000000001E-2</v>
      </c>
      <c r="C1246" t="s">
        <v>2799</v>
      </c>
    </row>
    <row r="1247" spans="1:3" ht="15" customHeight="1" x14ac:dyDescent="0.45">
      <c r="A1247" t="s">
        <v>2800</v>
      </c>
      <c r="B1247" s="8">
        <f>'EMCAP_Pricing Matrix'!E253</f>
        <v>9.7500000000000003E-2</v>
      </c>
      <c r="C1247" t="s">
        <v>2801</v>
      </c>
    </row>
    <row r="1248" spans="1:3" ht="15" customHeight="1" x14ac:dyDescent="0.45">
      <c r="A1248" t="s">
        <v>2802</v>
      </c>
      <c r="B1248" s="8">
        <f>'EMCAP_Pricing Matrix'!M253</f>
        <v>9.2499999999999999E-2</v>
      </c>
      <c r="C1248" t="s">
        <v>2803</v>
      </c>
    </row>
    <row r="1249" spans="1:3" ht="15" customHeight="1" x14ac:dyDescent="0.45">
      <c r="A1249" t="s">
        <v>2804</v>
      </c>
      <c r="B1249" s="8">
        <f>'EMCAP_Pricing Matrix'!N253</f>
        <v>9.5000000000000001E-2</v>
      </c>
      <c r="C1249" t="s">
        <v>2805</v>
      </c>
    </row>
    <row r="1250" spans="1:3" ht="15" customHeight="1" x14ac:dyDescent="0.45">
      <c r="A1250" t="s">
        <v>2806</v>
      </c>
      <c r="B1250" s="8">
        <f>'EMCAP_Pricing Matrix'!O253</f>
        <v>9.7500000000000003E-2</v>
      </c>
      <c r="C1250" t="s">
        <v>2807</v>
      </c>
    </row>
    <row r="1251" spans="1:3" ht="15" customHeight="1" x14ac:dyDescent="0.45">
      <c r="A1251" t="s">
        <v>2808</v>
      </c>
      <c r="B1251" s="8">
        <f>'EMCAP_Pricing Matrix'!W253</f>
        <v>9.375E-2</v>
      </c>
      <c r="C1251" t="s">
        <v>2809</v>
      </c>
    </row>
    <row r="1252" spans="1:3" ht="15" customHeight="1" x14ac:dyDescent="0.45">
      <c r="A1252" t="s">
        <v>2810</v>
      </c>
      <c r="B1252" s="8">
        <f>'EMCAP_Pricing Matrix'!X253</f>
        <v>9.6250000000000002E-2</v>
      </c>
      <c r="C1252" t="s">
        <v>2811</v>
      </c>
    </row>
    <row r="1253" spans="1:3" ht="15" customHeight="1" x14ac:dyDescent="0.45">
      <c r="A1253" t="s">
        <v>2812</v>
      </c>
      <c r="B1253" s="8">
        <f>'EMCAP_Pricing Matrix'!Y253</f>
        <v>9.8750000000000004E-2</v>
      </c>
      <c r="C1253" t="s">
        <v>2813</v>
      </c>
    </row>
    <row r="1254" spans="1:3" ht="15" customHeight="1" x14ac:dyDescent="0.45">
      <c r="A1254" t="s">
        <v>2814</v>
      </c>
      <c r="B1254" s="8">
        <f>'EMCAP_Pricing Matrix'!AG253</f>
        <v>9.375E-2</v>
      </c>
      <c r="C1254" t="s">
        <v>2815</v>
      </c>
    </row>
    <row r="1255" spans="1:3" ht="15" customHeight="1" x14ac:dyDescent="0.45">
      <c r="A1255" t="s">
        <v>2816</v>
      </c>
      <c r="B1255" s="8">
        <f>'EMCAP_Pricing Matrix'!AH253</f>
        <v>9.6250000000000002E-2</v>
      </c>
      <c r="C1255" t="s">
        <v>2817</v>
      </c>
    </row>
    <row r="1256" spans="1:3" ht="15" customHeight="1" x14ac:dyDescent="0.45">
      <c r="A1256" t="s">
        <v>2818</v>
      </c>
      <c r="B1256" s="8">
        <f>'EMCAP_Pricing Matrix'!AI253</f>
        <v>9.8750000000000004E-2</v>
      </c>
      <c r="C1256" t="s">
        <v>2819</v>
      </c>
    </row>
    <row r="1257" spans="1:3" ht="15" customHeight="1" x14ac:dyDescent="0.45">
      <c r="A1257" t="s">
        <v>2820</v>
      </c>
      <c r="B1257" s="8">
        <f>'EMCAP_Pricing Matrix'!AQ253</f>
        <v>9.5000000000000001E-2</v>
      </c>
      <c r="C1257" t="s">
        <v>2821</v>
      </c>
    </row>
    <row r="1258" spans="1:3" ht="15" customHeight="1" x14ac:dyDescent="0.45">
      <c r="A1258" t="s">
        <v>2822</v>
      </c>
      <c r="B1258" s="8">
        <f>'EMCAP_Pricing Matrix'!AR253</f>
        <v>9.7500000000000003E-2</v>
      </c>
      <c r="C1258" t="s">
        <v>2823</v>
      </c>
    </row>
    <row r="1259" spans="1:3" ht="15" customHeight="1" x14ac:dyDescent="0.45">
      <c r="A1259" t="s">
        <v>2824</v>
      </c>
      <c r="B1259" s="8">
        <f>'EMCAP_Pricing Matrix'!AS253</f>
        <v>0.1</v>
      </c>
      <c r="C1259" t="s">
        <v>2825</v>
      </c>
    </row>
    <row r="1260" spans="1:3" ht="15" customHeight="1" x14ac:dyDescent="0.45">
      <c r="A1260" t="s">
        <v>2826</v>
      </c>
      <c r="B1260" s="8">
        <f>'EMCAP_Pricing Matrix'!C268</f>
        <v>0.10249999999999999</v>
      </c>
      <c r="C1260" t="s">
        <v>2827</v>
      </c>
    </row>
    <row r="1261" spans="1:3" ht="15" customHeight="1" x14ac:dyDescent="0.45">
      <c r="A1261" t="s">
        <v>2828</v>
      </c>
      <c r="B1261" s="8">
        <f>'EMCAP_Pricing Matrix'!D268</f>
        <v>0.105</v>
      </c>
      <c r="C1261" t="s">
        <v>2829</v>
      </c>
    </row>
    <row r="1262" spans="1:3" ht="15" customHeight="1" x14ac:dyDescent="0.45">
      <c r="A1262" t="s">
        <v>2830</v>
      </c>
      <c r="B1262" s="8">
        <f>'EMCAP_Pricing Matrix'!M268</f>
        <v>0.10249999999999999</v>
      </c>
      <c r="C1262" t="s">
        <v>2831</v>
      </c>
    </row>
    <row r="1263" spans="1:3" ht="15" customHeight="1" x14ac:dyDescent="0.45">
      <c r="A1263" t="s">
        <v>2832</v>
      </c>
      <c r="B1263" s="8">
        <f>'EMCAP_Pricing Matrix'!N268</f>
        <v>0.105</v>
      </c>
      <c r="C1263" t="s">
        <v>2833</v>
      </c>
    </row>
    <row r="1264" spans="1:3" ht="15" customHeight="1" x14ac:dyDescent="0.45">
      <c r="A1264" t="s">
        <v>2834</v>
      </c>
      <c r="B1264" s="8">
        <f>'EMCAP_Pricing Matrix'!W268</f>
        <v>0.10375</v>
      </c>
      <c r="C1264" t="s">
        <v>2835</v>
      </c>
    </row>
    <row r="1265" spans="1:3" ht="15" customHeight="1" x14ac:dyDescent="0.45">
      <c r="A1265" t="s">
        <v>2836</v>
      </c>
      <c r="B1265" s="8">
        <f>'EMCAP_Pricing Matrix'!X268</f>
        <v>0.10625</v>
      </c>
      <c r="C1265" t="s">
        <v>2837</v>
      </c>
    </row>
    <row r="1266" spans="1:3" ht="15" customHeight="1" x14ac:dyDescent="0.45">
      <c r="A1266" t="s">
        <v>2838</v>
      </c>
      <c r="B1266" s="8">
        <f>'EMCAP_Pricing Matrix'!AG268</f>
        <v>0.10375</v>
      </c>
      <c r="C1266" t="s">
        <v>2839</v>
      </c>
    </row>
    <row r="1267" spans="1:3" ht="15" customHeight="1" x14ac:dyDescent="0.45">
      <c r="A1267" t="s">
        <v>2840</v>
      </c>
      <c r="B1267" s="8">
        <f>'EMCAP_Pricing Matrix'!AH268</f>
        <v>0.10625</v>
      </c>
      <c r="C1267" t="s">
        <v>2841</v>
      </c>
    </row>
    <row r="1268" spans="1:3" ht="15" customHeight="1" x14ac:dyDescent="0.45">
      <c r="A1268" t="s">
        <v>2842</v>
      </c>
      <c r="B1268" s="8">
        <f>'EMCAP_Pricing Matrix'!AQ268</f>
        <v>0.105</v>
      </c>
      <c r="C1268" t="s">
        <v>2843</v>
      </c>
    </row>
    <row r="1269" spans="1:3" ht="15" customHeight="1" x14ac:dyDescent="0.45">
      <c r="A1269" t="s">
        <v>2844</v>
      </c>
      <c r="B1269" s="8">
        <f>'EMCAP_Pricing Matrix'!AR268</f>
        <v>0.1075</v>
      </c>
      <c r="C1269" t="s">
        <v>2845</v>
      </c>
    </row>
    <row r="1270" spans="1:3" ht="15" customHeight="1" x14ac:dyDescent="0.45">
      <c r="A1270" t="s">
        <v>2846</v>
      </c>
      <c r="B1270" s="8">
        <f>'EMCAP_Pricing Matrix'!C269</f>
        <v>0.1075</v>
      </c>
      <c r="C1270" t="s">
        <v>2847</v>
      </c>
    </row>
    <row r="1271" spans="1:3" ht="15" customHeight="1" x14ac:dyDescent="0.45">
      <c r="A1271" t="s">
        <v>2848</v>
      </c>
      <c r="B1271" s="8">
        <f>'EMCAP_Pricing Matrix'!D269</f>
        <v>0.11</v>
      </c>
      <c r="C1271" t="s">
        <v>2849</v>
      </c>
    </row>
    <row r="1272" spans="1:3" ht="15" customHeight="1" x14ac:dyDescent="0.45">
      <c r="A1272" t="s">
        <v>2850</v>
      </c>
      <c r="B1272" s="8">
        <f>'EMCAP_Pricing Matrix'!M269</f>
        <v>0.1075</v>
      </c>
      <c r="C1272" t="s">
        <v>2851</v>
      </c>
    </row>
    <row r="1273" spans="1:3" ht="15" customHeight="1" x14ac:dyDescent="0.45">
      <c r="A1273" t="s">
        <v>2852</v>
      </c>
      <c r="B1273" s="8">
        <f>'EMCAP_Pricing Matrix'!N269</f>
        <v>0.11</v>
      </c>
      <c r="C1273" t="s">
        <v>2853</v>
      </c>
    </row>
    <row r="1274" spans="1:3" ht="15" customHeight="1" x14ac:dyDescent="0.45">
      <c r="A1274" t="s">
        <v>2854</v>
      </c>
      <c r="B1274" s="8">
        <f>'EMCAP_Pricing Matrix'!W269</f>
        <v>0.10875</v>
      </c>
      <c r="C1274" t="s">
        <v>2855</v>
      </c>
    </row>
    <row r="1275" spans="1:3" ht="15" customHeight="1" x14ac:dyDescent="0.45">
      <c r="A1275" t="s">
        <v>2856</v>
      </c>
      <c r="B1275" s="8">
        <f>'EMCAP_Pricing Matrix'!X269</f>
        <v>0.11125</v>
      </c>
      <c r="C1275" t="s">
        <v>2857</v>
      </c>
    </row>
    <row r="1276" spans="1:3" ht="15" customHeight="1" x14ac:dyDescent="0.45">
      <c r="A1276" t="s">
        <v>2858</v>
      </c>
      <c r="B1276" s="8">
        <f>'EMCAP_Pricing Matrix'!AG269</f>
        <v>0.10875</v>
      </c>
      <c r="C1276" t="s">
        <v>2859</v>
      </c>
    </row>
    <row r="1277" spans="1:3" ht="15" customHeight="1" x14ac:dyDescent="0.45">
      <c r="A1277" t="s">
        <v>2860</v>
      </c>
      <c r="B1277" s="8">
        <f>'EMCAP_Pricing Matrix'!AH269</f>
        <v>0.11125</v>
      </c>
      <c r="C1277" t="s">
        <v>2861</v>
      </c>
    </row>
    <row r="1278" spans="1:3" ht="15" customHeight="1" x14ac:dyDescent="0.45">
      <c r="A1278" t="s">
        <v>2862</v>
      </c>
      <c r="B1278" s="8">
        <f>'EMCAP_Pricing Matrix'!AQ269</f>
        <v>0.11</v>
      </c>
      <c r="C1278" t="s">
        <v>2863</v>
      </c>
    </row>
    <row r="1279" spans="1:3" ht="15" customHeight="1" x14ac:dyDescent="0.45">
      <c r="A1279" t="s">
        <v>2864</v>
      </c>
      <c r="B1279" s="8">
        <f>'EMCAP_Pricing Matrix'!AR269</f>
        <v>0.1125</v>
      </c>
      <c r="C1279" t="s">
        <v>2865</v>
      </c>
    </row>
    <row r="1280" spans="1:3" ht="15" customHeight="1" x14ac:dyDescent="0.45">
      <c r="A1280" t="s">
        <v>2866</v>
      </c>
      <c r="B1280" s="8">
        <f>'EMCAP_Pricing Matrix'!C283</f>
        <v>9.2499999999999999E-2</v>
      </c>
      <c r="C1280" t="s">
        <v>2867</v>
      </c>
    </row>
    <row r="1281" spans="1:3" ht="15" customHeight="1" x14ac:dyDescent="0.45">
      <c r="A1281" t="s">
        <v>2868</v>
      </c>
      <c r="B1281" s="8">
        <f>'EMCAP_Pricing Matrix'!D283</f>
        <v>9.2499999999999999E-2</v>
      </c>
      <c r="C1281" t="s">
        <v>2869</v>
      </c>
    </row>
    <row r="1282" spans="1:3" ht="15" customHeight="1" x14ac:dyDescent="0.45">
      <c r="A1282" t="s">
        <v>2870</v>
      </c>
      <c r="B1282" s="8">
        <f>'EMCAP_Pricing Matrix'!M283</f>
        <v>9.7500000000000003E-2</v>
      </c>
      <c r="C1282" t="s">
        <v>2871</v>
      </c>
    </row>
    <row r="1283" spans="1:3" ht="15" customHeight="1" x14ac:dyDescent="0.45">
      <c r="A1283" t="s">
        <v>2872</v>
      </c>
      <c r="B1283" s="8">
        <f>'EMCAP_Pricing Matrix'!W283</f>
        <v>9.2499999999999999E-2</v>
      </c>
      <c r="C1283" t="s">
        <v>2873</v>
      </c>
    </row>
    <row r="1284" spans="1:3" ht="15" customHeight="1" x14ac:dyDescent="0.45">
      <c r="A1284" t="s">
        <v>2874</v>
      </c>
      <c r="B1284" s="8">
        <f>'EMCAP_Pricing Matrix'!X283</f>
        <v>9.2499999999999999E-2</v>
      </c>
      <c r="C1284" t="s">
        <v>2875</v>
      </c>
    </row>
    <row r="1285" spans="1:3" ht="15" customHeight="1" x14ac:dyDescent="0.45">
      <c r="A1285" t="s">
        <v>2876</v>
      </c>
      <c r="B1285" s="8">
        <f>'EMCAP_Pricing Matrix'!AG283</f>
        <v>9.7500000000000003E-2</v>
      </c>
      <c r="C1285" t="s">
        <v>2877</v>
      </c>
    </row>
    <row r="1286" spans="1:3" ht="15" customHeight="1" x14ac:dyDescent="0.45">
      <c r="A1286" t="s">
        <v>2878</v>
      </c>
      <c r="B1286" s="8">
        <f>'EMCAP_Pricing Matrix'!AQ283</f>
        <v>9.2499999999999999E-2</v>
      </c>
      <c r="C1286" t="s">
        <v>2879</v>
      </c>
    </row>
    <row r="1287" spans="1:3" ht="15" customHeight="1" x14ac:dyDescent="0.45">
      <c r="A1287" t="s">
        <v>2880</v>
      </c>
      <c r="B1287" s="8">
        <f>'EMCAP_Pricing Matrix'!AR283</f>
        <v>9.2499999999999999E-2</v>
      </c>
      <c r="C1287" t="s">
        <v>2881</v>
      </c>
    </row>
    <row r="1288" spans="1:3" ht="15" customHeight="1" x14ac:dyDescent="0.45">
      <c r="A1288" t="s">
        <v>2882</v>
      </c>
      <c r="B1288" s="8">
        <f>'EMCAP_Pricing Matrix'!C284</f>
        <v>9.5000000000000001E-2</v>
      </c>
      <c r="C1288" t="s">
        <v>2883</v>
      </c>
    </row>
    <row r="1289" spans="1:3" ht="15" customHeight="1" x14ac:dyDescent="0.45">
      <c r="A1289" t="s">
        <v>2884</v>
      </c>
      <c r="B1289" s="8">
        <f>'EMCAP_Pricing Matrix'!D284</f>
        <v>9.5000000000000001E-2</v>
      </c>
      <c r="C1289" t="s">
        <v>2885</v>
      </c>
    </row>
    <row r="1290" spans="1:3" ht="15" customHeight="1" x14ac:dyDescent="0.45">
      <c r="A1290" t="s">
        <v>2886</v>
      </c>
      <c r="B1290" s="8">
        <f>'EMCAP_Pricing Matrix'!M284</f>
        <v>0.1</v>
      </c>
      <c r="C1290" t="s">
        <v>2887</v>
      </c>
    </row>
    <row r="1291" spans="1:3" ht="15" customHeight="1" x14ac:dyDescent="0.45">
      <c r="A1291" t="s">
        <v>2888</v>
      </c>
      <c r="B1291" s="8">
        <f>'EMCAP_Pricing Matrix'!W284</f>
        <v>9.5000000000000001E-2</v>
      </c>
      <c r="C1291" t="s">
        <v>2889</v>
      </c>
    </row>
    <row r="1292" spans="1:3" ht="15" customHeight="1" x14ac:dyDescent="0.45">
      <c r="A1292" t="s">
        <v>2890</v>
      </c>
      <c r="B1292" s="8">
        <f>'EMCAP_Pricing Matrix'!X284</f>
        <v>9.5000000000000001E-2</v>
      </c>
      <c r="C1292" t="s">
        <v>2891</v>
      </c>
    </row>
    <row r="1293" spans="1:3" ht="15" customHeight="1" x14ac:dyDescent="0.45">
      <c r="A1293" t="s">
        <v>2892</v>
      </c>
      <c r="B1293" s="8">
        <f>'EMCAP_Pricing Matrix'!AG284</f>
        <v>0.1</v>
      </c>
      <c r="C1293" t="s">
        <v>2893</v>
      </c>
    </row>
    <row r="1294" spans="1:3" ht="15" customHeight="1" x14ac:dyDescent="0.45">
      <c r="A1294" t="s">
        <v>2894</v>
      </c>
      <c r="B1294" s="8">
        <f>'EMCAP_Pricing Matrix'!AQ284</f>
        <v>9.5000000000000001E-2</v>
      </c>
      <c r="C1294" t="s">
        <v>2895</v>
      </c>
    </row>
    <row r="1295" spans="1:3" ht="15" customHeight="1" x14ac:dyDescent="0.45">
      <c r="A1295" t="s">
        <v>2896</v>
      </c>
      <c r="B1295" s="8">
        <f>'EMCAP_Pricing Matrix'!AR284</f>
        <v>9.5000000000000001E-2</v>
      </c>
      <c r="C1295" t="s">
        <v>2897</v>
      </c>
    </row>
    <row r="1296" spans="1:3" ht="15" customHeight="1" x14ac:dyDescent="0.45">
      <c r="A1296" t="s">
        <v>2898</v>
      </c>
      <c r="B1296" s="8">
        <f>'EMCAP_Pricing Matrix'!C287</f>
        <v>0.09</v>
      </c>
      <c r="C1296" t="s">
        <v>2899</v>
      </c>
    </row>
    <row r="1297" spans="1:3" ht="15" customHeight="1" x14ac:dyDescent="0.45">
      <c r="A1297" t="s">
        <v>2900</v>
      </c>
      <c r="B1297" s="8">
        <f>'EMCAP_Pricing Matrix'!D287</f>
        <v>0.09</v>
      </c>
      <c r="C1297" t="s">
        <v>2901</v>
      </c>
    </row>
    <row r="1298" spans="1:3" ht="15" customHeight="1" x14ac:dyDescent="0.45">
      <c r="A1298" t="s">
        <v>2902</v>
      </c>
      <c r="B1298" s="8">
        <f>'EMCAP_Pricing Matrix'!M287</f>
        <v>9.5000000000000001E-2</v>
      </c>
      <c r="C1298" t="s">
        <v>2903</v>
      </c>
    </row>
    <row r="1299" spans="1:3" ht="15" customHeight="1" x14ac:dyDescent="0.45">
      <c r="A1299" t="s">
        <v>2904</v>
      </c>
      <c r="B1299" s="8">
        <f>'EMCAP_Pricing Matrix'!W287</f>
        <v>0.09</v>
      </c>
      <c r="C1299" t="s">
        <v>2905</v>
      </c>
    </row>
    <row r="1300" spans="1:3" ht="15" customHeight="1" x14ac:dyDescent="0.45">
      <c r="A1300" t="s">
        <v>2906</v>
      </c>
      <c r="B1300" s="8">
        <f>'EMCAP_Pricing Matrix'!X287</f>
        <v>0.09</v>
      </c>
      <c r="C1300" t="s">
        <v>2907</v>
      </c>
    </row>
    <row r="1301" spans="1:3" ht="15" customHeight="1" x14ac:dyDescent="0.45">
      <c r="A1301" t="s">
        <v>2908</v>
      </c>
      <c r="B1301" s="8">
        <f>'EMCAP_Pricing Matrix'!AG287</f>
        <v>9.5000000000000001E-2</v>
      </c>
      <c r="C1301" t="s">
        <v>2909</v>
      </c>
    </row>
    <row r="1302" spans="1:3" ht="15" customHeight="1" x14ac:dyDescent="0.45">
      <c r="A1302" t="s">
        <v>2910</v>
      </c>
      <c r="B1302" s="8">
        <f>'EMCAP_Pricing Matrix'!AQ287</f>
        <v>0.09</v>
      </c>
      <c r="C1302" t="s">
        <v>2911</v>
      </c>
    </row>
    <row r="1303" spans="1:3" ht="15" customHeight="1" x14ac:dyDescent="0.45">
      <c r="A1303" t="s">
        <v>2912</v>
      </c>
      <c r="B1303" s="8">
        <f>'EMCAP_Pricing Matrix'!AR287</f>
        <v>0.09</v>
      </c>
      <c r="C1303" t="s">
        <v>2913</v>
      </c>
    </row>
    <row r="1304" spans="1:3" ht="15" customHeight="1" x14ac:dyDescent="0.45">
      <c r="A1304" t="s">
        <v>2914</v>
      </c>
      <c r="B1304" s="8">
        <f>'EMCAP_Pricing Matrix'!C288</f>
        <v>9.2499999999999999E-2</v>
      </c>
      <c r="C1304" t="s">
        <v>2915</v>
      </c>
    </row>
    <row r="1305" spans="1:3" ht="15" customHeight="1" x14ac:dyDescent="0.45">
      <c r="A1305" t="s">
        <v>2916</v>
      </c>
      <c r="B1305" s="8">
        <f>'EMCAP_Pricing Matrix'!D288</f>
        <v>9.2499999999999999E-2</v>
      </c>
      <c r="C1305" t="s">
        <v>2917</v>
      </c>
    </row>
    <row r="1306" spans="1:3" ht="15" customHeight="1" x14ac:dyDescent="0.45">
      <c r="A1306" t="s">
        <v>2918</v>
      </c>
      <c r="B1306" s="8">
        <f>'EMCAP_Pricing Matrix'!M288</f>
        <v>9.7500000000000003E-2</v>
      </c>
      <c r="C1306" t="s">
        <v>2919</v>
      </c>
    </row>
    <row r="1307" spans="1:3" ht="15" customHeight="1" x14ac:dyDescent="0.45">
      <c r="A1307" t="s">
        <v>2920</v>
      </c>
      <c r="B1307" s="8">
        <f>'EMCAP_Pricing Matrix'!W288</f>
        <v>9.2499999999999999E-2</v>
      </c>
      <c r="C1307" t="s">
        <v>2921</v>
      </c>
    </row>
    <row r="1308" spans="1:3" ht="15" customHeight="1" x14ac:dyDescent="0.45">
      <c r="A1308" t="s">
        <v>2922</v>
      </c>
      <c r="B1308" s="8">
        <f>'EMCAP_Pricing Matrix'!X288</f>
        <v>9.2499999999999999E-2</v>
      </c>
      <c r="C1308" t="s">
        <v>2923</v>
      </c>
    </row>
    <row r="1309" spans="1:3" ht="15" customHeight="1" x14ac:dyDescent="0.45">
      <c r="A1309" t="s">
        <v>2924</v>
      </c>
      <c r="B1309" s="8">
        <f>'EMCAP_Pricing Matrix'!AG288</f>
        <v>9.7500000000000003E-2</v>
      </c>
      <c r="C1309" t="s">
        <v>2925</v>
      </c>
    </row>
    <row r="1310" spans="1:3" ht="15" customHeight="1" x14ac:dyDescent="0.45">
      <c r="A1310" t="s">
        <v>2926</v>
      </c>
      <c r="B1310" s="8">
        <f>'EMCAP_Pricing Matrix'!AQ288</f>
        <v>9.2499999999999999E-2</v>
      </c>
      <c r="C1310" t="s">
        <v>2927</v>
      </c>
    </row>
    <row r="1311" spans="1:3" ht="15" customHeight="1" x14ac:dyDescent="0.45">
      <c r="A1311" t="s">
        <v>2928</v>
      </c>
      <c r="B1311" s="8">
        <f>'EMCAP_Pricing Matrix'!AR288</f>
        <v>9.2499999999999999E-2</v>
      </c>
      <c r="C1311" t="s">
        <v>2929</v>
      </c>
    </row>
    <row r="1312" spans="1:3" ht="15" customHeight="1" x14ac:dyDescent="0.45">
      <c r="A1312" t="s">
        <v>2930</v>
      </c>
      <c r="B1312" s="8">
        <f>'EMCAP_Pricing Matrix'!C291</f>
        <v>8.7499999999999994E-2</v>
      </c>
      <c r="C1312" t="s">
        <v>2931</v>
      </c>
    </row>
    <row r="1313" spans="1:3" ht="15" customHeight="1" x14ac:dyDescent="0.45">
      <c r="A1313" t="s">
        <v>2932</v>
      </c>
      <c r="B1313" s="8">
        <f>'EMCAP_Pricing Matrix'!D291</f>
        <v>0.09</v>
      </c>
      <c r="C1313" t="s">
        <v>2933</v>
      </c>
    </row>
    <row r="1314" spans="1:3" ht="15" customHeight="1" x14ac:dyDescent="0.45">
      <c r="A1314" t="s">
        <v>2934</v>
      </c>
      <c r="B1314" s="8">
        <f>'EMCAP_Pricing Matrix'!M291</f>
        <v>9.2499999999999999E-2</v>
      </c>
      <c r="C1314" t="s">
        <v>2935</v>
      </c>
    </row>
    <row r="1315" spans="1:3" ht="15" customHeight="1" x14ac:dyDescent="0.45">
      <c r="A1315" t="s">
        <v>2936</v>
      </c>
      <c r="B1315" s="8">
        <f>'EMCAP_Pricing Matrix'!W291</f>
        <v>8.7499999999999994E-2</v>
      </c>
      <c r="C1315" t="s">
        <v>2937</v>
      </c>
    </row>
    <row r="1316" spans="1:3" ht="15" customHeight="1" x14ac:dyDescent="0.45">
      <c r="A1316" t="s">
        <v>2938</v>
      </c>
      <c r="B1316" s="8">
        <f>'EMCAP_Pricing Matrix'!X291</f>
        <v>0.09</v>
      </c>
      <c r="C1316" t="s">
        <v>2939</v>
      </c>
    </row>
    <row r="1317" spans="1:3" ht="15" customHeight="1" x14ac:dyDescent="0.45">
      <c r="A1317" t="s">
        <v>2940</v>
      </c>
      <c r="B1317" s="8">
        <f>'EMCAP_Pricing Matrix'!AG291</f>
        <v>9.2499999999999999E-2</v>
      </c>
      <c r="C1317" t="s">
        <v>2941</v>
      </c>
    </row>
    <row r="1318" spans="1:3" ht="15" customHeight="1" x14ac:dyDescent="0.45">
      <c r="A1318" t="s">
        <v>2942</v>
      </c>
      <c r="B1318" s="8">
        <f>'EMCAP_Pricing Matrix'!AQ291</f>
        <v>8.7499999999999994E-2</v>
      </c>
      <c r="C1318" t="s">
        <v>2943</v>
      </c>
    </row>
    <row r="1319" spans="1:3" ht="15" customHeight="1" x14ac:dyDescent="0.45">
      <c r="A1319" t="s">
        <v>2944</v>
      </c>
      <c r="B1319" s="8">
        <f>'EMCAP_Pricing Matrix'!AR291</f>
        <v>0.09</v>
      </c>
      <c r="C1319" t="s">
        <v>2945</v>
      </c>
    </row>
    <row r="1320" spans="1:3" ht="15" customHeight="1" x14ac:dyDescent="0.45">
      <c r="A1320" t="s">
        <v>2946</v>
      </c>
      <c r="B1320" s="8">
        <f>'EMCAP_Pricing Matrix'!C292</f>
        <v>0.09</v>
      </c>
      <c r="C1320" t="s">
        <v>2947</v>
      </c>
    </row>
    <row r="1321" spans="1:3" ht="15" customHeight="1" x14ac:dyDescent="0.45">
      <c r="A1321" t="s">
        <v>2948</v>
      </c>
      <c r="B1321" s="8">
        <f>'EMCAP_Pricing Matrix'!D292</f>
        <v>9.2499999999999999E-2</v>
      </c>
      <c r="C1321" t="s">
        <v>2949</v>
      </c>
    </row>
    <row r="1322" spans="1:3" ht="15" customHeight="1" x14ac:dyDescent="0.45">
      <c r="A1322" t="s">
        <v>2950</v>
      </c>
      <c r="B1322" s="8">
        <f>'EMCAP_Pricing Matrix'!M292</f>
        <v>9.5000000000000001E-2</v>
      </c>
      <c r="C1322" t="s">
        <v>2951</v>
      </c>
    </row>
    <row r="1323" spans="1:3" ht="15" customHeight="1" x14ac:dyDescent="0.45">
      <c r="A1323" t="s">
        <v>2952</v>
      </c>
      <c r="B1323" s="8">
        <f>'EMCAP_Pricing Matrix'!W292</f>
        <v>0.09</v>
      </c>
      <c r="C1323" t="s">
        <v>2953</v>
      </c>
    </row>
    <row r="1324" spans="1:3" ht="15" customHeight="1" x14ac:dyDescent="0.45">
      <c r="A1324" t="s">
        <v>2954</v>
      </c>
      <c r="B1324" s="8">
        <f>'EMCAP_Pricing Matrix'!X292</f>
        <v>9.2499999999999999E-2</v>
      </c>
      <c r="C1324" t="s">
        <v>2955</v>
      </c>
    </row>
    <row r="1325" spans="1:3" ht="15" customHeight="1" x14ac:dyDescent="0.45">
      <c r="A1325" t="s">
        <v>2956</v>
      </c>
      <c r="B1325" s="8">
        <f>'EMCAP_Pricing Matrix'!AG292</f>
        <v>9.5000000000000001E-2</v>
      </c>
      <c r="C1325" t="s">
        <v>2957</v>
      </c>
    </row>
    <row r="1326" spans="1:3" ht="15" customHeight="1" x14ac:dyDescent="0.45">
      <c r="A1326" t="s">
        <v>2958</v>
      </c>
      <c r="B1326" s="8">
        <f>'EMCAP_Pricing Matrix'!AQ292</f>
        <v>0.09</v>
      </c>
      <c r="C1326" t="s">
        <v>2959</v>
      </c>
    </row>
    <row r="1327" spans="1:3" ht="15" customHeight="1" x14ac:dyDescent="0.45">
      <c r="A1327" t="s">
        <v>2960</v>
      </c>
      <c r="B1327" s="8">
        <f>'EMCAP_Pricing Matrix'!AR292</f>
        <v>9.2499999999999999E-2</v>
      </c>
      <c r="C1327" t="s">
        <v>2961</v>
      </c>
    </row>
    <row r="1328" spans="1:3" ht="15" customHeight="1" x14ac:dyDescent="0.45">
      <c r="A1328" t="s">
        <v>2962</v>
      </c>
      <c r="B1328" s="8">
        <f>'EMCAP_Pricing Matrix'!C303</f>
        <v>9.5000000000000001E-2</v>
      </c>
      <c r="C1328" t="s">
        <v>2963</v>
      </c>
    </row>
    <row r="1329" spans="1:3" ht="15" customHeight="1" x14ac:dyDescent="0.45">
      <c r="A1329" t="s">
        <v>2964</v>
      </c>
      <c r="B1329" s="8">
        <f>'EMCAP_Pricing Matrix'!D303</f>
        <v>9.7500000000000003E-2</v>
      </c>
      <c r="C1329" t="s">
        <v>2965</v>
      </c>
    </row>
    <row r="1330" spans="1:3" ht="15" customHeight="1" x14ac:dyDescent="0.45">
      <c r="A1330" t="s">
        <v>2966</v>
      </c>
      <c r="B1330" s="8">
        <f>'EMCAP_Pricing Matrix'!W303</f>
        <v>9.5000000000000001E-2</v>
      </c>
      <c r="C1330" t="s">
        <v>2967</v>
      </c>
    </row>
    <row r="1331" spans="1:3" ht="15" customHeight="1" x14ac:dyDescent="0.45">
      <c r="A1331" t="s">
        <v>2968</v>
      </c>
      <c r="B1331" s="8">
        <f>'EMCAP_Pricing Matrix'!X303</f>
        <v>9.7500000000000003E-2</v>
      </c>
      <c r="C1331" t="s">
        <v>2969</v>
      </c>
    </row>
    <row r="1332" spans="1:3" ht="15" customHeight="1" x14ac:dyDescent="0.45">
      <c r="A1332" t="s">
        <v>2970</v>
      </c>
      <c r="B1332" s="8">
        <f>'EMCAP_Pricing Matrix'!AQ303</f>
        <v>9.5000000000000001E-2</v>
      </c>
      <c r="C1332" t="s">
        <v>2971</v>
      </c>
    </row>
    <row r="1333" spans="1:3" ht="15" customHeight="1" x14ac:dyDescent="0.45">
      <c r="A1333" t="s">
        <v>2972</v>
      </c>
      <c r="B1333" s="8">
        <f>'EMCAP_Pricing Matrix'!AR303</f>
        <v>9.7500000000000003E-2</v>
      </c>
      <c r="C1333" t="s">
        <v>2973</v>
      </c>
    </row>
    <row r="1334" spans="1:3" ht="15" customHeight="1" x14ac:dyDescent="0.45">
      <c r="A1334" t="s">
        <v>2974</v>
      </c>
      <c r="B1334" s="8">
        <f>'EMCAP_Pricing Matrix'!C304</f>
        <v>9.7500000000000003E-2</v>
      </c>
      <c r="C1334" t="s">
        <v>2975</v>
      </c>
    </row>
    <row r="1335" spans="1:3" ht="15" customHeight="1" x14ac:dyDescent="0.45">
      <c r="A1335" t="s">
        <v>2976</v>
      </c>
      <c r="B1335" s="8">
        <f>'EMCAP_Pricing Matrix'!D304</f>
        <v>0.1</v>
      </c>
      <c r="C1335" t="s">
        <v>2977</v>
      </c>
    </row>
    <row r="1336" spans="1:3" ht="15" customHeight="1" x14ac:dyDescent="0.45">
      <c r="A1336" t="s">
        <v>2978</v>
      </c>
      <c r="B1336" s="8">
        <f>'EMCAP_Pricing Matrix'!W304</f>
        <v>9.7500000000000003E-2</v>
      </c>
      <c r="C1336" t="s">
        <v>2979</v>
      </c>
    </row>
    <row r="1337" spans="1:3" ht="15" customHeight="1" x14ac:dyDescent="0.45">
      <c r="A1337" t="s">
        <v>2980</v>
      </c>
      <c r="B1337" s="8">
        <f>'EMCAP_Pricing Matrix'!X304</f>
        <v>0.1</v>
      </c>
      <c r="C1337" t="s">
        <v>2981</v>
      </c>
    </row>
    <row r="1338" spans="1:3" ht="15" customHeight="1" x14ac:dyDescent="0.45">
      <c r="A1338" t="s">
        <v>2982</v>
      </c>
      <c r="B1338" s="8">
        <f>'EMCAP_Pricing Matrix'!AQ304</f>
        <v>9.7500000000000003E-2</v>
      </c>
      <c r="C1338" t="s">
        <v>2983</v>
      </c>
    </row>
    <row r="1339" spans="1:3" ht="15" customHeight="1" x14ac:dyDescent="0.45">
      <c r="A1339" t="s">
        <v>2984</v>
      </c>
      <c r="B1339" s="8">
        <f>'EMCAP_Pricing Matrix'!AR304</f>
        <v>0.1</v>
      </c>
      <c r="C1339" t="s">
        <v>2985</v>
      </c>
    </row>
    <row r="1340" spans="1:3" ht="15" customHeight="1" x14ac:dyDescent="0.45">
      <c r="A1340" t="s">
        <v>2986</v>
      </c>
      <c r="B1340" s="8">
        <f>'EMCAP_Pricing Matrix'!C307</f>
        <v>9.2499999999999999E-2</v>
      </c>
      <c r="C1340" t="s">
        <v>2987</v>
      </c>
    </row>
    <row r="1341" spans="1:3" ht="15" customHeight="1" x14ac:dyDescent="0.45">
      <c r="A1341" t="s">
        <v>2988</v>
      </c>
      <c r="B1341" s="8">
        <f>'EMCAP_Pricing Matrix'!D307</f>
        <v>9.5000000000000001E-2</v>
      </c>
      <c r="C1341" t="s">
        <v>2989</v>
      </c>
    </row>
    <row r="1342" spans="1:3" ht="15" customHeight="1" x14ac:dyDescent="0.45">
      <c r="A1342" t="s">
        <v>2990</v>
      </c>
      <c r="B1342" s="8">
        <f>'EMCAP_Pricing Matrix'!M307</f>
        <v>0.105</v>
      </c>
      <c r="C1342" t="s">
        <v>2991</v>
      </c>
    </row>
    <row r="1343" spans="1:3" ht="15" customHeight="1" x14ac:dyDescent="0.45">
      <c r="A1343" t="s">
        <v>2992</v>
      </c>
      <c r="B1343" s="8">
        <f>'EMCAP_Pricing Matrix'!W307</f>
        <v>9.2499999999999999E-2</v>
      </c>
      <c r="C1343" t="s">
        <v>2993</v>
      </c>
    </row>
    <row r="1344" spans="1:3" ht="15" customHeight="1" x14ac:dyDescent="0.45">
      <c r="A1344" t="s">
        <v>2994</v>
      </c>
      <c r="B1344" s="8">
        <f>'EMCAP_Pricing Matrix'!X307</f>
        <v>9.5000000000000001E-2</v>
      </c>
      <c r="C1344" t="s">
        <v>2995</v>
      </c>
    </row>
    <row r="1345" spans="1:3" ht="15" customHeight="1" x14ac:dyDescent="0.45">
      <c r="A1345" t="s">
        <v>2996</v>
      </c>
      <c r="B1345" s="8">
        <f>'EMCAP_Pricing Matrix'!AG307</f>
        <v>0.105</v>
      </c>
      <c r="C1345" t="s">
        <v>2997</v>
      </c>
    </row>
    <row r="1346" spans="1:3" ht="15" customHeight="1" x14ac:dyDescent="0.45">
      <c r="A1346" t="s">
        <v>2998</v>
      </c>
      <c r="B1346" s="8">
        <f>'EMCAP_Pricing Matrix'!AQ307</f>
        <v>9.2499999999999999E-2</v>
      </c>
      <c r="C1346" t="s">
        <v>2999</v>
      </c>
    </row>
    <row r="1347" spans="1:3" ht="15" customHeight="1" x14ac:dyDescent="0.45">
      <c r="A1347" t="s">
        <v>3000</v>
      </c>
      <c r="B1347" s="8">
        <f>'EMCAP_Pricing Matrix'!AR307</f>
        <v>9.5000000000000001E-2</v>
      </c>
      <c r="C1347" t="s">
        <v>3001</v>
      </c>
    </row>
    <row r="1348" spans="1:3" ht="15" customHeight="1" x14ac:dyDescent="0.45">
      <c r="A1348" t="s">
        <v>3002</v>
      </c>
      <c r="B1348" s="8">
        <f>'EMCAP_Pricing Matrix'!C308</f>
        <v>9.5000000000000001E-2</v>
      </c>
      <c r="C1348" t="s">
        <v>3003</v>
      </c>
    </row>
    <row r="1349" spans="1:3" ht="15" customHeight="1" x14ac:dyDescent="0.45">
      <c r="A1349" t="s">
        <v>3004</v>
      </c>
      <c r="B1349" s="8">
        <f>'EMCAP_Pricing Matrix'!D308</f>
        <v>9.7500000000000003E-2</v>
      </c>
      <c r="C1349" t="s">
        <v>3005</v>
      </c>
    </row>
    <row r="1350" spans="1:3" ht="15" customHeight="1" x14ac:dyDescent="0.45">
      <c r="A1350" t="s">
        <v>3006</v>
      </c>
      <c r="B1350" s="8">
        <f>'EMCAP_Pricing Matrix'!M308</f>
        <v>0.1075</v>
      </c>
      <c r="C1350" t="s">
        <v>3007</v>
      </c>
    </row>
    <row r="1351" spans="1:3" ht="15" customHeight="1" x14ac:dyDescent="0.45">
      <c r="A1351" t="s">
        <v>3008</v>
      </c>
      <c r="B1351" s="8">
        <f>'EMCAP_Pricing Matrix'!W308</f>
        <v>9.5000000000000001E-2</v>
      </c>
      <c r="C1351" t="s">
        <v>3009</v>
      </c>
    </row>
    <row r="1352" spans="1:3" ht="15" customHeight="1" x14ac:dyDescent="0.45">
      <c r="A1352" t="s">
        <v>3010</v>
      </c>
      <c r="B1352" s="8">
        <f>'EMCAP_Pricing Matrix'!X308</f>
        <v>9.7500000000000003E-2</v>
      </c>
      <c r="C1352" t="s">
        <v>3011</v>
      </c>
    </row>
    <row r="1353" spans="1:3" ht="15" customHeight="1" x14ac:dyDescent="0.45">
      <c r="A1353" t="s">
        <v>3012</v>
      </c>
      <c r="B1353" s="8">
        <f>'EMCAP_Pricing Matrix'!AG308</f>
        <v>0.1075</v>
      </c>
      <c r="C1353" t="s">
        <v>3013</v>
      </c>
    </row>
    <row r="1354" spans="1:3" ht="15" customHeight="1" x14ac:dyDescent="0.45">
      <c r="A1354" t="s">
        <v>3014</v>
      </c>
      <c r="B1354" s="8">
        <f>'EMCAP_Pricing Matrix'!AQ308</f>
        <v>9.5000000000000001E-2</v>
      </c>
      <c r="C1354" t="s">
        <v>3015</v>
      </c>
    </row>
    <row r="1355" spans="1:3" ht="15" customHeight="1" x14ac:dyDescent="0.45">
      <c r="A1355" t="s">
        <v>3016</v>
      </c>
      <c r="B1355" s="8">
        <f>'EMCAP_Pricing Matrix'!AR308</f>
        <v>9.7500000000000003E-2</v>
      </c>
      <c r="C1355" t="s">
        <v>3017</v>
      </c>
    </row>
    <row r="1356" spans="1:3" ht="15" customHeight="1" x14ac:dyDescent="0.45">
      <c r="A1356" t="s">
        <v>3018</v>
      </c>
      <c r="B1356" s="8">
        <f>'EMCAP_Pricing Matrix'!C311</f>
        <v>0.09</v>
      </c>
      <c r="C1356" t="s">
        <v>3019</v>
      </c>
    </row>
    <row r="1357" spans="1:3" ht="15" customHeight="1" x14ac:dyDescent="0.45">
      <c r="A1357" t="s">
        <v>3020</v>
      </c>
      <c r="B1357" s="8">
        <f>'EMCAP_Pricing Matrix'!D311</f>
        <v>9.2499999999999999E-2</v>
      </c>
      <c r="C1357" t="s">
        <v>3021</v>
      </c>
    </row>
    <row r="1358" spans="1:3" ht="15" customHeight="1" x14ac:dyDescent="0.45">
      <c r="A1358" t="s">
        <v>3022</v>
      </c>
      <c r="B1358" s="8">
        <f>'EMCAP_Pricing Matrix'!M311</f>
        <v>0.10249999999999999</v>
      </c>
      <c r="C1358" t="s">
        <v>3023</v>
      </c>
    </row>
    <row r="1359" spans="1:3" ht="15" customHeight="1" x14ac:dyDescent="0.45">
      <c r="A1359" t="s">
        <v>3024</v>
      </c>
      <c r="B1359" s="8">
        <f>'EMCAP_Pricing Matrix'!W311</f>
        <v>0.09</v>
      </c>
      <c r="C1359" t="s">
        <v>3025</v>
      </c>
    </row>
    <row r="1360" spans="1:3" ht="15" customHeight="1" x14ac:dyDescent="0.45">
      <c r="A1360" t="s">
        <v>3026</v>
      </c>
      <c r="B1360" s="8">
        <f>'EMCAP_Pricing Matrix'!X311</f>
        <v>9.2499999999999999E-2</v>
      </c>
      <c r="C1360" t="s">
        <v>3027</v>
      </c>
    </row>
    <row r="1361" spans="1:3" ht="15" customHeight="1" x14ac:dyDescent="0.45">
      <c r="A1361" t="s">
        <v>3028</v>
      </c>
      <c r="B1361" s="8">
        <f>'EMCAP_Pricing Matrix'!AG311</f>
        <v>0.10249999999999999</v>
      </c>
      <c r="C1361" t="s">
        <v>3029</v>
      </c>
    </row>
    <row r="1362" spans="1:3" ht="15" customHeight="1" x14ac:dyDescent="0.45">
      <c r="A1362" t="s">
        <v>3030</v>
      </c>
      <c r="B1362" s="8">
        <f>'EMCAP_Pricing Matrix'!AQ311</f>
        <v>0.09</v>
      </c>
      <c r="C1362" t="s">
        <v>3031</v>
      </c>
    </row>
    <row r="1363" spans="1:3" ht="15" customHeight="1" x14ac:dyDescent="0.45">
      <c r="A1363" t="s">
        <v>3032</v>
      </c>
      <c r="B1363" s="8">
        <f>'EMCAP_Pricing Matrix'!AR311</f>
        <v>9.2499999999999999E-2</v>
      </c>
      <c r="C1363" t="s">
        <v>3033</v>
      </c>
    </row>
    <row r="1364" spans="1:3" ht="15" customHeight="1" x14ac:dyDescent="0.45">
      <c r="A1364" t="s">
        <v>3034</v>
      </c>
      <c r="B1364" s="8">
        <f>'EMCAP_Pricing Matrix'!C312</f>
        <v>9.2499999999999999E-2</v>
      </c>
      <c r="C1364" t="s">
        <v>3035</v>
      </c>
    </row>
    <row r="1365" spans="1:3" ht="15" customHeight="1" x14ac:dyDescent="0.45">
      <c r="A1365" t="s">
        <v>3036</v>
      </c>
      <c r="B1365" s="8">
        <f>'EMCAP_Pricing Matrix'!D312</f>
        <v>9.5000000000000001E-2</v>
      </c>
      <c r="C1365" t="s">
        <v>3037</v>
      </c>
    </row>
    <row r="1366" spans="1:3" ht="15" customHeight="1" x14ac:dyDescent="0.45">
      <c r="A1366" t="s">
        <v>3038</v>
      </c>
      <c r="B1366" s="8">
        <f>'EMCAP_Pricing Matrix'!M312</f>
        <v>0.105</v>
      </c>
      <c r="C1366" t="s">
        <v>3039</v>
      </c>
    </row>
    <row r="1367" spans="1:3" ht="15" customHeight="1" x14ac:dyDescent="0.45">
      <c r="A1367" t="s">
        <v>3040</v>
      </c>
      <c r="B1367" s="8">
        <f>'EMCAP_Pricing Matrix'!W312</f>
        <v>9.2499999999999999E-2</v>
      </c>
      <c r="C1367" t="s">
        <v>3041</v>
      </c>
    </row>
    <row r="1368" spans="1:3" ht="15" customHeight="1" x14ac:dyDescent="0.45">
      <c r="A1368" t="s">
        <v>3042</v>
      </c>
      <c r="B1368" s="8">
        <f>'EMCAP_Pricing Matrix'!X312</f>
        <v>9.5000000000000001E-2</v>
      </c>
      <c r="C1368" t="s">
        <v>3043</v>
      </c>
    </row>
    <row r="1369" spans="1:3" ht="15" customHeight="1" x14ac:dyDescent="0.45">
      <c r="A1369" t="s">
        <v>3044</v>
      </c>
      <c r="B1369" s="8">
        <f>'EMCAP_Pricing Matrix'!AG312</f>
        <v>0.105</v>
      </c>
      <c r="C1369" t="s">
        <v>3045</v>
      </c>
    </row>
    <row r="1370" spans="1:3" ht="15" customHeight="1" x14ac:dyDescent="0.45">
      <c r="A1370" t="s">
        <v>3046</v>
      </c>
      <c r="B1370" s="8">
        <f>'EMCAP_Pricing Matrix'!AQ312</f>
        <v>9.2499999999999999E-2</v>
      </c>
      <c r="C1370" t="s">
        <v>3047</v>
      </c>
    </row>
    <row r="1371" spans="1:3" ht="15" customHeight="1" x14ac:dyDescent="0.45">
      <c r="A1371" t="s">
        <v>3048</v>
      </c>
      <c r="B1371" s="8">
        <f>'EMCAP_Pricing Matrix'!AR312</f>
        <v>9.5000000000000001E-2</v>
      </c>
      <c r="C1371" t="s">
        <v>3049</v>
      </c>
    </row>
    <row r="1372" spans="1:3" ht="15" customHeight="1" x14ac:dyDescent="0.45">
      <c r="A1372" t="s">
        <v>3050</v>
      </c>
      <c r="B1372" s="8">
        <f>'EMCAP_Pricing Matrix'!C323</f>
        <v>0.10500000000000001</v>
      </c>
      <c r="C1372" t="s">
        <v>3051</v>
      </c>
    </row>
    <row r="1373" spans="1:3" ht="15" customHeight="1" x14ac:dyDescent="0.45">
      <c r="A1373" t="s">
        <v>3052</v>
      </c>
      <c r="B1373" s="8">
        <f>'EMCAP_Pricing Matrix'!W323</f>
        <v>0.10500000000000001</v>
      </c>
      <c r="C1373" t="s">
        <v>3053</v>
      </c>
    </row>
    <row r="1374" spans="1:3" ht="15" customHeight="1" x14ac:dyDescent="0.45">
      <c r="A1374" t="s">
        <v>3054</v>
      </c>
      <c r="B1374" s="8">
        <f>'EMCAP_Pricing Matrix'!AQ323</f>
        <v>0.10500000000000001</v>
      </c>
      <c r="C1374" t="s">
        <v>3055</v>
      </c>
    </row>
    <row r="1375" spans="1:3" ht="15" customHeight="1" x14ac:dyDescent="0.45">
      <c r="A1375" t="s">
        <v>3056</v>
      </c>
      <c r="B1375" s="8">
        <f>'EMCAP_Pricing Matrix'!C324</f>
        <v>0.10750000000000001</v>
      </c>
      <c r="C1375" t="s">
        <v>3057</v>
      </c>
    </row>
    <row r="1376" spans="1:3" ht="15" customHeight="1" x14ac:dyDescent="0.45">
      <c r="A1376" t="s">
        <v>3058</v>
      </c>
      <c r="B1376" s="8">
        <f>'EMCAP_Pricing Matrix'!W324</f>
        <v>0.10750000000000001</v>
      </c>
      <c r="C1376" t="s">
        <v>3059</v>
      </c>
    </row>
    <row r="1377" spans="1:3" ht="15" customHeight="1" x14ac:dyDescent="0.45">
      <c r="A1377" t="s">
        <v>3060</v>
      </c>
      <c r="B1377" s="8">
        <f>'EMCAP_Pricing Matrix'!AQ324</f>
        <v>0.10750000000000001</v>
      </c>
      <c r="C1377" t="s">
        <v>3061</v>
      </c>
    </row>
    <row r="1378" spans="1:3" ht="15" customHeight="1" x14ac:dyDescent="0.45">
      <c r="A1378" t="s">
        <v>3062</v>
      </c>
      <c r="B1378" s="8">
        <f>'EMCAP_Pricing Matrix'!C327</f>
        <v>0.10250000000000001</v>
      </c>
      <c r="C1378" t="s">
        <v>3063</v>
      </c>
    </row>
    <row r="1379" spans="1:3" ht="15" customHeight="1" x14ac:dyDescent="0.45">
      <c r="A1379" t="s">
        <v>3064</v>
      </c>
      <c r="B1379" s="8">
        <f>'EMCAP_Pricing Matrix'!W327</f>
        <v>0.10250000000000001</v>
      </c>
      <c r="C1379" t="s">
        <v>3065</v>
      </c>
    </row>
    <row r="1380" spans="1:3" ht="15" customHeight="1" x14ac:dyDescent="0.45">
      <c r="A1380" t="s">
        <v>3066</v>
      </c>
      <c r="B1380" s="8">
        <f>'EMCAP_Pricing Matrix'!AQ327</f>
        <v>0.10250000000000001</v>
      </c>
      <c r="C1380" t="s">
        <v>3067</v>
      </c>
    </row>
    <row r="1381" spans="1:3" ht="15" customHeight="1" x14ac:dyDescent="0.45">
      <c r="A1381" t="s">
        <v>3068</v>
      </c>
      <c r="B1381" s="8">
        <f>'EMCAP_Pricing Matrix'!C328</f>
        <v>0.10500000000000001</v>
      </c>
      <c r="C1381" t="s">
        <v>3069</v>
      </c>
    </row>
    <row r="1382" spans="1:3" ht="15" customHeight="1" x14ac:dyDescent="0.45">
      <c r="A1382" t="s">
        <v>3070</v>
      </c>
      <c r="B1382" s="8">
        <f>'EMCAP_Pricing Matrix'!W328</f>
        <v>0.10500000000000001</v>
      </c>
      <c r="C1382" t="s">
        <v>3071</v>
      </c>
    </row>
    <row r="1383" spans="1:3" ht="15" customHeight="1" x14ac:dyDescent="0.45">
      <c r="A1383" t="s">
        <v>3072</v>
      </c>
      <c r="B1383" s="8">
        <f>'EMCAP_Pricing Matrix'!AQ328</f>
        <v>0.10500000000000001</v>
      </c>
      <c r="C1383" t="s">
        <v>3073</v>
      </c>
    </row>
    <row r="1384" spans="1:3" ht="15" customHeight="1" x14ac:dyDescent="0.45">
      <c r="A1384" t="s">
        <v>3074</v>
      </c>
      <c r="B1384" s="8">
        <f>'EMCAP_Pricing Matrix'!C331</f>
        <v>0.1</v>
      </c>
      <c r="C1384" t="s">
        <v>3075</v>
      </c>
    </row>
    <row r="1385" spans="1:3" ht="15" customHeight="1" x14ac:dyDescent="0.45">
      <c r="A1385" t="s">
        <v>3076</v>
      </c>
      <c r="B1385" s="8">
        <f>'EMCAP_Pricing Matrix'!M331</f>
        <v>0.1125</v>
      </c>
      <c r="C1385" t="s">
        <v>3077</v>
      </c>
    </row>
    <row r="1386" spans="1:3" ht="15" customHeight="1" x14ac:dyDescent="0.45">
      <c r="A1386" t="s">
        <v>3078</v>
      </c>
      <c r="B1386" s="8">
        <f>'EMCAP_Pricing Matrix'!W331</f>
        <v>0.1</v>
      </c>
      <c r="C1386" t="s">
        <v>3079</v>
      </c>
    </row>
    <row r="1387" spans="1:3" ht="15" customHeight="1" x14ac:dyDescent="0.45">
      <c r="A1387" t="s">
        <v>3080</v>
      </c>
      <c r="B1387" s="8">
        <f>'EMCAP_Pricing Matrix'!AG331</f>
        <v>0.1125</v>
      </c>
      <c r="C1387" t="s">
        <v>3081</v>
      </c>
    </row>
    <row r="1388" spans="1:3" ht="15" customHeight="1" x14ac:dyDescent="0.45">
      <c r="A1388" t="s">
        <v>3082</v>
      </c>
      <c r="B1388" s="8">
        <f>'EMCAP_Pricing Matrix'!AQ331</f>
        <v>0.1</v>
      </c>
      <c r="C1388" t="s">
        <v>3083</v>
      </c>
    </row>
    <row r="1389" spans="1:3" ht="15" customHeight="1" x14ac:dyDescent="0.45">
      <c r="A1389" t="s">
        <v>3084</v>
      </c>
      <c r="B1389" s="8">
        <f>'EMCAP_Pricing Matrix'!C332</f>
        <v>0.10250000000000001</v>
      </c>
      <c r="C1389" t="s">
        <v>3085</v>
      </c>
    </row>
    <row r="1390" spans="1:3" ht="15" customHeight="1" x14ac:dyDescent="0.45">
      <c r="A1390" t="s">
        <v>3086</v>
      </c>
      <c r="B1390" s="8">
        <f>'EMCAP_Pricing Matrix'!M332</f>
        <v>0.115</v>
      </c>
      <c r="C1390" t="s">
        <v>3087</v>
      </c>
    </row>
    <row r="1391" spans="1:3" ht="15" customHeight="1" x14ac:dyDescent="0.45">
      <c r="A1391" t="s">
        <v>3088</v>
      </c>
      <c r="B1391" s="8">
        <f>'EMCAP_Pricing Matrix'!W332</f>
        <v>0.10250000000000001</v>
      </c>
      <c r="C1391" t="s">
        <v>3089</v>
      </c>
    </row>
    <row r="1392" spans="1:3" ht="15" customHeight="1" x14ac:dyDescent="0.45">
      <c r="A1392" t="s">
        <v>3090</v>
      </c>
      <c r="B1392" s="8">
        <f>'EMCAP_Pricing Matrix'!AG332</f>
        <v>0.115</v>
      </c>
      <c r="C1392" t="s">
        <v>3091</v>
      </c>
    </row>
    <row r="1393" spans="1:3" ht="15" customHeight="1" x14ac:dyDescent="0.45">
      <c r="A1393" t="s">
        <v>3092</v>
      </c>
      <c r="B1393" s="8">
        <f>'EMCAP_Pricing Matrix'!AQ332</f>
        <v>0.10250000000000001</v>
      </c>
      <c r="C1393" t="s">
        <v>3093</v>
      </c>
    </row>
    <row r="1394" spans="1:3" ht="15" customHeight="1" x14ac:dyDescent="0.45">
      <c r="A1394" t="s">
        <v>3094</v>
      </c>
      <c r="B1394" s="8">
        <f>'EMCAP_Pricing Matrix'!C345</f>
        <v>8.7500000000000008E-2</v>
      </c>
      <c r="C1394" t="s">
        <v>3095</v>
      </c>
    </row>
    <row r="1395" spans="1:3" ht="15" customHeight="1" x14ac:dyDescent="0.45">
      <c r="A1395" t="s">
        <v>3096</v>
      </c>
      <c r="B1395" s="8">
        <f>'EMCAP_Pricing Matrix'!D345</f>
        <v>8.8750000000000009E-2</v>
      </c>
      <c r="C1395" t="s">
        <v>3097</v>
      </c>
    </row>
    <row r="1396" spans="1:3" ht="15" customHeight="1" x14ac:dyDescent="0.45">
      <c r="A1396" t="s">
        <v>3098</v>
      </c>
      <c r="B1396" s="8">
        <f>'EMCAP_Pricing Matrix'!W345</f>
        <v>8.8750000000000009E-2</v>
      </c>
      <c r="C1396" t="s">
        <v>3099</v>
      </c>
    </row>
    <row r="1397" spans="1:3" ht="15" customHeight="1" x14ac:dyDescent="0.45">
      <c r="A1397" t="s">
        <v>3100</v>
      </c>
      <c r="B1397" s="8">
        <f>'EMCAP_Pricing Matrix'!X345</f>
        <v>9.0000000000000011E-2</v>
      </c>
      <c r="C1397" t="s">
        <v>3101</v>
      </c>
    </row>
    <row r="1398" spans="1:3" ht="15" customHeight="1" x14ac:dyDescent="0.45">
      <c r="A1398" t="s">
        <v>3102</v>
      </c>
      <c r="B1398" s="8">
        <f>'EMCAP_Pricing Matrix'!AQ345</f>
        <v>9.0000000000000011E-2</v>
      </c>
      <c r="C1398" t="s">
        <v>3103</v>
      </c>
    </row>
    <row r="1399" spans="1:3" ht="15" customHeight="1" x14ac:dyDescent="0.45">
      <c r="A1399" t="s">
        <v>3104</v>
      </c>
      <c r="B1399" s="8">
        <f>'EMCAP_Pricing Matrix'!AR345</f>
        <v>9.1250000000000012E-2</v>
      </c>
      <c r="C1399" t="s">
        <v>3105</v>
      </c>
    </row>
    <row r="1400" spans="1:3" ht="15" customHeight="1" x14ac:dyDescent="0.45">
      <c r="A1400" t="s">
        <v>3106</v>
      </c>
      <c r="B1400" s="8">
        <f>'EMCAP_Pricing Matrix'!C349</f>
        <v>8.6250000000000007E-2</v>
      </c>
      <c r="C1400" t="s">
        <v>3107</v>
      </c>
    </row>
    <row r="1401" spans="1:3" ht="15" customHeight="1" x14ac:dyDescent="0.45">
      <c r="A1401" t="s">
        <v>3108</v>
      </c>
      <c r="B1401" s="8">
        <f>'EMCAP_Pricing Matrix'!D349</f>
        <v>8.7500000000000008E-2</v>
      </c>
      <c r="C1401" t="s">
        <v>3109</v>
      </c>
    </row>
    <row r="1402" spans="1:3" ht="15" customHeight="1" x14ac:dyDescent="0.45">
      <c r="A1402" t="s">
        <v>3110</v>
      </c>
      <c r="B1402" s="8">
        <f>'EMCAP_Pricing Matrix'!W349</f>
        <v>8.7500000000000008E-2</v>
      </c>
      <c r="C1402" t="s">
        <v>3111</v>
      </c>
    </row>
    <row r="1403" spans="1:3" ht="15" customHeight="1" x14ac:dyDescent="0.45">
      <c r="A1403" t="s">
        <v>3112</v>
      </c>
      <c r="B1403" s="8">
        <f>'EMCAP_Pricing Matrix'!X349</f>
        <v>8.8750000000000009E-2</v>
      </c>
      <c r="C1403" t="s">
        <v>3113</v>
      </c>
    </row>
    <row r="1404" spans="1:3" ht="15" customHeight="1" x14ac:dyDescent="0.45">
      <c r="A1404" t="s">
        <v>3114</v>
      </c>
      <c r="B1404" s="8">
        <f>'EMCAP_Pricing Matrix'!AQ349</f>
        <v>8.8750000000000009E-2</v>
      </c>
      <c r="C1404" t="s">
        <v>3115</v>
      </c>
    </row>
    <row r="1405" spans="1:3" ht="15" customHeight="1" x14ac:dyDescent="0.45">
      <c r="A1405" t="s">
        <v>3116</v>
      </c>
      <c r="B1405" s="8">
        <f>'EMCAP_Pricing Matrix'!AR349</f>
        <v>9.0000000000000011E-2</v>
      </c>
      <c r="C1405" t="s">
        <v>3117</v>
      </c>
    </row>
    <row r="1406" spans="1:3" ht="15" customHeight="1" x14ac:dyDescent="0.45">
      <c r="A1406" t="s">
        <v>3118</v>
      </c>
      <c r="B1406" s="8">
        <f>'EMCAP_Pricing Matrix'!C353</f>
        <v>8.5000000000000006E-2</v>
      </c>
      <c r="C1406" t="s">
        <v>3119</v>
      </c>
    </row>
    <row r="1407" spans="1:3" ht="15" customHeight="1" x14ac:dyDescent="0.45">
      <c r="A1407" t="s">
        <v>3120</v>
      </c>
      <c r="B1407" s="8">
        <f>'EMCAP_Pricing Matrix'!D353</f>
        <v>8.6250000000000007E-2</v>
      </c>
      <c r="C1407" t="s">
        <v>3121</v>
      </c>
    </row>
    <row r="1408" spans="1:3" ht="15" customHeight="1" x14ac:dyDescent="0.45">
      <c r="A1408" t="s">
        <v>3122</v>
      </c>
      <c r="B1408" s="8">
        <f>'EMCAP_Pricing Matrix'!W353</f>
        <v>8.6250000000000007E-2</v>
      </c>
      <c r="C1408" t="s">
        <v>3123</v>
      </c>
    </row>
    <row r="1409" spans="1:3" ht="15" customHeight="1" x14ac:dyDescent="0.45">
      <c r="A1409" t="s">
        <v>3124</v>
      </c>
      <c r="B1409" s="8">
        <f>'EMCAP_Pricing Matrix'!X353</f>
        <v>8.7500000000000008E-2</v>
      </c>
      <c r="C1409" t="s">
        <v>3125</v>
      </c>
    </row>
    <row r="1410" spans="1:3" ht="15" customHeight="1" x14ac:dyDescent="0.45">
      <c r="A1410" t="s">
        <v>3126</v>
      </c>
      <c r="B1410" s="8">
        <f>'EMCAP_Pricing Matrix'!AQ353</f>
        <v>8.7500000000000008E-2</v>
      </c>
      <c r="C1410" t="s">
        <v>3127</v>
      </c>
    </row>
    <row r="1411" spans="1:3" ht="15" customHeight="1" x14ac:dyDescent="0.45">
      <c r="A1411" t="s">
        <v>3128</v>
      </c>
      <c r="B1411" s="8">
        <f>'EMCAP_Pricing Matrix'!AR353</f>
        <v>8.8750000000000009E-2</v>
      </c>
      <c r="C1411" t="s">
        <v>3129</v>
      </c>
    </row>
    <row r="1412" spans="1:3" ht="15" customHeight="1" x14ac:dyDescent="0.45">
      <c r="A1412" t="s">
        <v>3130</v>
      </c>
      <c r="B1412" s="8">
        <f>'EMCAP_Pricing Matrix'!C361</f>
        <v>9.1249999999999998E-2</v>
      </c>
      <c r="C1412" t="s">
        <v>3131</v>
      </c>
    </row>
    <row r="1413" spans="1:3" ht="15" customHeight="1" x14ac:dyDescent="0.45">
      <c r="A1413" t="s">
        <v>3132</v>
      </c>
      <c r="B1413" s="8">
        <f>'EMCAP_Pricing Matrix'!D361</f>
        <v>9.2499999999999999E-2</v>
      </c>
      <c r="C1413" t="s">
        <v>3133</v>
      </c>
    </row>
    <row r="1414" spans="1:3" ht="15" customHeight="1" x14ac:dyDescent="0.45">
      <c r="A1414" t="s">
        <v>3134</v>
      </c>
      <c r="B1414" s="8">
        <f>'EMCAP_Pricing Matrix'!W361</f>
        <v>9.2499999999999999E-2</v>
      </c>
      <c r="C1414" t="s">
        <v>3135</v>
      </c>
    </row>
    <row r="1415" spans="1:3" ht="15" customHeight="1" x14ac:dyDescent="0.45">
      <c r="A1415" t="s">
        <v>3136</v>
      </c>
      <c r="B1415" s="8">
        <f>'EMCAP_Pricing Matrix'!X361</f>
        <v>9.375E-2</v>
      </c>
      <c r="C1415" t="s">
        <v>3137</v>
      </c>
    </row>
    <row r="1416" spans="1:3" ht="15" customHeight="1" x14ac:dyDescent="0.45">
      <c r="A1416" t="s">
        <v>3138</v>
      </c>
      <c r="B1416" s="8">
        <f>'EMCAP_Pricing Matrix'!AQ361</f>
        <v>9.375E-2</v>
      </c>
      <c r="C1416" t="s">
        <v>3139</v>
      </c>
    </row>
    <row r="1417" spans="1:3" ht="15" customHeight="1" x14ac:dyDescent="0.45">
      <c r="A1417" t="s">
        <v>3140</v>
      </c>
      <c r="B1417" s="8">
        <f>'EMCAP_Pricing Matrix'!AR361</f>
        <v>9.5000000000000001E-2</v>
      </c>
      <c r="C1417" t="s">
        <v>3141</v>
      </c>
    </row>
    <row r="1418" spans="1:3" ht="15" customHeight="1" x14ac:dyDescent="0.45">
      <c r="A1418" t="s">
        <v>3142</v>
      </c>
      <c r="B1418" s="8">
        <f>'EMCAP_Pricing Matrix'!C365</f>
        <v>8.8749999999999996E-2</v>
      </c>
      <c r="C1418" t="s">
        <v>3143</v>
      </c>
    </row>
    <row r="1419" spans="1:3" ht="15" customHeight="1" x14ac:dyDescent="0.45">
      <c r="A1419" t="s">
        <v>3144</v>
      </c>
      <c r="B1419" s="8">
        <f>'EMCAP_Pricing Matrix'!D365</f>
        <v>0.09</v>
      </c>
      <c r="C1419" t="s">
        <v>3145</v>
      </c>
    </row>
    <row r="1420" spans="1:3" ht="15" customHeight="1" x14ac:dyDescent="0.45">
      <c r="A1420" t="s">
        <v>3146</v>
      </c>
      <c r="B1420" s="8">
        <f>'EMCAP_Pricing Matrix'!W365</f>
        <v>0.09</v>
      </c>
      <c r="C1420" t="s">
        <v>3147</v>
      </c>
    </row>
    <row r="1421" spans="1:3" ht="15" customHeight="1" x14ac:dyDescent="0.45">
      <c r="A1421" t="s">
        <v>3148</v>
      </c>
      <c r="B1421" s="8">
        <f>'EMCAP_Pricing Matrix'!X365</f>
        <v>9.1249999999999998E-2</v>
      </c>
      <c r="C1421" t="s">
        <v>3149</v>
      </c>
    </row>
    <row r="1422" spans="1:3" ht="15" customHeight="1" x14ac:dyDescent="0.45">
      <c r="A1422" t="s">
        <v>3150</v>
      </c>
      <c r="B1422" s="8">
        <f>'EMCAP_Pricing Matrix'!AQ365</f>
        <v>9.1249999999999998E-2</v>
      </c>
      <c r="C1422" t="s">
        <v>3151</v>
      </c>
    </row>
    <row r="1423" spans="1:3" ht="15" customHeight="1" x14ac:dyDescent="0.45">
      <c r="A1423" t="s">
        <v>3152</v>
      </c>
      <c r="B1423" s="8">
        <f>'EMCAP_Pricing Matrix'!AR365</f>
        <v>9.2499999999999999E-2</v>
      </c>
      <c r="C1423" t="s">
        <v>3153</v>
      </c>
    </row>
    <row r="1424" spans="1:3" ht="15" customHeight="1" x14ac:dyDescent="0.45">
      <c r="A1424" t="s">
        <v>3154</v>
      </c>
      <c r="B1424" s="8">
        <f>'EMCAP_Pricing Matrix'!C369</f>
        <v>8.6249999999999993E-2</v>
      </c>
      <c r="C1424" t="s">
        <v>3155</v>
      </c>
    </row>
    <row r="1425" spans="1:3" ht="15" customHeight="1" x14ac:dyDescent="0.45">
      <c r="A1425" t="s">
        <v>3156</v>
      </c>
      <c r="B1425" s="8">
        <f>'EMCAP_Pricing Matrix'!D369</f>
        <v>8.7499999999999994E-2</v>
      </c>
      <c r="C1425" t="s">
        <v>3157</v>
      </c>
    </row>
    <row r="1426" spans="1:3" ht="15" customHeight="1" x14ac:dyDescent="0.45">
      <c r="A1426" t="s">
        <v>3158</v>
      </c>
      <c r="B1426" s="8">
        <f>'EMCAP_Pricing Matrix'!W369</f>
        <v>8.7499999999999994E-2</v>
      </c>
      <c r="C1426" t="s">
        <v>3159</v>
      </c>
    </row>
    <row r="1427" spans="1:3" ht="15" customHeight="1" x14ac:dyDescent="0.45">
      <c r="A1427" t="s">
        <v>3160</v>
      </c>
      <c r="B1427" s="8">
        <f>'EMCAP_Pricing Matrix'!X369</f>
        <v>8.8749999999999996E-2</v>
      </c>
      <c r="C1427" t="s">
        <v>3161</v>
      </c>
    </row>
    <row r="1428" spans="1:3" ht="15" customHeight="1" x14ac:dyDescent="0.45">
      <c r="A1428" t="s">
        <v>3162</v>
      </c>
      <c r="B1428" s="8">
        <f>'EMCAP_Pricing Matrix'!AQ369</f>
        <v>8.8749999999999996E-2</v>
      </c>
      <c r="C1428" t="s">
        <v>3163</v>
      </c>
    </row>
    <row r="1429" spans="1:3" ht="15" customHeight="1" x14ac:dyDescent="0.45">
      <c r="A1429" t="s">
        <v>3164</v>
      </c>
      <c r="B1429" s="8">
        <f>'EMCAP_Pricing Matrix'!AR369</f>
        <v>0.09</v>
      </c>
      <c r="C1429" t="s">
        <v>3165</v>
      </c>
    </row>
    <row r="1430" spans="1:3" ht="15" customHeight="1" x14ac:dyDescent="0.45">
      <c r="A1430" t="s">
        <v>3166</v>
      </c>
      <c r="B1430" s="8">
        <f>'EMCAP_Pricing Matrix'!C396</f>
        <v>9.1249999999999998E-2</v>
      </c>
      <c r="C1430" t="s">
        <v>3167</v>
      </c>
    </row>
    <row r="1431" spans="1:3" ht="15" customHeight="1" x14ac:dyDescent="0.45">
      <c r="A1431" t="s">
        <v>3168</v>
      </c>
      <c r="B1431" s="8">
        <f>'EMCAP_Pricing Matrix'!D396</f>
        <v>9.375E-2</v>
      </c>
      <c r="C1431" t="s">
        <v>3169</v>
      </c>
    </row>
    <row r="1432" spans="1:3" ht="15" customHeight="1" x14ac:dyDescent="0.45">
      <c r="A1432" t="s">
        <v>3170</v>
      </c>
      <c r="B1432" s="8">
        <f>'EMCAP_Pricing Matrix'!M396</f>
        <v>9.1249999999999998E-2</v>
      </c>
      <c r="C1432" t="s">
        <v>3171</v>
      </c>
    </row>
    <row r="1433" spans="1:3" ht="15" customHeight="1" x14ac:dyDescent="0.45">
      <c r="A1433" t="s">
        <v>3172</v>
      </c>
      <c r="B1433" s="8">
        <f>'EMCAP_Pricing Matrix'!N396</f>
        <v>9.375E-2</v>
      </c>
      <c r="C1433" t="s">
        <v>3173</v>
      </c>
    </row>
    <row r="1434" spans="1:3" ht="15" customHeight="1" x14ac:dyDescent="0.45">
      <c r="A1434" t="s">
        <v>3174</v>
      </c>
      <c r="B1434" s="8">
        <f>'EMCAP_Pricing Matrix'!W396</f>
        <v>9.2499999999999999E-2</v>
      </c>
      <c r="C1434" t="s">
        <v>3175</v>
      </c>
    </row>
    <row r="1435" spans="1:3" ht="15" customHeight="1" x14ac:dyDescent="0.45">
      <c r="A1435" t="s">
        <v>3176</v>
      </c>
      <c r="B1435" s="8">
        <f>'EMCAP_Pricing Matrix'!X396</f>
        <v>9.5000000000000001E-2</v>
      </c>
      <c r="C1435" t="s">
        <v>3177</v>
      </c>
    </row>
    <row r="1436" spans="1:3" ht="15" customHeight="1" x14ac:dyDescent="0.45">
      <c r="A1436" t="s">
        <v>3178</v>
      </c>
      <c r="B1436" s="8">
        <f>'EMCAP_Pricing Matrix'!AG396</f>
        <v>9.2499999999999999E-2</v>
      </c>
      <c r="C1436" t="s">
        <v>3179</v>
      </c>
    </row>
    <row r="1437" spans="1:3" ht="15" customHeight="1" x14ac:dyDescent="0.45">
      <c r="A1437" t="s">
        <v>3180</v>
      </c>
      <c r="B1437" s="8">
        <f>'EMCAP_Pricing Matrix'!AH396</f>
        <v>9.5000000000000001E-2</v>
      </c>
      <c r="C1437" t="s">
        <v>3181</v>
      </c>
    </row>
    <row r="1438" spans="1:3" ht="15" customHeight="1" x14ac:dyDescent="0.45">
      <c r="A1438" t="s">
        <v>3182</v>
      </c>
      <c r="B1438" s="8">
        <f>'EMCAP_Pricing Matrix'!AQ396</f>
        <v>9.375E-2</v>
      </c>
      <c r="C1438" t="s">
        <v>3183</v>
      </c>
    </row>
    <row r="1439" spans="1:3" ht="15" customHeight="1" x14ac:dyDescent="0.45">
      <c r="A1439" t="s">
        <v>3184</v>
      </c>
      <c r="B1439" s="8">
        <f>'EMCAP_Pricing Matrix'!AR396</f>
        <v>9.6250000000000002E-2</v>
      </c>
      <c r="C1439" t="s">
        <v>3185</v>
      </c>
    </row>
    <row r="1440" spans="1:3" ht="15" customHeight="1" x14ac:dyDescent="0.45">
      <c r="A1440" t="s">
        <v>3186</v>
      </c>
      <c r="B1440" s="8">
        <f>'EMCAP_Pricing Matrix'!C400</f>
        <v>8.8749999999999996E-2</v>
      </c>
      <c r="C1440" t="s">
        <v>3187</v>
      </c>
    </row>
    <row r="1441" spans="1:3" ht="15" customHeight="1" x14ac:dyDescent="0.45">
      <c r="A1441" t="s">
        <v>3188</v>
      </c>
      <c r="B1441" s="8">
        <f>'EMCAP_Pricing Matrix'!D400</f>
        <v>9.1249999999999998E-2</v>
      </c>
      <c r="C1441" t="s">
        <v>3189</v>
      </c>
    </row>
    <row r="1442" spans="1:3" ht="15" customHeight="1" x14ac:dyDescent="0.45">
      <c r="A1442" t="s">
        <v>3190</v>
      </c>
      <c r="B1442" s="8">
        <f>'EMCAP_Pricing Matrix'!M400</f>
        <v>8.8749999999999996E-2</v>
      </c>
      <c r="C1442" t="s">
        <v>3191</v>
      </c>
    </row>
    <row r="1443" spans="1:3" ht="15" customHeight="1" x14ac:dyDescent="0.45">
      <c r="A1443" t="s">
        <v>3192</v>
      </c>
      <c r="B1443" s="8">
        <f>'EMCAP_Pricing Matrix'!N400</f>
        <v>9.1249999999999998E-2</v>
      </c>
      <c r="C1443" t="s">
        <v>3193</v>
      </c>
    </row>
    <row r="1444" spans="1:3" ht="15" customHeight="1" x14ac:dyDescent="0.45">
      <c r="A1444" t="s">
        <v>3194</v>
      </c>
      <c r="B1444" s="8">
        <f>'EMCAP_Pricing Matrix'!W400</f>
        <v>0.09</v>
      </c>
      <c r="C1444" t="s">
        <v>3195</v>
      </c>
    </row>
    <row r="1445" spans="1:3" ht="15" customHeight="1" x14ac:dyDescent="0.45">
      <c r="A1445" t="s">
        <v>3196</v>
      </c>
      <c r="B1445" s="8">
        <f>'EMCAP_Pricing Matrix'!X400</f>
        <v>9.2499999999999999E-2</v>
      </c>
      <c r="C1445" t="s">
        <v>3197</v>
      </c>
    </row>
    <row r="1446" spans="1:3" ht="15" customHeight="1" x14ac:dyDescent="0.45">
      <c r="A1446" t="s">
        <v>3198</v>
      </c>
      <c r="B1446" s="8">
        <f>'EMCAP_Pricing Matrix'!AG400</f>
        <v>0.09</v>
      </c>
      <c r="C1446" t="s">
        <v>3199</v>
      </c>
    </row>
    <row r="1447" spans="1:3" ht="15" customHeight="1" x14ac:dyDescent="0.45">
      <c r="A1447" t="s">
        <v>3200</v>
      </c>
      <c r="B1447" s="8">
        <f>'EMCAP_Pricing Matrix'!AH400</f>
        <v>9.2499999999999999E-2</v>
      </c>
      <c r="C1447" t="s">
        <v>3201</v>
      </c>
    </row>
    <row r="1448" spans="1:3" ht="15" customHeight="1" x14ac:dyDescent="0.45">
      <c r="A1448" t="s">
        <v>3202</v>
      </c>
      <c r="B1448" s="8">
        <f>'EMCAP_Pricing Matrix'!AQ400</f>
        <v>9.1249999999999998E-2</v>
      </c>
      <c r="C1448" t="s">
        <v>3203</v>
      </c>
    </row>
    <row r="1449" spans="1:3" ht="15" customHeight="1" x14ac:dyDescent="0.45">
      <c r="A1449" t="s">
        <v>3204</v>
      </c>
      <c r="B1449" s="8">
        <f>'EMCAP_Pricing Matrix'!AR400</f>
        <v>9.375E-2</v>
      </c>
      <c r="C1449" t="s">
        <v>3205</v>
      </c>
    </row>
    <row r="1450" spans="1:3" ht="15" customHeight="1" x14ac:dyDescent="0.45">
      <c r="A1450" t="s">
        <v>3206</v>
      </c>
      <c r="B1450" s="8">
        <f>'EMCAP_Pricing Matrix'!C404</f>
        <v>8.6249999999999993E-2</v>
      </c>
      <c r="C1450" t="s">
        <v>3207</v>
      </c>
    </row>
    <row r="1451" spans="1:3" ht="15" customHeight="1" x14ac:dyDescent="0.45">
      <c r="A1451" t="s">
        <v>3208</v>
      </c>
      <c r="B1451" s="8">
        <f>'EMCAP_Pricing Matrix'!D404</f>
        <v>8.8749999999999996E-2</v>
      </c>
      <c r="C1451" t="s">
        <v>3209</v>
      </c>
    </row>
    <row r="1452" spans="1:3" ht="15" customHeight="1" x14ac:dyDescent="0.45">
      <c r="A1452" t="s">
        <v>3210</v>
      </c>
      <c r="B1452" s="8">
        <f>'EMCAP_Pricing Matrix'!M404</f>
        <v>8.6249999999999993E-2</v>
      </c>
      <c r="C1452" t="s">
        <v>3211</v>
      </c>
    </row>
    <row r="1453" spans="1:3" ht="15" customHeight="1" x14ac:dyDescent="0.45">
      <c r="A1453" t="s">
        <v>3212</v>
      </c>
      <c r="B1453" s="8">
        <f>'EMCAP_Pricing Matrix'!N404</f>
        <v>8.8749999999999996E-2</v>
      </c>
      <c r="C1453" t="s">
        <v>3213</v>
      </c>
    </row>
    <row r="1454" spans="1:3" ht="15" customHeight="1" x14ac:dyDescent="0.45">
      <c r="A1454" t="s">
        <v>3214</v>
      </c>
      <c r="B1454" s="8">
        <f>'EMCAP_Pricing Matrix'!W404</f>
        <v>8.7499999999999994E-2</v>
      </c>
      <c r="C1454" t="s">
        <v>3215</v>
      </c>
    </row>
    <row r="1455" spans="1:3" ht="15" customHeight="1" x14ac:dyDescent="0.45">
      <c r="A1455" t="s">
        <v>3216</v>
      </c>
      <c r="B1455" s="8">
        <f>'EMCAP_Pricing Matrix'!X404</f>
        <v>0.09</v>
      </c>
      <c r="C1455" t="s">
        <v>3217</v>
      </c>
    </row>
    <row r="1456" spans="1:3" ht="15" customHeight="1" x14ac:dyDescent="0.45">
      <c r="A1456" t="s">
        <v>3218</v>
      </c>
      <c r="B1456" s="8">
        <f>'EMCAP_Pricing Matrix'!AG404</f>
        <v>8.7499999999999994E-2</v>
      </c>
      <c r="C1456" t="s">
        <v>3219</v>
      </c>
    </row>
    <row r="1457" spans="1:3" ht="15" customHeight="1" x14ac:dyDescent="0.45">
      <c r="A1457" t="s">
        <v>3220</v>
      </c>
      <c r="B1457" s="8">
        <f>'EMCAP_Pricing Matrix'!AH404</f>
        <v>0.09</v>
      </c>
      <c r="C1457" t="s">
        <v>3221</v>
      </c>
    </row>
    <row r="1458" spans="1:3" ht="15" customHeight="1" x14ac:dyDescent="0.45">
      <c r="A1458" t="s">
        <v>3222</v>
      </c>
      <c r="B1458" s="8">
        <f>'EMCAP_Pricing Matrix'!AQ404</f>
        <v>8.8749999999999996E-2</v>
      </c>
      <c r="C1458" t="s">
        <v>3223</v>
      </c>
    </row>
    <row r="1459" spans="1:3" ht="15" customHeight="1" x14ac:dyDescent="0.45">
      <c r="A1459" t="s">
        <v>3224</v>
      </c>
      <c r="B1459" s="8">
        <f>'EMCAP_Pricing Matrix'!AR404</f>
        <v>9.1249999999999998E-2</v>
      </c>
      <c r="C1459" t="s">
        <v>3225</v>
      </c>
    </row>
    <row r="1460" spans="1:3" ht="15" customHeight="1" x14ac:dyDescent="0.45">
      <c r="A1460" t="s">
        <v>3226</v>
      </c>
      <c r="B1460" s="8">
        <f>'EMCAP_Pricing Matrix'!C416</f>
        <v>0.09</v>
      </c>
      <c r="C1460" t="s">
        <v>3227</v>
      </c>
    </row>
    <row r="1461" spans="1:3" ht="15" customHeight="1" x14ac:dyDescent="0.45">
      <c r="A1461" t="s">
        <v>3228</v>
      </c>
      <c r="B1461" s="8">
        <f>'EMCAP_Pricing Matrix'!D416</f>
        <v>9.2499999999999999E-2</v>
      </c>
      <c r="C1461" t="s">
        <v>3229</v>
      </c>
    </row>
    <row r="1462" spans="1:3" ht="15" customHeight="1" x14ac:dyDescent="0.45">
      <c r="A1462" t="s">
        <v>3230</v>
      </c>
      <c r="B1462" s="8">
        <f>'EMCAP_Pricing Matrix'!M416</f>
        <v>0.09</v>
      </c>
      <c r="C1462" t="s">
        <v>3231</v>
      </c>
    </row>
    <row r="1463" spans="1:3" ht="15" customHeight="1" x14ac:dyDescent="0.45">
      <c r="A1463" t="s">
        <v>3232</v>
      </c>
      <c r="B1463" s="8">
        <f>'EMCAP_Pricing Matrix'!N416</f>
        <v>9.2499999999999999E-2</v>
      </c>
      <c r="C1463" t="s">
        <v>3233</v>
      </c>
    </row>
    <row r="1464" spans="1:3" ht="15" customHeight="1" x14ac:dyDescent="0.45">
      <c r="A1464" t="s">
        <v>3234</v>
      </c>
      <c r="B1464" s="8">
        <f>'EMCAP_Pricing Matrix'!W416</f>
        <v>9.1249999999999998E-2</v>
      </c>
      <c r="C1464" t="s">
        <v>3235</v>
      </c>
    </row>
    <row r="1465" spans="1:3" ht="15" customHeight="1" x14ac:dyDescent="0.45">
      <c r="A1465" t="s">
        <v>3236</v>
      </c>
      <c r="B1465" s="8">
        <f>'EMCAP_Pricing Matrix'!X416</f>
        <v>9.375E-2</v>
      </c>
      <c r="C1465" t="s">
        <v>3237</v>
      </c>
    </row>
    <row r="1466" spans="1:3" ht="15" customHeight="1" x14ac:dyDescent="0.45">
      <c r="A1466" t="s">
        <v>3238</v>
      </c>
      <c r="B1466" s="8">
        <f>'EMCAP_Pricing Matrix'!AG416</f>
        <v>9.1249999999999998E-2</v>
      </c>
      <c r="C1466" t="s">
        <v>3239</v>
      </c>
    </row>
    <row r="1467" spans="1:3" ht="15" customHeight="1" x14ac:dyDescent="0.45">
      <c r="A1467" t="s">
        <v>3240</v>
      </c>
      <c r="B1467" s="8">
        <f>'EMCAP_Pricing Matrix'!AH416</f>
        <v>9.375E-2</v>
      </c>
      <c r="C1467" t="s">
        <v>3241</v>
      </c>
    </row>
    <row r="1468" spans="1:3" ht="15" customHeight="1" x14ac:dyDescent="0.45">
      <c r="A1468" t="s">
        <v>3242</v>
      </c>
      <c r="B1468" s="8">
        <f>'EMCAP_Pricing Matrix'!AQ416</f>
        <v>9.2499999999999999E-2</v>
      </c>
      <c r="C1468" t="s">
        <v>3243</v>
      </c>
    </row>
    <row r="1469" spans="1:3" ht="15" customHeight="1" x14ac:dyDescent="0.45">
      <c r="A1469" t="s">
        <v>3244</v>
      </c>
      <c r="B1469" s="8">
        <f>'EMCAP_Pricing Matrix'!AR416</f>
        <v>9.5000000000000001E-2</v>
      </c>
      <c r="C1469" t="s">
        <v>3245</v>
      </c>
    </row>
    <row r="1470" spans="1:3" ht="15" customHeight="1" x14ac:dyDescent="0.45">
      <c r="A1470" t="s">
        <v>3246</v>
      </c>
      <c r="B1470" s="8">
        <f>'EMCAP_Pricing Matrix'!C417</f>
        <v>9.5000000000000001E-2</v>
      </c>
      <c r="C1470" t="s">
        <v>3247</v>
      </c>
    </row>
    <row r="1471" spans="1:3" ht="15" customHeight="1" x14ac:dyDescent="0.45">
      <c r="A1471" t="s">
        <v>3248</v>
      </c>
      <c r="B1471" s="8">
        <f>'EMCAP_Pricing Matrix'!D417</f>
        <v>9.7500000000000003E-2</v>
      </c>
      <c r="C1471" t="s">
        <v>3249</v>
      </c>
    </row>
    <row r="1472" spans="1:3" ht="15" customHeight="1" x14ac:dyDescent="0.45">
      <c r="A1472" t="s">
        <v>3250</v>
      </c>
      <c r="B1472" s="8">
        <f>'EMCAP_Pricing Matrix'!M417</f>
        <v>9.5000000000000001E-2</v>
      </c>
      <c r="C1472" t="s">
        <v>3251</v>
      </c>
    </row>
    <row r="1473" spans="1:3" ht="15" customHeight="1" x14ac:dyDescent="0.45">
      <c r="A1473" t="s">
        <v>3252</v>
      </c>
      <c r="B1473" s="8">
        <f>'EMCAP_Pricing Matrix'!N417</f>
        <v>9.7500000000000003E-2</v>
      </c>
      <c r="C1473" t="s">
        <v>3253</v>
      </c>
    </row>
    <row r="1474" spans="1:3" ht="15" customHeight="1" x14ac:dyDescent="0.45">
      <c r="A1474" t="s">
        <v>3254</v>
      </c>
      <c r="B1474" s="8">
        <f>'EMCAP_Pricing Matrix'!W417</f>
        <v>9.6250000000000002E-2</v>
      </c>
      <c r="C1474" t="s">
        <v>3255</v>
      </c>
    </row>
    <row r="1475" spans="1:3" ht="15" customHeight="1" x14ac:dyDescent="0.45">
      <c r="A1475" t="s">
        <v>3256</v>
      </c>
      <c r="B1475" s="8">
        <f>'EMCAP_Pricing Matrix'!X417</f>
        <v>9.8750000000000004E-2</v>
      </c>
      <c r="C1475" t="s">
        <v>3257</v>
      </c>
    </row>
    <row r="1476" spans="1:3" ht="15" customHeight="1" x14ac:dyDescent="0.45">
      <c r="A1476" t="s">
        <v>3258</v>
      </c>
      <c r="B1476" s="8">
        <f>'EMCAP_Pricing Matrix'!AG417</f>
        <v>9.6250000000000002E-2</v>
      </c>
      <c r="C1476" t="s">
        <v>3259</v>
      </c>
    </row>
    <row r="1477" spans="1:3" ht="15" customHeight="1" x14ac:dyDescent="0.45">
      <c r="A1477" t="s">
        <v>3260</v>
      </c>
      <c r="B1477" s="8">
        <f>'EMCAP_Pricing Matrix'!AH417</f>
        <v>9.8750000000000004E-2</v>
      </c>
      <c r="C1477" t="s">
        <v>3261</v>
      </c>
    </row>
    <row r="1478" spans="1:3" ht="15" customHeight="1" x14ac:dyDescent="0.45">
      <c r="A1478" t="s">
        <v>3262</v>
      </c>
      <c r="B1478" s="8">
        <f>'EMCAP_Pricing Matrix'!AQ417</f>
        <v>9.7500000000000003E-2</v>
      </c>
      <c r="C1478" t="s">
        <v>3263</v>
      </c>
    </row>
    <row r="1479" spans="1:3" ht="15" customHeight="1" x14ac:dyDescent="0.45">
      <c r="A1479" t="s">
        <v>3264</v>
      </c>
      <c r="B1479" s="8">
        <f>'EMCAP_Pricing Matrix'!AR417</f>
        <v>0.1</v>
      </c>
      <c r="C1479" t="s">
        <v>3265</v>
      </c>
    </row>
    <row r="1480" spans="1:3" ht="15" customHeight="1" x14ac:dyDescent="0.45">
      <c r="A1480" t="s">
        <v>3266</v>
      </c>
      <c r="B1480" s="8">
        <f>'EMCAP_Pricing Matrix'!C420</f>
        <v>8.7499999999999994E-2</v>
      </c>
      <c r="C1480" t="s">
        <v>3267</v>
      </c>
    </row>
    <row r="1481" spans="1:3" ht="15" customHeight="1" x14ac:dyDescent="0.45">
      <c r="A1481" t="s">
        <v>3268</v>
      </c>
      <c r="B1481" s="8">
        <f>'EMCAP_Pricing Matrix'!D420</f>
        <v>0.09</v>
      </c>
      <c r="C1481" t="s">
        <v>3269</v>
      </c>
    </row>
    <row r="1482" spans="1:3" ht="15" customHeight="1" x14ac:dyDescent="0.45">
      <c r="A1482" t="s">
        <v>3270</v>
      </c>
      <c r="B1482" s="8">
        <f>'EMCAP_Pricing Matrix'!M420</f>
        <v>8.7499999999999994E-2</v>
      </c>
      <c r="C1482" t="s">
        <v>3271</v>
      </c>
    </row>
    <row r="1483" spans="1:3" ht="15" customHeight="1" x14ac:dyDescent="0.45">
      <c r="A1483" t="s">
        <v>3272</v>
      </c>
      <c r="B1483" s="8">
        <f>'EMCAP_Pricing Matrix'!N420</f>
        <v>0.09</v>
      </c>
      <c r="C1483" t="s">
        <v>3273</v>
      </c>
    </row>
    <row r="1484" spans="1:3" ht="15" customHeight="1" x14ac:dyDescent="0.45">
      <c r="A1484" t="s">
        <v>3274</v>
      </c>
      <c r="B1484" s="8">
        <f>'EMCAP_Pricing Matrix'!W420</f>
        <v>8.8749999999999996E-2</v>
      </c>
      <c r="C1484" t="s">
        <v>3275</v>
      </c>
    </row>
    <row r="1485" spans="1:3" ht="15" customHeight="1" x14ac:dyDescent="0.45">
      <c r="A1485" t="s">
        <v>3276</v>
      </c>
      <c r="B1485" s="8">
        <f>'EMCAP_Pricing Matrix'!X420</f>
        <v>9.1249999999999998E-2</v>
      </c>
      <c r="C1485" t="s">
        <v>3277</v>
      </c>
    </row>
    <row r="1486" spans="1:3" ht="15" customHeight="1" x14ac:dyDescent="0.45">
      <c r="A1486" t="s">
        <v>3278</v>
      </c>
      <c r="B1486" s="8">
        <f>'EMCAP_Pricing Matrix'!AG420</f>
        <v>8.8749999999999996E-2</v>
      </c>
      <c r="C1486" t="s">
        <v>3279</v>
      </c>
    </row>
    <row r="1487" spans="1:3" ht="15" customHeight="1" x14ac:dyDescent="0.45">
      <c r="A1487" t="s">
        <v>3280</v>
      </c>
      <c r="B1487" s="8">
        <f>'EMCAP_Pricing Matrix'!AH420</f>
        <v>9.1249999999999998E-2</v>
      </c>
      <c r="C1487" t="s">
        <v>3281</v>
      </c>
    </row>
    <row r="1488" spans="1:3" ht="15" customHeight="1" x14ac:dyDescent="0.45">
      <c r="A1488" t="s">
        <v>3282</v>
      </c>
      <c r="B1488" s="8">
        <f>'EMCAP_Pricing Matrix'!AQ420</f>
        <v>0.09</v>
      </c>
      <c r="C1488" t="s">
        <v>3283</v>
      </c>
    </row>
    <row r="1489" spans="1:3" ht="15" customHeight="1" x14ac:dyDescent="0.45">
      <c r="A1489" t="s">
        <v>3284</v>
      </c>
      <c r="B1489" s="8">
        <f>'EMCAP_Pricing Matrix'!AR420</f>
        <v>9.2499999999999999E-2</v>
      </c>
      <c r="C1489" t="s">
        <v>3285</v>
      </c>
    </row>
    <row r="1490" spans="1:3" ht="15" customHeight="1" x14ac:dyDescent="0.45">
      <c r="A1490" t="s">
        <v>3286</v>
      </c>
      <c r="B1490" s="8">
        <f>'EMCAP_Pricing Matrix'!C421</f>
        <v>9.2499999999999999E-2</v>
      </c>
      <c r="C1490" t="s">
        <v>3287</v>
      </c>
    </row>
    <row r="1491" spans="1:3" ht="15" customHeight="1" x14ac:dyDescent="0.45">
      <c r="A1491" t="s">
        <v>3288</v>
      </c>
      <c r="B1491" s="8">
        <f>'EMCAP_Pricing Matrix'!D421</f>
        <v>9.5000000000000001E-2</v>
      </c>
      <c r="C1491" t="s">
        <v>3289</v>
      </c>
    </row>
    <row r="1492" spans="1:3" ht="15" customHeight="1" x14ac:dyDescent="0.45">
      <c r="A1492" t="s">
        <v>3290</v>
      </c>
      <c r="B1492" s="8">
        <f>'EMCAP_Pricing Matrix'!M421</f>
        <v>9.2499999999999999E-2</v>
      </c>
      <c r="C1492" t="s">
        <v>3291</v>
      </c>
    </row>
    <row r="1493" spans="1:3" ht="15" customHeight="1" x14ac:dyDescent="0.45">
      <c r="A1493" t="s">
        <v>3292</v>
      </c>
      <c r="B1493" s="8">
        <f>'EMCAP_Pricing Matrix'!N421</f>
        <v>9.5000000000000001E-2</v>
      </c>
      <c r="C1493" t="s">
        <v>3293</v>
      </c>
    </row>
    <row r="1494" spans="1:3" ht="15" customHeight="1" x14ac:dyDescent="0.45">
      <c r="A1494" t="s">
        <v>3294</v>
      </c>
      <c r="B1494" s="8">
        <f>'EMCAP_Pricing Matrix'!W421</f>
        <v>9.375E-2</v>
      </c>
      <c r="C1494" t="s">
        <v>3295</v>
      </c>
    </row>
    <row r="1495" spans="1:3" ht="15" customHeight="1" x14ac:dyDescent="0.45">
      <c r="A1495" t="s">
        <v>3296</v>
      </c>
      <c r="B1495" s="8">
        <f>'EMCAP_Pricing Matrix'!X421</f>
        <v>9.6250000000000002E-2</v>
      </c>
      <c r="C1495" t="s">
        <v>3297</v>
      </c>
    </row>
    <row r="1496" spans="1:3" ht="15" customHeight="1" x14ac:dyDescent="0.45">
      <c r="A1496" t="s">
        <v>3298</v>
      </c>
      <c r="B1496" s="8">
        <f>'EMCAP_Pricing Matrix'!AG421</f>
        <v>9.375E-2</v>
      </c>
      <c r="C1496" t="s">
        <v>3299</v>
      </c>
    </row>
    <row r="1497" spans="1:3" ht="15" customHeight="1" x14ac:dyDescent="0.45">
      <c r="A1497" t="s">
        <v>3300</v>
      </c>
      <c r="B1497" s="8">
        <f>'EMCAP_Pricing Matrix'!AH421</f>
        <v>9.6250000000000002E-2</v>
      </c>
      <c r="C1497" t="s">
        <v>3301</v>
      </c>
    </row>
    <row r="1498" spans="1:3" ht="15" customHeight="1" x14ac:dyDescent="0.45">
      <c r="A1498" t="s">
        <v>3302</v>
      </c>
      <c r="B1498" s="8">
        <f>'EMCAP_Pricing Matrix'!AQ421</f>
        <v>9.5000000000000001E-2</v>
      </c>
      <c r="C1498" t="s">
        <v>3303</v>
      </c>
    </row>
    <row r="1499" spans="1:3" ht="15" customHeight="1" x14ac:dyDescent="0.45">
      <c r="A1499" t="s">
        <v>3304</v>
      </c>
      <c r="B1499" s="8">
        <f>'EMCAP_Pricing Matrix'!AR421</f>
        <v>9.7500000000000003E-2</v>
      </c>
      <c r="C1499" t="s">
        <v>3305</v>
      </c>
    </row>
    <row r="1500" spans="1:3" ht="15" customHeight="1" x14ac:dyDescent="0.45">
      <c r="A1500" t="s">
        <v>3306</v>
      </c>
      <c r="B1500" s="8">
        <f>'EMCAP_Pricing Matrix'!C451</f>
        <v>9.2499999999999999E-2</v>
      </c>
      <c r="C1500" t="s">
        <v>3307</v>
      </c>
    </row>
    <row r="1501" spans="1:3" ht="15" customHeight="1" x14ac:dyDescent="0.45">
      <c r="A1501" t="s">
        <v>3308</v>
      </c>
      <c r="B1501" s="8">
        <f>'EMCAP_Pricing Matrix'!D451</f>
        <v>9.2499999999999999E-2</v>
      </c>
      <c r="C1501" t="s">
        <v>3309</v>
      </c>
    </row>
    <row r="1502" spans="1:3" ht="15" customHeight="1" x14ac:dyDescent="0.45">
      <c r="A1502" t="s">
        <v>3310</v>
      </c>
      <c r="B1502" s="8">
        <f>'EMCAP_Pricing Matrix'!M451</f>
        <v>9.7500000000000003E-2</v>
      </c>
      <c r="C1502" t="s">
        <v>3311</v>
      </c>
    </row>
    <row r="1503" spans="1:3" ht="15" customHeight="1" x14ac:dyDescent="0.45">
      <c r="A1503" t="s">
        <v>3312</v>
      </c>
      <c r="B1503" s="8">
        <f>'EMCAP_Pricing Matrix'!W451</f>
        <v>9.2499999999999999E-2</v>
      </c>
      <c r="C1503" t="s">
        <v>3313</v>
      </c>
    </row>
    <row r="1504" spans="1:3" ht="15" customHeight="1" x14ac:dyDescent="0.45">
      <c r="A1504" t="s">
        <v>3314</v>
      </c>
      <c r="B1504" s="8">
        <f>'EMCAP_Pricing Matrix'!X451</f>
        <v>9.2499999999999999E-2</v>
      </c>
      <c r="C1504" t="s">
        <v>3315</v>
      </c>
    </row>
    <row r="1505" spans="1:3" ht="15" customHeight="1" x14ac:dyDescent="0.45">
      <c r="A1505" t="s">
        <v>3316</v>
      </c>
      <c r="B1505" s="8">
        <f>'EMCAP_Pricing Matrix'!AG451</f>
        <v>9.7500000000000003E-2</v>
      </c>
      <c r="C1505" t="s">
        <v>3317</v>
      </c>
    </row>
    <row r="1506" spans="1:3" ht="15" customHeight="1" x14ac:dyDescent="0.45">
      <c r="A1506" t="s">
        <v>3318</v>
      </c>
      <c r="B1506" s="8">
        <f>'EMCAP_Pricing Matrix'!AQ451</f>
        <v>9.2499999999999999E-2</v>
      </c>
      <c r="C1506" t="s">
        <v>3319</v>
      </c>
    </row>
    <row r="1507" spans="1:3" ht="15" customHeight="1" x14ac:dyDescent="0.45">
      <c r="A1507" t="s">
        <v>3320</v>
      </c>
      <c r="B1507" s="8">
        <f>'EMCAP_Pricing Matrix'!AR451</f>
        <v>9.2499999999999999E-2</v>
      </c>
      <c r="C1507" t="s">
        <v>3321</v>
      </c>
    </row>
    <row r="1508" spans="1:3" ht="15" customHeight="1" x14ac:dyDescent="0.45">
      <c r="A1508" t="s">
        <v>3322</v>
      </c>
      <c r="B1508" s="8">
        <f>'EMCAP_Pricing Matrix'!C455</f>
        <v>0.09</v>
      </c>
      <c r="C1508" t="s">
        <v>3323</v>
      </c>
    </row>
    <row r="1509" spans="1:3" ht="15" customHeight="1" x14ac:dyDescent="0.45">
      <c r="A1509" t="s">
        <v>3324</v>
      </c>
      <c r="B1509" s="8">
        <f>'EMCAP_Pricing Matrix'!D455</f>
        <v>0.09</v>
      </c>
      <c r="C1509" t="s">
        <v>3325</v>
      </c>
    </row>
    <row r="1510" spans="1:3" ht="15" customHeight="1" x14ac:dyDescent="0.45">
      <c r="A1510" t="s">
        <v>3326</v>
      </c>
      <c r="B1510" s="8">
        <f>'EMCAP_Pricing Matrix'!M455</f>
        <v>9.5000000000000001E-2</v>
      </c>
      <c r="C1510" t="s">
        <v>3327</v>
      </c>
    </row>
    <row r="1511" spans="1:3" ht="15" customHeight="1" x14ac:dyDescent="0.45">
      <c r="A1511" t="s">
        <v>3328</v>
      </c>
      <c r="B1511" s="8">
        <f>'EMCAP_Pricing Matrix'!W455</f>
        <v>0.09</v>
      </c>
      <c r="C1511" t="s">
        <v>3329</v>
      </c>
    </row>
    <row r="1512" spans="1:3" ht="15" customHeight="1" x14ac:dyDescent="0.45">
      <c r="A1512" t="s">
        <v>3330</v>
      </c>
      <c r="B1512" s="8">
        <f>'EMCAP_Pricing Matrix'!X455</f>
        <v>0.09</v>
      </c>
      <c r="C1512" t="s">
        <v>3331</v>
      </c>
    </row>
    <row r="1513" spans="1:3" ht="15" customHeight="1" x14ac:dyDescent="0.45">
      <c r="A1513" t="s">
        <v>3332</v>
      </c>
      <c r="B1513" s="8">
        <f>'EMCAP_Pricing Matrix'!AG455</f>
        <v>9.5000000000000001E-2</v>
      </c>
      <c r="C1513" t="s">
        <v>3333</v>
      </c>
    </row>
    <row r="1514" spans="1:3" ht="15" customHeight="1" x14ac:dyDescent="0.45">
      <c r="A1514" t="s">
        <v>3334</v>
      </c>
      <c r="B1514" s="8">
        <f>'EMCAP_Pricing Matrix'!AQ455</f>
        <v>0.09</v>
      </c>
      <c r="C1514" t="s">
        <v>3335</v>
      </c>
    </row>
    <row r="1515" spans="1:3" ht="15" customHeight="1" x14ac:dyDescent="0.45">
      <c r="A1515" t="s">
        <v>3336</v>
      </c>
      <c r="B1515" s="8">
        <f>'EMCAP_Pricing Matrix'!AR455</f>
        <v>0.09</v>
      </c>
      <c r="C1515" t="s">
        <v>3337</v>
      </c>
    </row>
    <row r="1516" spans="1:3" ht="15" customHeight="1" x14ac:dyDescent="0.45">
      <c r="A1516" t="s">
        <v>3338</v>
      </c>
      <c r="B1516" s="8">
        <f>'EMCAP_Pricing Matrix'!C459</f>
        <v>8.7499999999999994E-2</v>
      </c>
      <c r="C1516" t="s">
        <v>3339</v>
      </c>
    </row>
    <row r="1517" spans="1:3" ht="15" customHeight="1" x14ac:dyDescent="0.45">
      <c r="A1517" t="s">
        <v>3340</v>
      </c>
      <c r="B1517" s="8">
        <f>'EMCAP_Pricing Matrix'!D459</f>
        <v>0.09</v>
      </c>
      <c r="C1517" t="s">
        <v>3341</v>
      </c>
    </row>
    <row r="1518" spans="1:3" ht="15" customHeight="1" x14ac:dyDescent="0.45">
      <c r="A1518" t="s">
        <v>3342</v>
      </c>
      <c r="B1518" s="8">
        <f>'EMCAP_Pricing Matrix'!M459</f>
        <v>9.2499999999999999E-2</v>
      </c>
      <c r="C1518" t="s">
        <v>3343</v>
      </c>
    </row>
    <row r="1519" spans="1:3" ht="15" customHeight="1" x14ac:dyDescent="0.45">
      <c r="A1519" t="s">
        <v>3344</v>
      </c>
      <c r="B1519" s="8">
        <f>'EMCAP_Pricing Matrix'!W459</f>
        <v>8.7499999999999994E-2</v>
      </c>
      <c r="C1519" t="s">
        <v>3345</v>
      </c>
    </row>
    <row r="1520" spans="1:3" ht="15" customHeight="1" x14ac:dyDescent="0.45">
      <c r="A1520" t="s">
        <v>3346</v>
      </c>
      <c r="B1520" s="8">
        <f>'EMCAP_Pricing Matrix'!X459</f>
        <v>0.09</v>
      </c>
      <c r="C1520" t="s">
        <v>3347</v>
      </c>
    </row>
    <row r="1521" spans="1:3" ht="15" customHeight="1" x14ac:dyDescent="0.45">
      <c r="A1521" t="s">
        <v>3348</v>
      </c>
      <c r="B1521" s="8">
        <f>'EMCAP_Pricing Matrix'!AG459</f>
        <v>9.2499999999999999E-2</v>
      </c>
      <c r="C1521" t="s">
        <v>3349</v>
      </c>
    </row>
    <row r="1522" spans="1:3" ht="15" customHeight="1" x14ac:dyDescent="0.45">
      <c r="A1522" t="s">
        <v>3350</v>
      </c>
      <c r="B1522" s="8">
        <f>'EMCAP_Pricing Matrix'!AQ459</f>
        <v>8.7499999999999994E-2</v>
      </c>
      <c r="C1522" t="s">
        <v>3351</v>
      </c>
    </row>
    <row r="1523" spans="1:3" ht="15" customHeight="1" x14ac:dyDescent="0.45">
      <c r="A1523" t="s">
        <v>3352</v>
      </c>
      <c r="B1523" s="8">
        <f>'EMCAP_Pricing Matrix'!AR459</f>
        <v>0.09</v>
      </c>
      <c r="C1523" t="s">
        <v>3353</v>
      </c>
    </row>
    <row r="1524" spans="1:3" ht="15" customHeight="1" x14ac:dyDescent="0.45">
      <c r="A1524" t="s">
        <v>3354</v>
      </c>
      <c r="B1524" s="8">
        <f>'EMCAP_Pricing Matrix'!C471</f>
        <v>9.5000000000000001E-2</v>
      </c>
      <c r="C1524" t="s">
        <v>3355</v>
      </c>
    </row>
    <row r="1525" spans="1:3" ht="15" customHeight="1" x14ac:dyDescent="0.45">
      <c r="A1525" t="s">
        <v>3356</v>
      </c>
      <c r="B1525" s="8">
        <f>'EMCAP_Pricing Matrix'!D471</f>
        <v>9.7500000000000003E-2</v>
      </c>
      <c r="C1525" t="s">
        <v>3357</v>
      </c>
    </row>
    <row r="1526" spans="1:3" ht="15" customHeight="1" x14ac:dyDescent="0.45">
      <c r="A1526" t="s">
        <v>3358</v>
      </c>
      <c r="B1526" s="8">
        <f>'EMCAP_Pricing Matrix'!W471</f>
        <v>9.5000000000000001E-2</v>
      </c>
      <c r="C1526" t="s">
        <v>3359</v>
      </c>
    </row>
    <row r="1527" spans="1:3" ht="15" customHeight="1" x14ac:dyDescent="0.45">
      <c r="A1527" t="s">
        <v>3360</v>
      </c>
      <c r="B1527" s="8">
        <f>'EMCAP_Pricing Matrix'!X471</f>
        <v>9.7500000000000003E-2</v>
      </c>
      <c r="C1527" t="s">
        <v>3361</v>
      </c>
    </row>
    <row r="1528" spans="1:3" ht="15" customHeight="1" x14ac:dyDescent="0.45">
      <c r="A1528" t="s">
        <v>3362</v>
      </c>
      <c r="B1528" s="8">
        <f>'EMCAP_Pricing Matrix'!AQ471</f>
        <v>9.5000000000000001E-2</v>
      </c>
      <c r="C1528" t="s">
        <v>3363</v>
      </c>
    </row>
    <row r="1529" spans="1:3" ht="15" customHeight="1" x14ac:dyDescent="0.45">
      <c r="A1529" t="s">
        <v>3364</v>
      </c>
      <c r="B1529" s="8">
        <f>'EMCAP_Pricing Matrix'!AR471</f>
        <v>9.7500000000000003E-2</v>
      </c>
      <c r="C1529" t="s">
        <v>3365</v>
      </c>
    </row>
    <row r="1530" spans="1:3" ht="15" customHeight="1" x14ac:dyDescent="0.45">
      <c r="A1530" t="s">
        <v>3366</v>
      </c>
      <c r="B1530" s="8">
        <f>'EMCAP_Pricing Matrix'!C475</f>
        <v>9.2499999999999999E-2</v>
      </c>
      <c r="C1530" t="s">
        <v>3367</v>
      </c>
    </row>
    <row r="1531" spans="1:3" ht="15" customHeight="1" x14ac:dyDescent="0.45">
      <c r="A1531" t="s">
        <v>3368</v>
      </c>
      <c r="B1531" s="8">
        <f>'EMCAP_Pricing Matrix'!D475</f>
        <v>9.5000000000000001E-2</v>
      </c>
      <c r="C1531" t="s">
        <v>3369</v>
      </c>
    </row>
    <row r="1532" spans="1:3" ht="15" customHeight="1" x14ac:dyDescent="0.45">
      <c r="A1532" t="s">
        <v>3370</v>
      </c>
      <c r="B1532" s="8">
        <f>'EMCAP_Pricing Matrix'!M475</f>
        <v>0.105</v>
      </c>
      <c r="C1532" t="s">
        <v>3371</v>
      </c>
    </row>
    <row r="1533" spans="1:3" ht="15" customHeight="1" x14ac:dyDescent="0.45">
      <c r="A1533" t="s">
        <v>3372</v>
      </c>
      <c r="B1533" s="8">
        <f>'EMCAP_Pricing Matrix'!W475</f>
        <v>9.2499999999999999E-2</v>
      </c>
      <c r="C1533" t="s">
        <v>3373</v>
      </c>
    </row>
    <row r="1534" spans="1:3" ht="15" customHeight="1" x14ac:dyDescent="0.45">
      <c r="A1534" t="s">
        <v>3374</v>
      </c>
      <c r="B1534" s="8">
        <f>'EMCAP_Pricing Matrix'!X475</f>
        <v>9.5000000000000001E-2</v>
      </c>
      <c r="C1534" t="s">
        <v>3375</v>
      </c>
    </row>
    <row r="1535" spans="1:3" ht="15" customHeight="1" x14ac:dyDescent="0.45">
      <c r="A1535" t="s">
        <v>3376</v>
      </c>
      <c r="B1535" s="8">
        <f>'EMCAP_Pricing Matrix'!AG475</f>
        <v>0.105</v>
      </c>
      <c r="C1535" t="s">
        <v>3377</v>
      </c>
    </row>
    <row r="1536" spans="1:3" ht="15" customHeight="1" x14ac:dyDescent="0.45">
      <c r="A1536" t="s">
        <v>3378</v>
      </c>
      <c r="B1536" s="8">
        <f>'EMCAP_Pricing Matrix'!AQ475</f>
        <v>9.2499999999999999E-2</v>
      </c>
      <c r="C1536" t="s">
        <v>3379</v>
      </c>
    </row>
    <row r="1537" spans="1:3" ht="15" customHeight="1" x14ac:dyDescent="0.45">
      <c r="A1537" t="s">
        <v>3380</v>
      </c>
      <c r="B1537" s="8">
        <f>'EMCAP_Pricing Matrix'!AR475</f>
        <v>9.5000000000000001E-2</v>
      </c>
      <c r="C1537" t="s">
        <v>3381</v>
      </c>
    </row>
    <row r="1538" spans="1:3" ht="15" customHeight="1" x14ac:dyDescent="0.45">
      <c r="A1538" t="s">
        <v>3382</v>
      </c>
      <c r="B1538" s="8">
        <f>'EMCAP_Pricing Matrix'!C479</f>
        <v>0.09</v>
      </c>
      <c r="C1538" t="s">
        <v>3383</v>
      </c>
    </row>
    <row r="1539" spans="1:3" ht="15" customHeight="1" x14ac:dyDescent="0.45">
      <c r="A1539" t="s">
        <v>3384</v>
      </c>
      <c r="B1539" s="8">
        <f>'EMCAP_Pricing Matrix'!D479</f>
        <v>9.2499999999999999E-2</v>
      </c>
      <c r="C1539" t="s">
        <v>3385</v>
      </c>
    </row>
    <row r="1540" spans="1:3" ht="15" customHeight="1" x14ac:dyDescent="0.45">
      <c r="A1540" t="s">
        <v>3386</v>
      </c>
      <c r="B1540" s="8">
        <f>'EMCAP_Pricing Matrix'!M479</f>
        <v>0.10249999999999999</v>
      </c>
      <c r="C1540" t="s">
        <v>3387</v>
      </c>
    </row>
    <row r="1541" spans="1:3" ht="15" customHeight="1" x14ac:dyDescent="0.45">
      <c r="A1541" t="s">
        <v>3388</v>
      </c>
      <c r="B1541" s="8">
        <f>'EMCAP_Pricing Matrix'!W479</f>
        <v>0.09</v>
      </c>
      <c r="C1541" t="s">
        <v>3389</v>
      </c>
    </row>
    <row r="1542" spans="1:3" ht="15" customHeight="1" x14ac:dyDescent="0.45">
      <c r="A1542" t="s">
        <v>3390</v>
      </c>
      <c r="B1542" s="8">
        <f>'EMCAP_Pricing Matrix'!X479</f>
        <v>9.2499999999999999E-2</v>
      </c>
      <c r="C1542" t="s">
        <v>3391</v>
      </c>
    </row>
    <row r="1543" spans="1:3" ht="15" customHeight="1" x14ac:dyDescent="0.45">
      <c r="A1543" t="s">
        <v>3392</v>
      </c>
      <c r="B1543" s="8">
        <f>'EMCAP_Pricing Matrix'!AG479</f>
        <v>0.10249999999999999</v>
      </c>
      <c r="C1543" t="s">
        <v>3393</v>
      </c>
    </row>
    <row r="1544" spans="1:3" ht="15" customHeight="1" x14ac:dyDescent="0.45">
      <c r="A1544" t="s">
        <v>3394</v>
      </c>
      <c r="B1544" s="8">
        <f>'EMCAP_Pricing Matrix'!AQ479</f>
        <v>0.09</v>
      </c>
      <c r="C1544" t="s">
        <v>3395</v>
      </c>
    </row>
    <row r="1545" spans="1:3" ht="15" customHeight="1" x14ac:dyDescent="0.45">
      <c r="A1545" t="s">
        <v>3396</v>
      </c>
      <c r="B1545" s="8">
        <f>'EMCAP_Pricing Matrix'!AR479</f>
        <v>9.2499999999999999E-2</v>
      </c>
      <c r="C1545" t="s">
        <v>3397</v>
      </c>
    </row>
    <row r="1546" spans="1:3" ht="15" customHeight="1" x14ac:dyDescent="0.45">
      <c r="A1546" t="s">
        <v>3398</v>
      </c>
      <c r="B1546" s="8">
        <f>'EMCAP_Pricing Matrix'!C491</f>
        <v>0.10500000000000001</v>
      </c>
      <c r="C1546" t="s">
        <v>3399</v>
      </c>
    </row>
    <row r="1547" spans="1:3" ht="15" customHeight="1" x14ac:dyDescent="0.45">
      <c r="A1547" t="s">
        <v>3400</v>
      </c>
      <c r="B1547" s="8">
        <f>'EMCAP_Pricing Matrix'!W491</f>
        <v>0.10500000000000001</v>
      </c>
      <c r="C1547" t="s">
        <v>3401</v>
      </c>
    </row>
    <row r="1548" spans="1:3" ht="15" customHeight="1" x14ac:dyDescent="0.45">
      <c r="A1548" t="s">
        <v>3402</v>
      </c>
      <c r="B1548" s="8">
        <f>'EMCAP_Pricing Matrix'!AQ491</f>
        <v>0.10500000000000001</v>
      </c>
      <c r="C1548" t="s">
        <v>3403</v>
      </c>
    </row>
    <row r="1549" spans="1:3" ht="15" customHeight="1" x14ac:dyDescent="0.45">
      <c r="A1549" t="s">
        <v>3404</v>
      </c>
      <c r="B1549" s="8">
        <f>'EMCAP_Pricing Matrix'!C495</f>
        <v>0.10250000000000001</v>
      </c>
      <c r="C1549" t="s">
        <v>3405</v>
      </c>
    </row>
    <row r="1550" spans="1:3" ht="15" customHeight="1" x14ac:dyDescent="0.45">
      <c r="A1550" t="s">
        <v>3406</v>
      </c>
      <c r="B1550" s="8">
        <f>'EMCAP_Pricing Matrix'!W495</f>
        <v>0.10250000000000001</v>
      </c>
      <c r="C1550" t="s">
        <v>3407</v>
      </c>
    </row>
    <row r="1551" spans="1:3" ht="15" customHeight="1" x14ac:dyDescent="0.45">
      <c r="A1551" t="s">
        <v>3408</v>
      </c>
      <c r="B1551" s="8">
        <f>'EMCAP_Pricing Matrix'!AQ495</f>
        <v>0.10250000000000001</v>
      </c>
      <c r="C1551" t="s">
        <v>3409</v>
      </c>
    </row>
    <row r="1552" spans="1:3" ht="15" customHeight="1" x14ac:dyDescent="0.45">
      <c r="A1552" t="s">
        <v>3410</v>
      </c>
      <c r="B1552" s="8">
        <f>'EMCAP_Pricing Matrix'!C499</f>
        <v>0.1</v>
      </c>
      <c r="C1552" t="s">
        <v>3411</v>
      </c>
    </row>
    <row r="1553" spans="1:3" ht="15" customHeight="1" x14ac:dyDescent="0.45">
      <c r="A1553" t="s">
        <v>3412</v>
      </c>
      <c r="B1553" s="8">
        <f>'EMCAP_Pricing Matrix'!M499</f>
        <v>0.1125</v>
      </c>
      <c r="C1553" t="s">
        <v>3413</v>
      </c>
    </row>
    <row r="1554" spans="1:3" ht="15" customHeight="1" x14ac:dyDescent="0.45">
      <c r="A1554" t="s">
        <v>3414</v>
      </c>
      <c r="B1554" s="8">
        <f>'EMCAP_Pricing Matrix'!W499</f>
        <v>0.1</v>
      </c>
      <c r="C1554" t="s">
        <v>3415</v>
      </c>
    </row>
    <row r="1555" spans="1:3" ht="15" customHeight="1" x14ac:dyDescent="0.45">
      <c r="A1555" t="s">
        <v>3416</v>
      </c>
      <c r="B1555" s="8">
        <f>'EMCAP_Pricing Matrix'!AG499</f>
        <v>0.1125</v>
      </c>
      <c r="C1555" t="s">
        <v>3417</v>
      </c>
    </row>
    <row r="1556" spans="1:3" ht="15" customHeight="1" x14ac:dyDescent="0.45">
      <c r="A1556" t="s">
        <v>3418</v>
      </c>
      <c r="B1556" s="8">
        <f>'EMCAP_Pricing Matrix'!AQ499</f>
        <v>0.1</v>
      </c>
      <c r="C1556" t="s">
        <v>3419</v>
      </c>
    </row>
  </sheetData>
  <sheetProtection password="C3F8" sheet="1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eac4ec-cfe6-44c1-8384-f889af4f723e" xsi:nil="true"/>
    <lcf76f155ced4ddcb4097134ff3c332f xmlns="e8e991a0-14da-48f8-b377-886d3df0944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C264900052B4E8B7EFCB5708AF87F" ma:contentTypeVersion="14" ma:contentTypeDescription="Create a new document." ma:contentTypeScope="" ma:versionID="64d2cbc56a22ac5cd338f08e0e4464ab">
  <xsd:schema xmlns:xsd="http://www.w3.org/2001/XMLSchema" xmlns:xs="http://www.w3.org/2001/XMLSchema" xmlns:p="http://schemas.microsoft.com/office/2006/metadata/properties" xmlns:ns2="e8e991a0-14da-48f8-b377-886d3df09443" xmlns:ns3="d7eac4ec-cfe6-44c1-8384-f889af4f723e" targetNamespace="http://schemas.microsoft.com/office/2006/metadata/properties" ma:root="true" ma:fieldsID="8a18193c64b0e2170cc0565e8c23d6ba" ns2:_="" ns3:_="">
    <xsd:import namespace="e8e991a0-14da-48f8-b377-886d3df09443"/>
    <xsd:import namespace="d7eac4ec-cfe6-44c1-8384-f889af4f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991a0-14da-48f8-b377-886d3df094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6a5766-90f7-438b-82a3-36862ccf51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eac4ec-cfe6-44c1-8384-f889af4f723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20f1e17-e6f4-4609-9b1d-e1ed074f2e8b}" ma:internalName="TaxCatchAll" ma:showField="CatchAllData" ma:web="d7eac4ec-cfe6-44c1-8384-f889af4f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0DBBCE-CB26-4902-810A-EBD7C99A1BDE}">
  <ds:schemaRefs>
    <ds:schemaRef ds:uri="http://schemas.microsoft.com/office/2006/metadata/properties"/>
    <ds:schemaRef ds:uri="http://schemas.microsoft.com/office/infopath/2007/PartnerControls"/>
    <ds:schemaRef ds:uri="d7eac4ec-cfe6-44c1-8384-f889af4f723e"/>
    <ds:schemaRef ds:uri="e8e991a0-14da-48f8-b377-886d3df09443"/>
  </ds:schemaRefs>
</ds:datastoreItem>
</file>

<file path=customXml/itemProps2.xml><?xml version="1.0" encoding="utf-8"?>
<ds:datastoreItem xmlns:ds="http://schemas.openxmlformats.org/officeDocument/2006/customXml" ds:itemID="{D8B2A27B-8DB1-48D6-90B3-36A55229F1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D8CA2F-8737-491C-9CD0-90587CC4ED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e991a0-14da-48f8-b377-886d3df09443"/>
    <ds:schemaRef ds:uri="d7eac4ec-cfe6-44c1-8384-f889af4f72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19</vt:i4>
      </vt:variant>
    </vt:vector>
  </HeadingPairs>
  <TitlesOfParts>
    <vt:vector size="24" baseType="lpstr">
      <vt:lpstr>Pricing Tool</vt:lpstr>
      <vt:lpstr>EMCAP_Pricing Matrix</vt:lpstr>
      <vt:lpstr>Tier Grid</vt:lpstr>
      <vt:lpstr>Underwriting Commentary</vt:lpstr>
      <vt:lpstr>Engine</vt:lpstr>
      <vt:lpstr>ExitLabels</vt:lpstr>
      <vt:lpstr>ExitTokens</vt:lpstr>
      <vt:lpstr>MktLabels</vt:lpstr>
      <vt:lpstr>MktTokens</vt:lpstr>
      <vt:lpstr>'EMCAP_Pricing Matrix'!Print_Area</vt:lpstr>
      <vt:lpstr>ProdLabels</vt:lpstr>
      <vt:lpstr>ProdTokens</vt:lpstr>
      <vt:lpstr>PurpLabels</vt:lpstr>
      <vt:lpstr>PurpTokens</vt:lpstr>
      <vt:lpstr>RateKeys</vt:lpstr>
      <vt:lpstr>RateVals</vt:lpstr>
      <vt:lpstr>TermsList</vt:lpstr>
      <vt:lpstr>TGKeys</vt:lpstr>
      <vt:lpstr>TGmaxacq</vt:lpstr>
      <vt:lpstr>TGmaxar</vt:lpstr>
      <vt:lpstr>TGmaxloan</vt:lpstr>
      <vt:lpstr>TGmaxltc</vt:lpstr>
      <vt:lpstr>TGminfico</vt:lpstr>
      <vt:lpstr>YesNoList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Brendan DeTommaso</dc:creator>
  <dc:description/>
  <cp:lastModifiedBy>Solomon Katz</cp:lastModifiedBy>
  <cp:revision>0</cp:revision>
  <cp:lastPrinted>2026-04-27T19:58:43Z</cp:lastPrinted>
  <dcterms:created xsi:type="dcterms:W3CDTF">2023-10-29T12:16:31Z</dcterms:created>
  <dcterms:modified xsi:type="dcterms:W3CDTF">2026-08-20T00:37:31Z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0x01010013FC264900052B4E8B7EFCB5708AF87F</vt:lpwstr>
  </property>
  <property fmtid="{D5CDD505-2E9C-101B-9397-08002B2CF9AE}" pid="3" name="MediaServiceImageTags">
    <vt:lpwstr/>
  </property>
</Properties>
</file>