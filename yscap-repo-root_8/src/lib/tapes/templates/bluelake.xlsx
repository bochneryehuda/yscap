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yscapgroup.sharepoint.com/sites/SharedData/Shared Documents/Pipeline Drive/Ys Capital Group/Guidelines &amp; Lender info/RTL/Blue Lake/rtl/"/>
    </mc:Choice>
  </mc:AlternateContent>
  <xr:revisionPtr revIDLastSave="9" documentId="13_ncr:1_{477896BA-4C3D-6043-9E20-79832EB1A7C7}" xr6:coauthVersionLast="47" xr6:coauthVersionMax="47" xr10:uidLastSave="{5E083E16-B24D-4338-A645-BA70673D6726}"/>
  <bookViews>
    <workbookView minimized="1" xWindow="885" yWindow="2415" windowWidth="21600" windowHeight="11295" tabRatio="613" xr2:uid="{4FAAE7C5-2B0C-441F-8FA3-052E88854D43}"/>
  </bookViews>
  <sheets>
    <sheet name="Bid Tape" sheetId="36" r:id="rId1"/>
    <sheet name="Settlement Statement" sheetId="39" state="hidden" r:id="rId2"/>
    <sheet name="Data Dictionary" sheetId="37" r:id="rId3"/>
    <sheet name="Pricing Confirm" sheetId="38" state="hidden" r:id="rId4"/>
    <sheet name="Rate Sheet" sheetId="40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38" l="1"/>
  <c r="V6" i="38"/>
  <c r="V7" i="38"/>
  <c r="V4" i="38"/>
  <c r="B17" i="39"/>
  <c r="C2" i="39"/>
  <c r="AP3" i="36" l="1"/>
  <c r="AN3" i="36"/>
  <c r="AJ3" i="36"/>
  <c r="AO3" i="36" s="1"/>
  <c r="E7" i="38"/>
  <c r="AW7" i="38" s="1"/>
  <c r="H21" i="39"/>
  <c r="I21" i="39"/>
  <c r="H22" i="39"/>
  <c r="I22" i="39"/>
  <c r="H23" i="39"/>
  <c r="I23" i="39"/>
  <c r="I20" i="39"/>
  <c r="N20" i="39" s="1"/>
  <c r="H20" i="39"/>
  <c r="G21" i="39"/>
  <c r="G22" i="39"/>
  <c r="G23" i="39"/>
  <c r="G20" i="39"/>
  <c r="F21" i="39"/>
  <c r="K21" i="39" s="1"/>
  <c r="F22" i="39"/>
  <c r="K22" i="39" s="1"/>
  <c r="F23" i="39"/>
  <c r="K23" i="39" s="1"/>
  <c r="F20" i="39"/>
  <c r="E21" i="39"/>
  <c r="E22" i="39"/>
  <c r="E23" i="39"/>
  <c r="E20" i="39"/>
  <c r="D21" i="39"/>
  <c r="D22" i="39" s="1"/>
  <c r="D23" i="39" s="1"/>
  <c r="C21" i="39"/>
  <c r="C22" i="39"/>
  <c r="C23" i="39"/>
  <c r="C20" i="39"/>
  <c r="C3" i="39" s="1"/>
  <c r="B21" i="39"/>
  <c r="B22" i="39"/>
  <c r="B23" i="39"/>
  <c r="B20" i="39"/>
  <c r="B18" i="39" s="1"/>
  <c r="K20" i="39" l="1"/>
  <c r="C8" i="39" s="1"/>
  <c r="C6" i="39"/>
  <c r="C12" i="39" s="1"/>
  <c r="N23" i="39"/>
  <c r="N21" i="39"/>
  <c r="N22" i="39"/>
  <c r="L5" i="38"/>
  <c r="M5" i="38"/>
  <c r="L6" i="38"/>
  <c r="M6" i="38"/>
  <c r="L7" i="38"/>
  <c r="M7" i="38"/>
  <c r="M4" i="38"/>
  <c r="L4" i="38"/>
  <c r="C7" i="39" l="1"/>
  <c r="E5" i="38"/>
  <c r="AW5" i="38" s="1"/>
  <c r="F5" i="38"/>
  <c r="G5" i="38"/>
  <c r="H5" i="38"/>
  <c r="I5" i="38"/>
  <c r="J5" i="38"/>
  <c r="K5" i="38"/>
  <c r="N5" i="38"/>
  <c r="O5" i="38"/>
  <c r="P5" i="38"/>
  <c r="Q5" i="38"/>
  <c r="R5" i="38"/>
  <c r="S5" i="38"/>
  <c r="T5" i="38"/>
  <c r="U5" i="38"/>
  <c r="W5" i="38"/>
  <c r="X5" i="38"/>
  <c r="Y5" i="38"/>
  <c r="Z5" i="38"/>
  <c r="AA5" i="38"/>
  <c r="E6" i="38"/>
  <c r="AW6" i="38" s="1"/>
  <c r="F6" i="38"/>
  <c r="G6" i="38"/>
  <c r="H6" i="38"/>
  <c r="I6" i="38"/>
  <c r="J6" i="38"/>
  <c r="K6" i="38"/>
  <c r="N6" i="38"/>
  <c r="O6" i="38"/>
  <c r="P6" i="38"/>
  <c r="Q6" i="38"/>
  <c r="R6" i="38"/>
  <c r="S6" i="38"/>
  <c r="T6" i="38"/>
  <c r="U6" i="38"/>
  <c r="W6" i="38"/>
  <c r="X6" i="38"/>
  <c r="Y6" i="38"/>
  <c r="Z6" i="38"/>
  <c r="AA6" i="38"/>
  <c r="F7" i="38"/>
  <c r="G7" i="38"/>
  <c r="H7" i="38"/>
  <c r="I7" i="38"/>
  <c r="J7" i="38"/>
  <c r="K7" i="38"/>
  <c r="N7" i="38"/>
  <c r="O7" i="38"/>
  <c r="P7" i="38"/>
  <c r="Q7" i="38"/>
  <c r="R7" i="38"/>
  <c r="S7" i="38"/>
  <c r="T7" i="38"/>
  <c r="U7" i="38"/>
  <c r="W7" i="38"/>
  <c r="X7" i="38"/>
  <c r="Y7" i="38"/>
  <c r="Z7" i="38"/>
  <c r="AA7" i="38"/>
  <c r="AA4" i="38"/>
  <c r="Z4" i="38"/>
  <c r="Y4" i="38"/>
  <c r="X4" i="38"/>
  <c r="W4" i="38"/>
  <c r="U4" i="38"/>
  <c r="T4" i="38"/>
  <c r="S4" i="38"/>
  <c r="R4" i="38"/>
  <c r="Q4" i="38"/>
  <c r="P4" i="38"/>
  <c r="O4" i="38"/>
  <c r="N4" i="38"/>
  <c r="K4" i="38"/>
  <c r="J4" i="38"/>
  <c r="I4" i="38"/>
  <c r="H4" i="38"/>
  <c r="G4" i="38"/>
  <c r="F4" i="38"/>
  <c r="E4" i="38"/>
  <c r="AW4" i="38" s="1"/>
  <c r="AX5" i="38" l="1"/>
  <c r="AY5" i="38" s="1"/>
  <c r="AX6" i="38"/>
  <c r="AY6" i="38" s="1"/>
  <c r="AX7" i="38"/>
  <c r="AY7" i="38" s="1"/>
  <c r="AX4" i="38"/>
  <c r="AY4" i="38" s="1"/>
  <c r="AR4" i="38"/>
  <c r="AR7" i="38"/>
  <c r="AR5" i="38"/>
  <c r="AR6" i="38"/>
  <c r="BC7" i="38"/>
  <c r="BB7" i="38"/>
  <c r="AV7" i="38"/>
  <c r="AS7" i="38"/>
  <c r="BA7" i="38"/>
  <c r="AU7" i="38"/>
  <c r="BD7" i="38"/>
  <c r="BC4" i="38"/>
  <c r="BB4" i="38"/>
  <c r="AV4" i="38"/>
  <c r="AS4" i="38"/>
  <c r="BA4" i="38"/>
  <c r="AU4" i="38"/>
  <c r="BD4" i="38"/>
  <c r="BC6" i="38"/>
  <c r="BB6" i="38"/>
  <c r="AV6" i="38"/>
  <c r="AS6" i="38"/>
  <c r="BA6" i="38"/>
  <c r="AU6" i="38"/>
  <c r="BD6" i="38"/>
  <c r="BB5" i="38"/>
  <c r="AV5" i="38"/>
  <c r="AS5" i="38"/>
  <c r="BA5" i="38"/>
  <c r="AU5" i="38"/>
  <c r="BC5" i="38"/>
  <c r="BD5" i="38"/>
  <c r="AK6" i="38"/>
  <c r="AK4" i="38"/>
  <c r="AF4" i="38"/>
  <c r="AG4" i="38" s="1"/>
  <c r="AK7" i="38"/>
  <c r="AK5" i="38"/>
  <c r="AF5" i="38"/>
  <c r="AG5" i="38" s="1"/>
  <c r="AH5" i="38" s="1"/>
  <c r="AJ5" i="38" s="1"/>
  <c r="AF7" i="38"/>
  <c r="AG7" i="38" s="1"/>
  <c r="AF6" i="38"/>
  <c r="AG6" i="38" s="1"/>
  <c r="AD6" i="38"/>
  <c r="AD4" i="38"/>
  <c r="AD7" i="38"/>
  <c r="AD5" i="38"/>
  <c r="AC4" i="38"/>
  <c r="E1" i="38"/>
  <c r="AC7" i="38"/>
  <c r="AC5" i="38"/>
  <c r="AC6" i="38"/>
  <c r="AE3" i="36"/>
  <c r="AT5" i="38" l="1"/>
  <c r="AE7" i="38"/>
  <c r="AZ7" i="38" s="1"/>
  <c r="BE7" i="38" s="1"/>
  <c r="AI5" i="38"/>
  <c r="AE4" i="38"/>
  <c r="AZ4" i="38" s="1"/>
  <c r="BE4" i="38" s="1"/>
  <c r="AI4" i="38"/>
  <c r="AH4" i="38"/>
  <c r="AE6" i="38"/>
  <c r="AZ6" i="38" s="1"/>
  <c r="BE6" i="38" s="1"/>
  <c r="AI7" i="38"/>
  <c r="AH7" i="38"/>
  <c r="AI6" i="38"/>
  <c r="AH6" i="38"/>
  <c r="AE5" i="38"/>
  <c r="AZ5" i="38" s="1"/>
  <c r="BE5" i="38" s="1"/>
  <c r="AM4" i="38" l="1"/>
  <c r="AL4" i="38"/>
  <c r="AO4" i="38" s="1"/>
  <c r="AM7" i="38"/>
  <c r="AJ4" i="38"/>
  <c r="AT4" i="38"/>
  <c r="AN7" i="38"/>
  <c r="AQ7" i="38" s="1"/>
  <c r="AN4" i="38"/>
  <c r="AQ4" i="38" s="1"/>
  <c r="AL7" i="38"/>
  <c r="AO7" i="38" s="1"/>
  <c r="AJ6" i="38"/>
  <c r="AT6" i="38"/>
  <c r="AJ7" i="38"/>
  <c r="AT7" i="38"/>
  <c r="AM5" i="38"/>
  <c r="AP5" i="38" s="1"/>
  <c r="AL5" i="38"/>
  <c r="AO5" i="38" s="1"/>
  <c r="AN5" i="38"/>
  <c r="AQ5" i="38" s="1"/>
  <c r="AM6" i="38"/>
  <c r="AL6" i="38"/>
  <c r="AO6" i="38" s="1"/>
  <c r="AN6" i="38"/>
  <c r="AQ6" i="38" s="1"/>
  <c r="BF5" i="38" l="1"/>
  <c r="B5" i="38" s="1"/>
  <c r="AP4" i="38"/>
  <c r="AP7" i="38"/>
  <c r="AP6" i="38"/>
  <c r="BF6" i="38" s="1"/>
  <c r="BF7" i="38" l="1"/>
  <c r="B7" i="38" s="1"/>
  <c r="BF4" i="38"/>
  <c r="B4" i="38" s="1"/>
  <c r="B6" i="38"/>
  <c r="C5" i="38"/>
  <c r="L21" i="39"/>
  <c r="C7" i="38" l="1"/>
  <c r="L23" i="39"/>
  <c r="C4" i="38"/>
  <c r="L20" i="39"/>
  <c r="O20" i="39" s="1"/>
  <c r="C6" i="38"/>
  <c r="L22" i="39"/>
  <c r="O21" i="39"/>
  <c r="P21" i="39" s="1"/>
  <c r="M21" i="39"/>
  <c r="M23" i="39" l="1"/>
  <c r="O23" i="39"/>
  <c r="P23" i="39" s="1"/>
  <c r="M20" i="39"/>
  <c r="C14" i="39" s="1"/>
  <c r="C15" i="39" s="1"/>
  <c r="C13" i="39"/>
  <c r="M22" i="39"/>
  <c r="O22" i="39"/>
  <c r="P22" i="39" s="1"/>
  <c r="P20" i="39"/>
  <c r="C10" i="39" s="1"/>
  <c r="C9" i="39"/>
</calcChain>
</file>

<file path=xl/sharedStrings.xml><?xml version="1.0" encoding="utf-8"?>
<sst xmlns="http://schemas.openxmlformats.org/spreadsheetml/2006/main" count="827" uniqueCount="373">
  <si>
    <t>Text</t>
  </si>
  <si>
    <t>Number</t>
  </si>
  <si>
    <t>Date</t>
  </si>
  <si>
    <t>Seller</t>
  </si>
  <si>
    <t>FICO</t>
  </si>
  <si>
    <t>N/A</t>
  </si>
  <si>
    <t>As-Is Value</t>
  </si>
  <si>
    <t>Purchase Price</t>
  </si>
  <si>
    <t>Rehab Budget</t>
  </si>
  <si>
    <t>Interest Reserve</t>
  </si>
  <si>
    <t>Basis/Days</t>
  </si>
  <si>
    <t>John Doe</t>
  </si>
  <si>
    <t>CA</t>
  </si>
  <si>
    <t>Field Name</t>
  </si>
  <si>
    <t>Originator Name</t>
  </si>
  <si>
    <t>Loan Type</t>
  </si>
  <si>
    <t>Interest Rate</t>
  </si>
  <si>
    <t>Original Maturity Date</t>
  </si>
  <si>
    <t>Loan Number</t>
  </si>
  <si>
    <t>Yes</t>
  </si>
  <si>
    <t>Construction</t>
  </si>
  <si>
    <t>Property Type</t>
  </si>
  <si>
    <t>Purchase</t>
  </si>
  <si>
    <t>Bridge</t>
  </si>
  <si>
    <t>30/360</t>
  </si>
  <si>
    <t>No</t>
  </si>
  <si>
    <t>Term</t>
  </si>
  <si>
    <t>Renovation</t>
  </si>
  <si>
    <t>Land - Entitled</t>
  </si>
  <si>
    <t>Format</t>
  </si>
  <si>
    <t>Actual/360</t>
  </si>
  <si>
    <t>Actual/365</t>
  </si>
  <si>
    <t>As-of Date</t>
  </si>
  <si>
    <t>Pre-Approval Flag</t>
  </si>
  <si>
    <t>Loan ID</t>
  </si>
  <si>
    <t>Borrowing Entity</t>
  </si>
  <si>
    <t>Mortgagor</t>
  </si>
  <si>
    <t>Origination Date</t>
  </si>
  <si>
    <t>Non-Cashflowing Flag</t>
  </si>
  <si>
    <t>Holdback Funded in Escrow</t>
  </si>
  <si>
    <t>New Construction Flag</t>
  </si>
  <si>
    <t>Street</t>
  </si>
  <si>
    <t>City</t>
  </si>
  <si>
    <t>State</t>
  </si>
  <si>
    <t>Zip</t>
  </si>
  <si>
    <t>Number of Properties</t>
  </si>
  <si>
    <t>Number of Units</t>
  </si>
  <si>
    <t xml:space="preserve">Day 1 Loan Amount </t>
  </si>
  <si>
    <t xml:space="preserve"> Holdback Loan Amount </t>
  </si>
  <si>
    <t xml:space="preserve"> Interest Reserve </t>
  </si>
  <si>
    <t xml:space="preserve"> Total Loan Amount </t>
  </si>
  <si>
    <t xml:space="preserve"> Disbursed Holdback Amount </t>
  </si>
  <si>
    <t xml:space="preserve"> Undisbursed Holdback Amount </t>
  </si>
  <si>
    <t xml:space="preserve"> Disbursed Interest Reserve </t>
  </si>
  <si>
    <t xml:space="preserve"> Undisbursed Interest Reserve </t>
  </si>
  <si>
    <t xml:space="preserve"> Total Loan Amount Disbursed </t>
  </si>
  <si>
    <t>Interest Bearing Balance</t>
  </si>
  <si>
    <t xml:space="preserve">UPB </t>
  </si>
  <si>
    <t>Completion Percentage</t>
  </si>
  <si>
    <t xml:space="preserve">Purchase Price </t>
  </si>
  <si>
    <t xml:space="preserve"> Rehab Budget </t>
  </si>
  <si>
    <t xml:space="preserve"> Cost Incurred to Date </t>
  </si>
  <si>
    <t xml:space="preserve"> Total Project Costs </t>
  </si>
  <si>
    <t xml:space="preserve"> AIV </t>
  </si>
  <si>
    <t xml:space="preserve"> ARV </t>
  </si>
  <si>
    <t>Appraisal Date</t>
  </si>
  <si>
    <t>LTAIV</t>
  </si>
  <si>
    <t>LTC</t>
  </si>
  <si>
    <t>LTARV</t>
  </si>
  <si>
    <t>Pre-Rehab Square Footage</t>
  </si>
  <si>
    <t>Post-Rehab Square Footage</t>
  </si>
  <si>
    <t>First Payment Date</t>
  </si>
  <si>
    <t>Current Maturity Date</t>
  </si>
  <si>
    <t>Next Due Date</t>
  </si>
  <si>
    <t>Dutch Flag</t>
  </si>
  <si>
    <t>Interest Days Method</t>
  </si>
  <si>
    <t>Purchase Rate</t>
  </si>
  <si>
    <t>Lender Retained Spread</t>
  </si>
  <si>
    <t>Total Points</t>
  </si>
  <si>
    <t xml:space="preserve">Borrower Liquidity </t>
  </si>
  <si>
    <t>Foreign National Flag</t>
  </si>
  <si>
    <t>Guarantor Track Record</t>
  </si>
  <si>
    <t>Recourse</t>
  </si>
  <si>
    <t>Pre-Sold Flag</t>
  </si>
  <si>
    <t>Exit Strategy</t>
  </si>
  <si>
    <t>Cross Collateralization Flag</t>
  </si>
  <si>
    <t>Extension Flag</t>
  </si>
  <si>
    <t>Extension Fee $</t>
  </si>
  <si>
    <t>Extension Fee %</t>
  </si>
  <si>
    <t>Gurantor Name</t>
  </si>
  <si>
    <t>Notes</t>
  </si>
  <si>
    <t>123 LLC</t>
  </si>
  <si>
    <t>Y</t>
  </si>
  <si>
    <t>N</t>
  </si>
  <si>
    <t>123 Main St</t>
  </si>
  <si>
    <t>Midland</t>
  </si>
  <si>
    <t>TX</t>
  </si>
  <si>
    <t>SFR</t>
  </si>
  <si>
    <t>Full</t>
  </si>
  <si>
    <t>DSCR</t>
  </si>
  <si>
    <t>FL</t>
  </si>
  <si>
    <t>Sell</t>
  </si>
  <si>
    <t>Cashout</t>
  </si>
  <si>
    <t>TN</t>
  </si>
  <si>
    <t>Total Loan Amount</t>
  </si>
  <si>
    <t>Collateral Tracking #</t>
  </si>
  <si>
    <t>Description</t>
  </si>
  <si>
    <t>Required (Y/N)</t>
  </si>
  <si>
    <t>Example A</t>
  </si>
  <si>
    <t>Example B</t>
  </si>
  <si>
    <t>Effective date of the information on the data tape.</t>
  </si>
  <si>
    <t>Only for loans with Pre-approval</t>
  </si>
  <si>
    <t>Yes/No</t>
  </si>
  <si>
    <t>Lender Loan Number/ID</t>
  </si>
  <si>
    <t>ABC-1234</t>
  </si>
  <si>
    <t>ACME Lending, LLC</t>
  </si>
  <si>
    <t>Lender Name as it appears on the MLPA</t>
  </si>
  <si>
    <t>Lending Fund, INC</t>
  </si>
  <si>
    <t>Borrowing Entity as it appears on the loan documents</t>
  </si>
  <si>
    <t>Mortgagor name as it appears on the Mortgage</t>
  </si>
  <si>
    <t>Fix and Flip, LLC</t>
  </si>
  <si>
    <t>Borrower INC</t>
  </si>
  <si>
    <t>Note Date for subject loan</t>
  </si>
  <si>
    <t>Percentage</t>
  </si>
  <si>
    <t>Interest bearing (Dutch) holdback funds</t>
  </si>
  <si>
    <t>.</t>
  </si>
  <si>
    <t>Rate/Term</t>
  </si>
  <si>
    <t>Purchase -- Rate/Term -- Cashout</t>
  </si>
  <si>
    <t>Y/N</t>
  </si>
  <si>
    <t>Flag identifying if a loan is for a Ground up construction project (Y for GUC loans)</t>
  </si>
  <si>
    <t>Property Street Address</t>
  </si>
  <si>
    <t>456 City Ave</t>
  </si>
  <si>
    <t>Property City</t>
  </si>
  <si>
    <t>Austin</t>
  </si>
  <si>
    <t>Incline Village</t>
  </si>
  <si>
    <t>Property Zip Code</t>
  </si>
  <si>
    <t>Triplex</t>
  </si>
  <si>
    <t xml:space="preserve">Loan amount disbursed to the borrower / on behalf of the borrower at closing </t>
  </si>
  <si>
    <t>Loan amount held back for renovation</t>
  </si>
  <si>
    <t>Maximum total loan amount as stated on the Note</t>
  </si>
  <si>
    <t>Renovation holdback that has been disbursed to the borrower</t>
  </si>
  <si>
    <t>Renovation holdback that has not  been disbursed to the borrower</t>
  </si>
  <si>
    <t>Interest Reserve that has been disbursed to the borrower</t>
  </si>
  <si>
    <t>Interest Reserve that has not  been disbursed to the borrower</t>
  </si>
  <si>
    <t>Total sum of all funds disbursed to the borrower as of the cut off date</t>
  </si>
  <si>
    <t>Disbursed holdback divided by total holdback loan amount</t>
  </si>
  <si>
    <t>Dollar Amount</t>
  </si>
  <si>
    <t>Purchase price of the subject property</t>
  </si>
  <si>
    <t>Purchase Date</t>
  </si>
  <si>
    <t>Purchase date of the subject property</t>
  </si>
  <si>
    <t>Subject finished property type</t>
  </si>
  <si>
    <t>Number of dwelling units within the subject property once any renovation is completed</t>
  </si>
  <si>
    <t>Total rehab budget for the subject project</t>
  </si>
  <si>
    <t>Costs spent on the project prior to origination of the new loan</t>
  </si>
  <si>
    <t>Total costs for the subject project (Purchase price, renovation planned and completed)</t>
  </si>
  <si>
    <t>Appraised As-Is value of the subject property</t>
  </si>
  <si>
    <t>Yes (If loan includes reno)</t>
  </si>
  <si>
    <t>Appraised After repair value of the subject property</t>
  </si>
  <si>
    <t>Date the property appraisal was completed</t>
  </si>
  <si>
    <t>Loan to Cost - Total loan amount divided by Total project costs</t>
  </si>
  <si>
    <t>Loan to After Repair Value - Total loan amount divided by After repair value</t>
  </si>
  <si>
    <t>Subject property current square footage</t>
  </si>
  <si>
    <t>Subject property square footage after project is completed</t>
  </si>
  <si>
    <t>Loan term in months</t>
  </si>
  <si>
    <t>Date of first payment based on the Note</t>
  </si>
  <si>
    <t>Original Maturity Date of the Loan as per the Note</t>
  </si>
  <si>
    <t>Flag identifying if the loan is charging Dutch interest (interest on total loan amount vs only on drawn (ND))</t>
  </si>
  <si>
    <t>Loan interest rate based on the subject Note</t>
  </si>
  <si>
    <t>Purchase rate of subject loan, to be completed by Blue Lake</t>
  </si>
  <si>
    <t>Interest spread payable to the Lender completed by Blue Lake</t>
  </si>
  <si>
    <t>Borrowers pre-close liquidity based on their provided bank statements</t>
  </si>
  <si>
    <t>Flag idtifyinng if the borrower is a Foreign National</t>
  </si>
  <si>
    <t>Subject loan recourse based on the subject loan documents</t>
  </si>
  <si>
    <t>Partial</t>
  </si>
  <si>
    <t>Flag to identify if the property has been pre-sold by the borrower</t>
  </si>
  <si>
    <t>Extension fee (if called out within the loan documents)</t>
  </si>
  <si>
    <t>No (only if  in loan documents)</t>
  </si>
  <si>
    <t>Extension fee % (if called out within the loan documents)</t>
  </si>
  <si>
    <t>Jane Doe</t>
  </si>
  <si>
    <t>Notes from the originator on the subject loan</t>
  </si>
  <si>
    <t>Collateral tracking number for loan documents sent to Blue Lake</t>
  </si>
  <si>
    <t>Yes (if collateral has been sent)</t>
  </si>
  <si>
    <t>Loan to As Is Value - Initial loan amount divided by As-Is Value</t>
  </si>
  <si>
    <t>Current Maturity Date of the Loan as per any loan modifications (Original if not modified)</t>
  </si>
  <si>
    <t>Next payment due date for the loan as of the cut off date</t>
  </si>
  <si>
    <t>How interest is calculated on the loan based on the subject Note</t>
  </si>
  <si>
    <t>Total origination points charged by the Lender to the borrower per the subject HUD</t>
  </si>
  <si>
    <t>Primary Personal Guarantor FICO</t>
  </si>
  <si>
    <t>Number of verified exits borrower has in the past 36 months (measured from Note date)</t>
  </si>
  <si>
    <t>Borrowers intended exit strategy from the subject loan/project</t>
  </si>
  <si>
    <t>Flag to identify if the loan has been extended</t>
  </si>
  <si>
    <t>Guarantor Name</t>
  </si>
  <si>
    <t>Primary Guarantor name</t>
  </si>
  <si>
    <t>Flag identifying loans that fit escalation criteria or sit outside of current guidelines that required pre-approval.</t>
  </si>
  <si>
    <t>Flag identifying if property is cashflowing (N for tenant occupied properties)</t>
  </si>
  <si>
    <t>Property State (Abbreviated)</t>
  </si>
  <si>
    <t>Number of properties collateralized with the subject loan</t>
  </si>
  <si>
    <t>Loan amount disbursed at closing held in escrow as an interest reserve</t>
  </si>
  <si>
    <t>Total interest bearing balance of the loan (Disbursed for non-Dutch // total loan amount for Dutch)</t>
  </si>
  <si>
    <t>Unpaid principal balance generally equal to Total loan amount disbursed</t>
  </si>
  <si>
    <t>Borrower FICO</t>
  </si>
  <si>
    <t>Borrower Experience</t>
  </si>
  <si>
    <t>Loan Purpose</t>
  </si>
  <si>
    <t>New Construction (Y/N)</t>
  </si>
  <si>
    <t>Property Purchase Date</t>
  </si>
  <si>
    <t>Costs Spent</t>
  </si>
  <si>
    <t>ARV</t>
  </si>
  <si>
    <t>Term (Mo)</t>
  </si>
  <si>
    <t>Initial Loan Amount</t>
  </si>
  <si>
    <t>Financed Rehab</t>
  </si>
  <si>
    <t>Borrower Tier</t>
  </si>
  <si>
    <t>Min FICO</t>
  </si>
  <si>
    <t>Min Exp</t>
  </si>
  <si>
    <t>Tier 1</t>
  </si>
  <si>
    <t>Tier 2</t>
  </si>
  <si>
    <t>Tier 3</t>
  </si>
  <si>
    <t>Leverage Matrix</t>
  </si>
  <si>
    <t>Price</t>
  </si>
  <si>
    <t>Tier 1 - Bridge - Purchase</t>
  </si>
  <si>
    <t>Tier 1 - Bridge - Rate/Term</t>
  </si>
  <si>
    <t>Tier 1 - Bridge - Cashout</t>
  </si>
  <si>
    <t>Tier 1 - Renovation - Purchase</t>
  </si>
  <si>
    <t>Tier 1 - Renovation - Rate/Term</t>
  </si>
  <si>
    <t>Tier 1 - Renovation - Cashout</t>
  </si>
  <si>
    <t>Tier 1 - Heavy Renovation - Purchase</t>
  </si>
  <si>
    <t>Tier 1 - Heavy Renovation - Rate/Term</t>
  </si>
  <si>
    <t>Tier 1 - Heavy Renovation - Cashout</t>
  </si>
  <si>
    <t>Tier 1 - Construction - Purchase</t>
  </si>
  <si>
    <t>Tier 1 - Construction - Rate/Term</t>
  </si>
  <si>
    <t>Tier 1 - Construction - Cashout</t>
  </si>
  <si>
    <t>Tier 2 - Bridge - Purchase</t>
  </si>
  <si>
    <t>Tier 2 - Bridge - Rate/Term</t>
  </si>
  <si>
    <t>Tier 2 - Bridge - Cashout</t>
  </si>
  <si>
    <t>Tier 2 - Renovation - Purchase</t>
  </si>
  <si>
    <t>Tier 2 - Renovation - Rate/Term</t>
  </si>
  <si>
    <t>Tier 2 - Renovation - Cashout</t>
  </si>
  <si>
    <t>Tier 2 - Heavy Renovation - Purchase</t>
  </si>
  <si>
    <t>Tier 2 - Heavy Renovation - Rate/Term</t>
  </si>
  <si>
    <t>Tier 2 - Heavy Renovation - Cashout</t>
  </si>
  <si>
    <t>Tier 2 - Construction - Purchase</t>
  </si>
  <si>
    <t>Tier 2 - Construction - Rate/Term</t>
  </si>
  <si>
    <t>Tier 2 - Construction - Cashout</t>
  </si>
  <si>
    <t>Tier 3 - Bridge - Purchase</t>
  </si>
  <si>
    <t>Tier 3 - Bridge - Rate/Term</t>
  </si>
  <si>
    <t>Tier 3 - Bridge - Cashout</t>
  </si>
  <si>
    <t>Tier 3 - Renovation - Purchase</t>
  </si>
  <si>
    <t>Tier 3 - Renovation - Rate/Term</t>
  </si>
  <si>
    <t>Tier 3 - Renovation - Cashout</t>
  </si>
  <si>
    <t>Tier 3 - Heavy Renovation - Purchase</t>
  </si>
  <si>
    <t>Tier 3 - Heavy Renovation - Rate/Term</t>
  </si>
  <si>
    <t>Tier 3 - Heavy Renovation - Cashout</t>
  </si>
  <si>
    <t>Tier 3 - Construction - Purchase</t>
  </si>
  <si>
    <t>Tier 3 - Construction - Rate/Term</t>
  </si>
  <si>
    <t>Tier 3 - Construction - Cashout</t>
  </si>
  <si>
    <t>Price Adj</t>
  </si>
  <si>
    <t>TLA</t>
  </si>
  <si>
    <t>Condo</t>
  </si>
  <si>
    <t>Duplex</t>
  </si>
  <si>
    <t>Fourplex</t>
  </si>
  <si>
    <t>Land - Unentitled</t>
  </si>
  <si>
    <t>PUD (Planned Urban Development)</t>
  </si>
  <si>
    <t>(Pass/Fail)</t>
  </si>
  <si>
    <t>AK</t>
  </si>
  <si>
    <t>FAIL</t>
  </si>
  <si>
    <t>AL</t>
  </si>
  <si>
    <t>Pass</t>
  </si>
  <si>
    <t>AR</t>
  </si>
  <si>
    <t>AZ</t>
  </si>
  <si>
    <t>CO</t>
  </si>
  <si>
    <t>CT</t>
  </si>
  <si>
    <t>DC</t>
  </si>
  <si>
    <t>DE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</si>
  <si>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</si>
  <si>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</si>
  <si>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</si>
  <si>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</si>
  <si>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</si>
  <si>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</si>
  <si>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</si>
  <si>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</si>
  <si>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</si>
  <si>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</si>
  <si>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</si>
  <si>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</si>
  <si>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</si>
  <si>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</si>
  <si>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</si>
  <si>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</si>
  <si>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</si>
  <si>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</si>
  <si>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</si>
  <si>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</si>
  <si>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</si>
  <si>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</si>
  <si>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</si>
  <si>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</si>
  <si>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</si>
  <si>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</si>
  <si>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</si>
  <si>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</si>
  <si>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</si>
  <si>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</si>
  <si>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</si>
  <si>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</si>
  <si>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UT</t>
  </si>
  <si>
    <t>VA</t>
  </si>
  <si>
    <t>VT</t>
  </si>
  <si>
    <t>WA</t>
  </si>
  <si>
    <t>WI</t>
  </si>
  <si>
    <t>WV</t>
  </si>
  <si>
    <t>WY</t>
  </si>
  <si>
    <t>Max Loan</t>
  </si>
  <si>
    <t>Min Loan</t>
  </si>
  <si>
    <t>Rehab Type</t>
  </si>
  <si>
    <t>Clac Program</t>
  </si>
  <si>
    <t>Days Owned</t>
  </si>
  <si>
    <t>Initial Cost Basis</t>
  </si>
  <si>
    <t>Total Cost Basis</t>
  </si>
  <si>
    <t>Max LTAIV</t>
  </si>
  <si>
    <t>Max LTC</t>
  </si>
  <si>
    <t>Max ARV</t>
  </si>
  <si>
    <t>LTAIV Check</t>
  </si>
  <si>
    <t>LTC Check</t>
  </si>
  <si>
    <t>ARV Check</t>
  </si>
  <si>
    <t>TLA Check</t>
  </si>
  <si>
    <t>100% Reno Check</t>
  </si>
  <si>
    <t>Profitability Check</t>
  </si>
  <si>
    <t>State Check</t>
  </si>
  <si>
    <t>Max/Min Loan Amnt</t>
  </si>
  <si>
    <t>Base Purchase Rate</t>
  </si>
  <si>
    <t>Term LLRA</t>
  </si>
  <si>
    <t>FICO LLRA</t>
  </si>
  <si>
    <t>TLA LLRA</t>
  </si>
  <si>
    <t>Property LLRA</t>
  </si>
  <si>
    <t>Final</t>
  </si>
  <si>
    <t>Loan Types</t>
  </si>
  <si>
    <t>Heavy Renovation</t>
  </si>
  <si>
    <t>Starting Sqft</t>
  </si>
  <si>
    <t>Ending Sqft</t>
  </si>
  <si>
    <t>Mid Construction Flag</t>
  </si>
  <si>
    <t>Property Conversion Flag</t>
  </si>
  <si>
    <t>Flag to identify if the loan includes multiple properties</t>
  </si>
  <si>
    <t>Flag to identify if the property is mid construction</t>
  </si>
  <si>
    <t>Flag to identify if the property type is being changed as part of the loan</t>
  </si>
  <si>
    <t>Pricing</t>
  </si>
  <si>
    <t>Spread</t>
  </si>
  <si>
    <t>Trade Date</t>
  </si>
  <si>
    <t>Cut-off Date</t>
  </si>
  <si>
    <t>MLPA Date</t>
  </si>
  <si>
    <t>Total UPB</t>
  </si>
  <si>
    <t>Original Purchase Price %</t>
  </si>
  <si>
    <t>Net Purchase Price</t>
  </si>
  <si>
    <t>Accured Interest</t>
  </si>
  <si>
    <t>Total Wire</t>
  </si>
  <si>
    <t>Cut-Off Date</t>
  </si>
  <si>
    <t>Seller Loan Number</t>
  </si>
  <si>
    <t>UPB ($)</t>
  </si>
  <si>
    <t>Purchase Price %</t>
  </si>
  <si>
    <t>Note Rate</t>
  </si>
  <si>
    <t>Lender Spread</t>
  </si>
  <si>
    <t>Accural Days</t>
  </si>
  <si>
    <t>Full Price</t>
  </si>
  <si>
    <t>Weighted Avg. Coupon</t>
  </si>
  <si>
    <t>Weighted Avg. Purchase Rate</t>
  </si>
  <si>
    <t>Weighted Avg. Lender Spread</t>
  </si>
  <si>
    <t>Closing Date</t>
  </si>
  <si>
    <t>Monthly Lender Spread ($)</t>
  </si>
  <si>
    <t>Portfolio Check</t>
  </si>
  <si>
    <t>GUC IR</t>
  </si>
  <si>
    <t>Test IR</t>
  </si>
  <si>
    <t># of Prop</t>
  </si>
  <si>
    <t>YSCAP258134727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</si>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</sst>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%"/>
    <numFmt numFmtId="165" formatCode="_([$$-409]* #,##0.00_);_([$$-409]* \(#,##0.00\);_([$$-409]* &quot;-&quot;??_);_(@_)"/>
    <numFmt numFmtId="166" formatCode="0.000%"/>
    <numFmt numFmtId="167" formatCode="[$-409]mmmm\ d\,\ yyyy;@"/>
  </numFmts>
  <fonts count="1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66FF"/>
      <name val="Times New Roman"/>
      <family val="1"/>
    </font>
    <font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B4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5B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1C295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9" fontId="1" fillId="0" borderId="0" xfId="1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  <xf numFmtId="0" fontId="7" fillId="3" borderId="1" xfId="0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0" borderId="0" xfId="0" applyFont="1"/>
    <xf numFmtId="44" fontId="1" fillId="0" borderId="0" xfId="2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44" fontId="1" fillId="0" borderId="0" xfId="1" applyNumberFormat="1" applyFont="1" applyFill="1" applyAlignment="1">
      <alignment horizontal="center"/>
    </xf>
    <xf numFmtId="164" fontId="1" fillId="0" borderId="0" xfId="1" applyNumberFormat="1" applyFont="1" applyFill="1" applyAlignment="1">
      <alignment horizontal="center"/>
    </xf>
    <xf numFmtId="10" fontId="1" fillId="0" borderId="0" xfId="0" applyNumberFormat="1" applyFont="1" applyAlignment="1">
      <alignment horizontal="center"/>
    </xf>
    <xf numFmtId="10" fontId="1" fillId="0" borderId="0" xfId="1" applyNumberFormat="1" applyFont="1" applyFill="1" applyAlignment="1">
      <alignment horizontal="center"/>
    </xf>
    <xf numFmtId="165" fontId="1" fillId="0" borderId="0" xfId="0" applyNumberFormat="1" applyFont="1"/>
    <xf numFmtId="14" fontId="8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44" fontId="0" fillId="0" borderId="1" xfId="0" applyNumberFormat="1" applyBorder="1" applyAlignment="1">
      <alignment horizontal="right"/>
    </xf>
    <xf numFmtId="10" fontId="0" fillId="0" borderId="1" xfId="1" applyNumberFormat="1" applyFont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4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5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4" fontId="11" fillId="0" borderId="0" xfId="0" applyNumberFormat="1" applyFont="1" applyAlignment="1">
      <alignment horizontal="center"/>
    </xf>
    <xf numFmtId="166" fontId="11" fillId="0" borderId="0" xfId="1" applyNumberFormat="1" applyFont="1" applyAlignment="1">
      <alignment horizontal="center"/>
    </xf>
    <xf numFmtId="0" fontId="10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center"/>
    </xf>
    <xf numFmtId="10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1" xfId="0" applyFont="1" applyBorder="1"/>
    <xf numFmtId="0" fontId="11" fillId="0" borderId="1" xfId="0" quotePrefix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4" fontId="11" fillId="0" borderId="1" xfId="0" applyNumberFormat="1" applyFont="1" applyBorder="1" applyAlignment="1">
      <alignment horizontal="center"/>
    </xf>
    <xf numFmtId="10" fontId="11" fillId="0" borderId="1" xfId="1" applyNumberFormat="1" applyFont="1" applyBorder="1" applyAlignment="1">
      <alignment horizontal="center"/>
    </xf>
    <xf numFmtId="166" fontId="11" fillId="0" borderId="1" xfId="1" applyNumberFormat="1" applyFont="1" applyBorder="1" applyAlignment="1">
      <alignment horizontal="center"/>
    </xf>
    <xf numFmtId="0" fontId="11" fillId="8" borderId="1" xfId="0" applyFont="1" applyFill="1" applyBorder="1"/>
    <xf numFmtId="0" fontId="11" fillId="8" borderId="1" xfId="0" applyFont="1" applyFill="1" applyBorder="1" applyAlignment="1">
      <alignment horizontal="center"/>
    </xf>
    <xf numFmtId="4" fontId="11" fillId="8" borderId="1" xfId="0" applyNumberFormat="1" applyFont="1" applyFill="1" applyBorder="1" applyAlignment="1">
      <alignment horizontal="center"/>
    </xf>
    <xf numFmtId="0" fontId="10" fillId="8" borderId="1" xfId="0" applyFont="1" applyFill="1" applyBorder="1"/>
    <xf numFmtId="4" fontId="10" fillId="8" borderId="1" xfId="0" applyNumberFormat="1" applyFont="1" applyFill="1" applyBorder="1" applyAlignment="1">
      <alignment horizontal="center"/>
    </xf>
    <xf numFmtId="166" fontId="11" fillId="8" borderId="1" xfId="1" applyNumberFormat="1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85BCFF"/>
      <color rgb="FF81FFCC"/>
      <color rgb="FF1C2952"/>
      <color rgb="FF0066FF"/>
      <color rgb="FF3333FF"/>
      <color rgb="FF000099"/>
      <color rgb="FFCCFFCC"/>
      <color rgb="FF00FF99"/>
      <color rgb="FF99B4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100855</xdr:colOff>
      <xdr:row>0</xdr:row>
      <xdr:rowOff>172851</xdr:rowOff>
    </xdr:from>
    <xdr:to>
      <xdr:col>4</xdr:col>
      <xdr:colOff>1</xdr:colOff>
      <xdr:row>0</xdr:row>
      <xdr:rowOff>810622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39D10D-2909-CF38-70DD-D10B49F01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14" y="172851"/>
          <a:ext cx="3007938" cy="637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enesis Colors">
      <a:dk1>
        <a:sysClr val="windowText" lastClr="000000"/>
      </a:dk1>
      <a:lt1>
        <a:sysClr val="window" lastClr="FFFFFF"/>
      </a:lt1>
      <a:dk2>
        <a:srgbClr val="2A2A29"/>
      </a:dk2>
      <a:lt2>
        <a:srgbClr val="F6F6F6"/>
      </a:lt2>
      <a:accent1>
        <a:srgbClr val="002839"/>
      </a:accent1>
      <a:accent2>
        <a:srgbClr val="B74A26"/>
      </a:accent2>
      <a:accent3>
        <a:srgbClr val="DDA403"/>
      </a:accent3>
      <a:accent4>
        <a:srgbClr val="6A7F9A"/>
      </a:accent4>
      <a:accent5>
        <a:srgbClr val="7D7D7D"/>
      </a:accent5>
      <a:accent6>
        <a:srgbClr val="DEE7F1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B838-7D87-4640-8C5C-5E1A0D92400A}">
  <sheetPr codeName="Sheet1">
    <tabColor rgb="FF85BCFF"/>
  </sheetPr>
  <dimension ref="A1:CD99"/>
  <sheetViews>
    <sheetView showGridLines="0" tabSelected="1"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H7" sqref="H7"/>
    </sheetView>
  </sheetViews>
  <sheetFormatPr defaultColWidth="8.85546875" defaultRowHeight="15" x14ac:dyDescent="0.25"/>
  <cols>
    <col min="1" max="1" width="4.28515625" customWidth="1"/>
    <col min="2" max="2" width="10.42578125" bestFit="1" customWidth="1"/>
    <col min="3" max="3" width="16.85546875" bestFit="1" customWidth="1"/>
    <col min="4" max="4" width="17.28515625" customWidth="1"/>
    <col min="5" max="5" width="23.85546875" customWidth="1"/>
    <col min="6" max="6" width="18.42578125" customWidth="1"/>
    <col min="7" max="7" width="16.140625" customWidth="1"/>
    <col min="8" max="8" width="15.42578125" bestFit="1" customWidth="1"/>
    <col min="9" max="9" width="20.85546875" bestFit="1" customWidth="1"/>
    <col min="10" max="10" width="27.28515625" bestFit="1" customWidth="1"/>
    <col min="11" max="11" width="18.140625" customWidth="1"/>
    <col min="12" max="12" width="21.42578125" bestFit="1" customWidth="1"/>
    <col min="13" max="13" width="10.140625" bestFit="1" customWidth="1"/>
    <col min="14" max="14" width="14.140625" bestFit="1" customWidth="1"/>
    <col min="15" max="15" width="5.7109375" bestFit="1" customWidth="1"/>
    <col min="16" max="16" width="6" bestFit="1" customWidth="1"/>
    <col min="17" max="17" width="13.140625" bestFit="1" customWidth="1"/>
    <col min="18" max="18" width="20.28515625" bestFit="1" customWidth="1"/>
    <col min="19" max="19" width="15.7109375" bestFit="1" customWidth="1"/>
    <col min="20" max="20" width="20.28515625" bestFit="1" customWidth="1"/>
    <col min="21" max="21" width="24.28515625" bestFit="1" customWidth="1"/>
    <col min="22" max="22" width="18" bestFit="1" customWidth="1"/>
    <col min="23" max="23" width="20.140625" bestFit="1" customWidth="1"/>
    <col min="24" max="24" width="29.140625" bestFit="1" customWidth="1"/>
    <col min="25" max="25" width="31.28515625" bestFit="1" customWidth="1"/>
    <col min="26" max="26" width="27.7109375" bestFit="1" customWidth="1"/>
    <col min="27" max="27" width="29.85546875" bestFit="1" customWidth="1"/>
    <col min="28" max="28" width="30" bestFit="1" customWidth="1"/>
    <col min="29" max="29" width="24.42578125" bestFit="1" customWidth="1"/>
    <col min="30" max="30" width="12.42578125" customWidth="1"/>
    <col min="31" max="31" width="22.42578125" bestFit="1" customWidth="1"/>
    <col min="32" max="32" width="16.28515625" bestFit="1" customWidth="1"/>
    <col min="33" max="33" width="16.28515625" style="11" customWidth="1"/>
    <col min="34" max="34" width="15.7109375" bestFit="1" customWidth="1"/>
    <col min="35" max="35" width="22.7109375" bestFit="1" customWidth="1"/>
    <col min="36" max="36" width="20.28515625" bestFit="1" customWidth="1"/>
    <col min="37" max="38" width="12.28515625" bestFit="1" customWidth="1"/>
    <col min="39" max="39" width="14.28515625" bestFit="1" customWidth="1"/>
    <col min="40" max="42" width="8" customWidth="1"/>
    <col min="43" max="43" width="25" bestFit="1" customWidth="1"/>
    <col min="44" max="44" width="26.140625" bestFit="1" customWidth="1"/>
    <col min="45" max="45" width="5.7109375" bestFit="1" customWidth="1"/>
    <col min="46" max="46" width="18.28515625" bestFit="1" customWidth="1"/>
    <col min="47" max="48" width="20.28515625" bestFit="1" customWidth="1"/>
    <col min="49" max="49" width="14.140625" bestFit="1" customWidth="1"/>
    <col min="50" max="50" width="10.7109375" bestFit="1" customWidth="1"/>
    <col min="51" max="51" width="20.140625" bestFit="1" customWidth="1"/>
    <col min="52" max="52" width="12.42578125" bestFit="1" customWidth="1"/>
    <col min="53" max="53" width="14.140625" bestFit="1" customWidth="1"/>
    <col min="54" max="54" width="22.42578125" bestFit="1" customWidth="1"/>
    <col min="55" max="55" width="11.42578125" bestFit="1" customWidth="1"/>
    <col min="56" max="56" width="18.7109375" bestFit="1" customWidth="1"/>
    <col min="57" max="57" width="5.7109375" bestFit="1" customWidth="1"/>
    <col min="58" max="58" width="20" bestFit="1" customWidth="1"/>
    <col min="59" max="59" width="22.42578125" bestFit="1" customWidth="1"/>
    <col min="60" max="60" width="9.42578125" bestFit="1" customWidth="1"/>
    <col min="61" max="61" width="12.85546875" bestFit="1" customWidth="1"/>
    <col min="62" max="62" width="11.85546875" bestFit="1" customWidth="1"/>
    <col min="63" max="63" width="26" bestFit="1" customWidth="1"/>
    <col min="64" max="64" width="20.42578125" bestFit="1" customWidth="1"/>
    <col min="65" max="65" width="23.140625" bestFit="1" customWidth="1"/>
    <col min="66" max="66" width="13.85546875" bestFit="1" customWidth="1"/>
    <col min="67" max="67" width="15" bestFit="1" customWidth="1"/>
    <col min="68" max="68" width="15.42578125" bestFit="1" customWidth="1"/>
    <col min="69" max="69" width="14.85546875" bestFit="1" customWidth="1"/>
    <col min="70" max="70" width="6.28515625" bestFit="1" customWidth="1"/>
    <col min="71" max="71" width="17.42578125" bestFit="1" customWidth="1"/>
  </cols>
  <sheetData>
    <row r="1" spans="1:82" ht="69" customHeight="1" x14ac:dyDescent="0.25"/>
    <row r="2" spans="1:82" ht="15.75" x14ac:dyDescent="0.25">
      <c r="B2" s="13" t="s">
        <v>32</v>
      </c>
      <c r="C2" s="13" t="s">
        <v>33</v>
      </c>
      <c r="D2" s="13" t="s">
        <v>34</v>
      </c>
      <c r="E2" s="13" t="s">
        <v>3</v>
      </c>
      <c r="F2" s="13" t="s">
        <v>35</v>
      </c>
      <c r="G2" s="13" t="s">
        <v>36</v>
      </c>
      <c r="H2" s="13" t="s">
        <v>37</v>
      </c>
      <c r="I2" s="13" t="s">
        <v>38</v>
      </c>
      <c r="J2" s="14" t="s">
        <v>39</v>
      </c>
      <c r="K2" s="13" t="s">
        <v>15</v>
      </c>
      <c r="L2" s="13" t="s">
        <v>40</v>
      </c>
      <c r="M2" s="13" t="s">
        <v>41</v>
      </c>
      <c r="N2" s="13" t="s">
        <v>42</v>
      </c>
      <c r="O2" s="13" t="s">
        <v>43</v>
      </c>
      <c r="P2" s="13" t="s">
        <v>44</v>
      </c>
      <c r="Q2" s="13" t="s">
        <v>21</v>
      </c>
      <c r="R2" s="13" t="s">
        <v>45</v>
      </c>
      <c r="S2" s="13" t="s">
        <v>46</v>
      </c>
      <c r="T2" s="14" t="s">
        <v>47</v>
      </c>
      <c r="U2" s="14" t="s">
        <v>48</v>
      </c>
      <c r="V2" s="14" t="s">
        <v>49</v>
      </c>
      <c r="W2" s="14" t="s">
        <v>50</v>
      </c>
      <c r="X2" s="14" t="s">
        <v>51</v>
      </c>
      <c r="Y2" s="14" t="s">
        <v>52</v>
      </c>
      <c r="Z2" s="14" t="s">
        <v>53</v>
      </c>
      <c r="AA2" s="14" t="s">
        <v>54</v>
      </c>
      <c r="AB2" s="14" t="s">
        <v>55</v>
      </c>
      <c r="AC2" s="14" t="s">
        <v>56</v>
      </c>
      <c r="AD2" s="14" t="s">
        <v>57</v>
      </c>
      <c r="AE2" s="13" t="s">
        <v>58</v>
      </c>
      <c r="AF2" s="14" t="s">
        <v>59</v>
      </c>
      <c r="AG2" s="24" t="s">
        <v>148</v>
      </c>
      <c r="AH2" s="14" t="s">
        <v>60</v>
      </c>
      <c r="AI2" s="14" t="s">
        <v>61</v>
      </c>
      <c r="AJ2" s="14" t="s">
        <v>62</v>
      </c>
      <c r="AK2" s="14" t="s">
        <v>63</v>
      </c>
      <c r="AL2" s="14" t="s">
        <v>64</v>
      </c>
      <c r="AM2" s="13" t="s">
        <v>65</v>
      </c>
      <c r="AN2" s="13" t="s">
        <v>66</v>
      </c>
      <c r="AO2" s="13" t="s">
        <v>67</v>
      </c>
      <c r="AP2" s="13" t="s">
        <v>68</v>
      </c>
      <c r="AQ2" s="13" t="s">
        <v>69</v>
      </c>
      <c r="AR2" s="13" t="s">
        <v>70</v>
      </c>
      <c r="AS2" s="13" t="s">
        <v>26</v>
      </c>
      <c r="AT2" s="13" t="s">
        <v>71</v>
      </c>
      <c r="AU2" s="13" t="s">
        <v>17</v>
      </c>
      <c r="AV2" s="13" t="s">
        <v>72</v>
      </c>
      <c r="AW2" s="13" t="s">
        <v>73</v>
      </c>
      <c r="AX2" s="13" t="s">
        <v>74</v>
      </c>
      <c r="AY2" s="13" t="s">
        <v>75</v>
      </c>
      <c r="AZ2" s="13" t="s">
        <v>16</v>
      </c>
      <c r="BA2" s="13" t="s">
        <v>76</v>
      </c>
      <c r="BB2" s="13" t="s">
        <v>77</v>
      </c>
      <c r="BC2" s="13" t="s">
        <v>78</v>
      </c>
      <c r="BD2" s="14" t="s">
        <v>79</v>
      </c>
      <c r="BE2" s="13" t="s">
        <v>4</v>
      </c>
      <c r="BF2" s="13" t="s">
        <v>80</v>
      </c>
      <c r="BG2" s="13" t="s">
        <v>81</v>
      </c>
      <c r="BH2" s="13" t="s">
        <v>82</v>
      </c>
      <c r="BI2" s="13" t="s">
        <v>83</v>
      </c>
      <c r="BJ2" s="13" t="s">
        <v>84</v>
      </c>
      <c r="BK2" s="13" t="s">
        <v>85</v>
      </c>
      <c r="BL2" s="13" t="s">
        <v>339</v>
      </c>
      <c r="BM2" s="13" t="s">
        <v>340</v>
      </c>
      <c r="BN2" s="13" t="s">
        <v>86</v>
      </c>
      <c r="BO2" s="13" t="s">
        <v>87</v>
      </c>
      <c r="BP2" s="13" t="s">
        <v>88</v>
      </c>
      <c r="BQ2" s="13" t="s">
        <v>89</v>
      </c>
      <c r="BR2" s="13" t="s">
        <v>90</v>
      </c>
      <c r="BS2" s="15" t="s">
        <v>105</v>
      </c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82" x14ac:dyDescent="0.25">
      <c r="A3" s="16"/>
      <c r="B3" s="4">
        <v>46190</v>
      </c>
      <c r="C3" s="16"/>
      <c r="D3" s="7" t="s">
        <v>371</v>
      </c>
      <c r="E3" s="7"/>
      <c r="F3" s="7" t="s">
        <v>372</v>
      </c>
      <c r="G3" s="7" t="s">
        <v>91</v>
      </c>
      <c r="H3" s="4">
        <v>46022</v>
      </c>
      <c r="I3" s="7" t="s">
        <v>92</v>
      </c>
      <c r="J3" s="17">
        <v>0</v>
      </c>
      <c r="K3" s="7" t="s">
        <v>22</v>
      </c>
      <c r="L3" s="7" t="s">
        <v>93</v>
      </c>
      <c r="M3" s="7" t="s">
        <v>94</v>
      </c>
      <c r="N3" s="7" t="s">
        <v>95</v>
      </c>
      <c r="O3" s="18" t="s">
        <v>96</v>
      </c>
      <c r="P3" s="7">
        <v>79701</v>
      </c>
      <c r="Q3" s="18" t="s">
        <v>97</v>
      </c>
      <c r="R3" s="7">
        <v>1</v>
      </c>
      <c r="S3" s="7">
        <v>1</v>
      </c>
      <c r="T3" s="18">
        <v>275000</v>
      </c>
      <c r="U3" s="18">
        <v>75000</v>
      </c>
      <c r="V3" s="18">
        <v>0</v>
      </c>
      <c r="W3" s="18">
        <v>350000</v>
      </c>
      <c r="X3" s="18">
        <v>0</v>
      </c>
      <c r="Y3" s="18">
        <v>75000</v>
      </c>
      <c r="Z3" s="18">
        <v>0</v>
      </c>
      <c r="AA3" s="18">
        <v>0</v>
      </c>
      <c r="AB3" s="18">
        <v>275000</v>
      </c>
      <c r="AC3" s="18">
        <v>275000</v>
      </c>
      <c r="AD3" s="18">
        <v>275000</v>
      </c>
      <c r="AE3" s="5">
        <f>IFERROR(X3/U3,"")</f>
        <v>0</v>
      </c>
      <c r="AF3" s="18">
        <v>350000</v>
      </c>
      <c r="AG3" s="4">
        <v>46022</v>
      </c>
      <c r="AH3" s="17">
        <v>75000</v>
      </c>
      <c r="AI3" s="19">
        <v>0</v>
      </c>
      <c r="AJ3" s="19">
        <f>AF3+AH3</f>
        <v>425000</v>
      </c>
      <c r="AK3" s="19">
        <v>350000</v>
      </c>
      <c r="AL3" s="17">
        <v>500000</v>
      </c>
      <c r="AM3" s="4">
        <v>46006</v>
      </c>
      <c r="AN3" s="20">
        <f>T3/AK3</f>
        <v>0.7857142857142857</v>
      </c>
      <c r="AO3" s="20">
        <f>W3/AJ3</f>
        <v>0.82352941176470584</v>
      </c>
      <c r="AP3" s="20">
        <f>W3/AL3</f>
        <v>0.7</v>
      </c>
      <c r="AQ3" s="7">
        <v>2867</v>
      </c>
      <c r="AR3" s="7">
        <v>2867</v>
      </c>
      <c r="AS3" s="7">
        <v>6</v>
      </c>
      <c r="AT3" s="4">
        <v>46054</v>
      </c>
      <c r="AU3" s="4">
        <v>46388</v>
      </c>
      <c r="AV3" s="4">
        <v>46388</v>
      </c>
      <c r="AW3" s="4">
        <v>46054</v>
      </c>
      <c r="AX3" s="21" t="s">
        <v>93</v>
      </c>
      <c r="AY3" s="7" t="s">
        <v>24</v>
      </c>
      <c r="AZ3" s="22">
        <v>0.10290000000000001</v>
      </c>
      <c r="BA3" s="16"/>
      <c r="BB3" s="16"/>
      <c r="BC3" s="22">
        <v>2.5000000000000001E-2</v>
      </c>
      <c r="BD3" s="17">
        <v>200000</v>
      </c>
      <c r="BE3" s="7">
        <v>764</v>
      </c>
      <c r="BF3" s="7" t="s">
        <v>93</v>
      </c>
      <c r="BG3" s="7">
        <v>2</v>
      </c>
      <c r="BH3" s="7" t="s">
        <v>98</v>
      </c>
      <c r="BI3" s="7" t="s">
        <v>93</v>
      </c>
      <c r="BJ3" s="7" t="s">
        <v>101</v>
      </c>
      <c r="BK3" s="7" t="s">
        <v>93</v>
      </c>
      <c r="BL3" s="7" t="s">
        <v>93</v>
      </c>
      <c r="BM3" s="7" t="s">
        <v>93</v>
      </c>
      <c r="BN3" s="7" t="s">
        <v>93</v>
      </c>
      <c r="BO3" s="7"/>
      <c r="BP3" s="7"/>
      <c r="BQ3" s="7" t="s">
        <v>11</v>
      </c>
      <c r="BR3" s="7"/>
      <c r="BS3" s="18"/>
      <c r="BT3" s="1"/>
      <c r="BU3" s="1"/>
      <c r="BV3" s="1"/>
    </row>
    <row r="4" spans="1:82" x14ac:dyDescent="0.25">
      <c r="A4" s="16"/>
      <c r="B4" s="4"/>
      <c r="C4" s="16"/>
      <c r="D4" s="7"/>
      <c r="E4" s="7"/>
      <c r="F4" s="7"/>
      <c r="G4" s="7"/>
      <c r="H4" s="4"/>
      <c r="I4" s="7"/>
      <c r="J4" s="17"/>
      <c r="K4" s="7"/>
      <c r="L4" s="7"/>
      <c r="M4" s="7"/>
      <c r="N4" s="7"/>
      <c r="O4" s="18"/>
      <c r="P4" s="7"/>
      <c r="Q4" s="18"/>
      <c r="R4" s="7"/>
      <c r="S4" s="7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5"/>
      <c r="AF4" s="18"/>
      <c r="AG4" s="4"/>
      <c r="AH4" s="17"/>
      <c r="AI4" s="19"/>
      <c r="AJ4" s="19"/>
      <c r="AK4" s="19"/>
      <c r="AL4" s="17"/>
      <c r="AM4" s="4"/>
      <c r="AN4" s="20"/>
      <c r="AO4" s="20"/>
      <c r="AP4" s="20"/>
      <c r="AQ4" s="7"/>
      <c r="AR4" s="7"/>
      <c r="AS4" s="7"/>
      <c r="AT4" s="4"/>
      <c r="AU4" s="4"/>
      <c r="AV4" s="4"/>
      <c r="AW4" s="4"/>
      <c r="AX4" s="21"/>
      <c r="AY4" s="7"/>
      <c r="AZ4" s="22"/>
      <c r="BA4" s="16"/>
      <c r="BB4" s="16"/>
      <c r="BC4" s="22"/>
      <c r="BD4" s="1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16"/>
      <c r="BS4" s="23"/>
    </row>
    <row r="5" spans="1:82" x14ac:dyDescent="0.25">
      <c r="A5" s="16"/>
      <c r="B5" s="4"/>
      <c r="C5" s="16"/>
      <c r="D5" s="7"/>
      <c r="E5" s="7"/>
      <c r="F5" s="7"/>
      <c r="G5" s="7"/>
      <c r="H5" s="4"/>
      <c r="I5" s="7"/>
      <c r="J5" s="17"/>
      <c r="K5" s="7"/>
      <c r="L5" s="7"/>
      <c r="M5" s="7"/>
      <c r="N5" s="7"/>
      <c r="O5" s="18"/>
      <c r="P5" s="7"/>
      <c r="Q5" s="18"/>
      <c r="R5" s="7"/>
      <c r="S5" s="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5"/>
      <c r="AF5" s="18"/>
      <c r="AG5" s="4"/>
      <c r="AH5" s="17"/>
      <c r="AI5" s="19"/>
      <c r="AJ5" s="19"/>
      <c r="AK5" s="19"/>
      <c r="AL5" s="17"/>
      <c r="AM5" s="4"/>
      <c r="AN5" s="20"/>
      <c r="AO5" s="20"/>
      <c r="AP5" s="20"/>
      <c r="AQ5" s="7"/>
      <c r="AR5" s="7"/>
      <c r="AS5" s="7"/>
      <c r="AT5" s="4"/>
      <c r="AU5" s="4"/>
      <c r="AV5" s="4"/>
      <c r="AW5" s="4"/>
      <c r="AX5" s="21"/>
      <c r="AY5" s="7"/>
      <c r="AZ5" s="22"/>
      <c r="BA5" s="16"/>
      <c r="BB5" s="16"/>
      <c r="BC5" s="22"/>
      <c r="BD5" s="1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16"/>
      <c r="BS5" s="16"/>
    </row>
    <row r="6" spans="1:82" x14ac:dyDescent="0.25">
      <c r="A6" s="16"/>
      <c r="B6" s="4"/>
      <c r="C6" s="16"/>
      <c r="D6" s="7"/>
      <c r="E6" s="7"/>
      <c r="F6" s="7"/>
      <c r="G6" s="7"/>
      <c r="H6" s="4"/>
      <c r="I6" s="7"/>
      <c r="J6" s="17"/>
      <c r="K6" s="7"/>
      <c r="L6" s="7"/>
      <c r="M6" s="7"/>
      <c r="N6" s="7"/>
      <c r="O6" s="18"/>
      <c r="P6" s="7"/>
      <c r="Q6" s="18"/>
      <c r="R6" s="7"/>
      <c r="S6" s="7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5"/>
      <c r="AF6" s="18"/>
      <c r="AG6" s="4"/>
      <c r="AH6" s="17"/>
      <c r="AI6" s="19"/>
      <c r="AJ6" s="19"/>
      <c r="AK6" s="19"/>
      <c r="AL6" s="17"/>
      <c r="AM6" s="4"/>
      <c r="AN6" s="20"/>
      <c r="AO6" s="20"/>
      <c r="AP6" s="20"/>
      <c r="AQ6" s="7"/>
      <c r="AR6" s="7"/>
      <c r="AS6" s="7"/>
      <c r="AT6" s="4"/>
      <c r="AU6" s="4"/>
      <c r="AV6" s="4"/>
      <c r="AW6" s="4"/>
      <c r="AX6" s="21"/>
      <c r="AY6" s="7"/>
      <c r="AZ6" s="22"/>
      <c r="BA6" s="16"/>
      <c r="BB6" s="16"/>
      <c r="BC6" s="22"/>
      <c r="BD6" s="1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16"/>
      <c r="BS6" s="16"/>
    </row>
    <row r="7" spans="1:82" x14ac:dyDescent="0.25">
      <c r="A7" s="16"/>
      <c r="B7" s="4"/>
      <c r="C7" s="16"/>
      <c r="D7" s="7"/>
      <c r="E7" s="7"/>
      <c r="F7" s="7"/>
      <c r="G7" s="7"/>
      <c r="H7" s="4"/>
      <c r="I7" s="7"/>
      <c r="J7" s="17"/>
      <c r="K7" s="7"/>
      <c r="L7" s="7"/>
      <c r="M7" s="7"/>
      <c r="N7" s="7"/>
      <c r="O7" s="18"/>
      <c r="P7" s="7"/>
      <c r="Q7" s="18"/>
      <c r="R7" s="7"/>
      <c r="S7" s="7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5"/>
      <c r="AF7" s="18"/>
      <c r="AG7" s="4"/>
      <c r="AH7" s="17"/>
      <c r="AI7" s="19"/>
      <c r="AJ7" s="19"/>
      <c r="AK7" s="19"/>
      <c r="AL7" s="17"/>
      <c r="AM7" s="4"/>
      <c r="AN7" s="20"/>
      <c r="AO7" s="20"/>
      <c r="AP7" s="20"/>
      <c r="AQ7" s="7"/>
      <c r="AR7" s="7"/>
      <c r="AS7" s="7"/>
      <c r="AT7" s="4"/>
      <c r="AU7" s="4"/>
      <c r="AV7" s="4"/>
      <c r="AW7" s="4"/>
      <c r="AX7" s="21"/>
      <c r="AY7" s="7"/>
      <c r="AZ7" s="22"/>
      <c r="BA7" s="16"/>
      <c r="BB7" s="16"/>
      <c r="BC7" s="22"/>
      <c r="BD7" s="1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16"/>
      <c r="BS7" s="16"/>
    </row>
    <row r="8" spans="1:82" x14ac:dyDescent="0.25">
      <c r="A8" s="16"/>
      <c r="B8" s="4"/>
      <c r="C8" s="16"/>
      <c r="D8" s="7"/>
      <c r="E8" s="7"/>
      <c r="F8" s="7"/>
      <c r="G8" s="7"/>
      <c r="H8" s="4"/>
      <c r="I8" s="7"/>
      <c r="J8" s="17"/>
      <c r="K8" s="7"/>
      <c r="L8" s="7"/>
      <c r="M8" s="7"/>
      <c r="N8" s="7"/>
      <c r="O8" s="18"/>
      <c r="P8" s="7"/>
      <c r="Q8" s="18"/>
      <c r="R8" s="7"/>
      <c r="S8" s="7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5"/>
      <c r="AF8" s="18"/>
      <c r="AG8" s="4"/>
      <c r="AH8" s="17"/>
      <c r="AI8" s="19"/>
      <c r="AJ8" s="19"/>
      <c r="AK8" s="19"/>
      <c r="AL8" s="17"/>
      <c r="AM8" s="4"/>
      <c r="AN8" s="20"/>
      <c r="AO8" s="20"/>
      <c r="AP8" s="20"/>
      <c r="AQ8" s="7"/>
      <c r="AR8" s="7"/>
      <c r="AS8" s="7"/>
      <c r="AT8" s="4"/>
      <c r="AU8" s="4"/>
      <c r="AV8" s="4"/>
      <c r="AW8" s="4"/>
      <c r="AX8" s="21"/>
      <c r="AY8" s="7"/>
      <c r="AZ8" s="22"/>
      <c r="BA8" s="16"/>
      <c r="BB8" s="16"/>
      <c r="BC8" s="22"/>
      <c r="BD8" s="1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16"/>
      <c r="BS8" s="16"/>
    </row>
    <row r="9" spans="1:82" x14ac:dyDescent="0.25">
      <c r="A9" s="16"/>
      <c r="B9" s="4"/>
      <c r="C9" s="16"/>
      <c r="D9" s="7"/>
      <c r="E9" s="7"/>
      <c r="F9" s="7"/>
      <c r="G9" s="7"/>
      <c r="H9" s="4"/>
      <c r="I9" s="7"/>
      <c r="J9" s="17"/>
      <c r="K9" s="7"/>
      <c r="L9" s="7"/>
      <c r="M9" s="7"/>
      <c r="N9" s="7"/>
      <c r="O9" s="18"/>
      <c r="P9" s="7"/>
      <c r="Q9" s="18"/>
      <c r="R9" s="7"/>
      <c r="S9" s="7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5"/>
      <c r="AF9" s="18"/>
      <c r="AG9" s="4"/>
      <c r="AH9" s="17"/>
      <c r="AI9" s="19"/>
      <c r="AJ9" s="19"/>
      <c r="AK9" s="19"/>
      <c r="AL9" s="17"/>
      <c r="AM9" s="4"/>
      <c r="AN9" s="20"/>
      <c r="AO9" s="20"/>
      <c r="AP9" s="20"/>
      <c r="AQ9" s="7"/>
      <c r="AR9" s="7"/>
      <c r="AS9" s="7"/>
      <c r="AT9" s="4"/>
      <c r="AU9" s="4"/>
      <c r="AV9" s="4"/>
      <c r="AW9" s="4"/>
      <c r="AX9" s="21"/>
      <c r="AY9" s="7"/>
      <c r="AZ9" s="22"/>
      <c r="BA9" s="16"/>
      <c r="BB9" s="16"/>
      <c r="BC9" s="22"/>
      <c r="BD9" s="1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16"/>
      <c r="BS9" s="16"/>
    </row>
    <row r="10" spans="1:82" x14ac:dyDescent="0.25">
      <c r="A10" s="16"/>
      <c r="B10" s="4"/>
      <c r="C10" s="16"/>
      <c r="D10" s="7"/>
      <c r="E10" s="7"/>
      <c r="F10" s="7"/>
      <c r="G10" s="7"/>
      <c r="H10" s="4"/>
      <c r="I10" s="7"/>
      <c r="J10" s="17"/>
      <c r="K10" s="7"/>
      <c r="L10" s="7"/>
      <c r="M10" s="7"/>
      <c r="N10" s="7"/>
      <c r="O10" s="18"/>
      <c r="P10" s="7"/>
      <c r="Q10" s="18"/>
      <c r="R10" s="7"/>
      <c r="S10" s="7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5"/>
      <c r="AF10" s="18"/>
      <c r="AG10" s="4"/>
      <c r="AH10" s="17"/>
      <c r="AI10" s="19"/>
      <c r="AJ10" s="19"/>
      <c r="AK10" s="19"/>
      <c r="AL10" s="17"/>
      <c r="AM10" s="4"/>
      <c r="AN10" s="20"/>
      <c r="AO10" s="20"/>
      <c r="AP10" s="20"/>
      <c r="AQ10" s="7"/>
      <c r="AR10" s="7"/>
      <c r="AS10" s="7"/>
      <c r="AT10" s="4"/>
      <c r="AU10" s="4"/>
      <c r="AV10" s="4"/>
      <c r="AW10" s="4"/>
      <c r="AX10" s="21"/>
      <c r="AY10" s="7"/>
      <c r="AZ10" s="22"/>
      <c r="BA10" s="16"/>
      <c r="BB10" s="16"/>
      <c r="BC10" s="22"/>
      <c r="BD10" s="1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16"/>
      <c r="BS10" s="16"/>
    </row>
    <row r="11" spans="1:82" x14ac:dyDescent="0.25">
      <c r="A11" s="16"/>
      <c r="B11" s="4"/>
      <c r="C11" s="16"/>
      <c r="D11" s="7"/>
      <c r="E11" s="7"/>
      <c r="F11" s="7"/>
      <c r="G11" s="7"/>
      <c r="H11" s="4"/>
      <c r="I11" s="7"/>
      <c r="J11" s="17"/>
      <c r="K11" s="7"/>
      <c r="L11" s="7"/>
      <c r="M11" s="7"/>
      <c r="N11" s="7"/>
      <c r="O11" s="18"/>
      <c r="P11" s="7"/>
      <c r="Q11" s="18"/>
      <c r="R11" s="7"/>
      <c r="S11" s="7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5"/>
      <c r="AF11" s="18"/>
      <c r="AG11" s="4"/>
      <c r="AH11" s="17"/>
      <c r="AI11" s="19"/>
      <c r="AJ11" s="19"/>
      <c r="AK11" s="19"/>
      <c r="AL11" s="17"/>
      <c r="AM11" s="4"/>
      <c r="AN11" s="20"/>
      <c r="AO11" s="20"/>
      <c r="AP11" s="20"/>
      <c r="AQ11" s="7"/>
      <c r="AR11" s="7"/>
      <c r="AS11" s="7"/>
      <c r="AT11" s="4"/>
      <c r="AU11" s="4"/>
      <c r="AV11" s="4"/>
      <c r="AW11" s="4"/>
      <c r="AX11" s="21"/>
      <c r="AY11" s="7"/>
      <c r="AZ11" s="22"/>
      <c r="BA11" s="16"/>
      <c r="BB11" s="16"/>
      <c r="BC11" s="22"/>
      <c r="BD11" s="1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16"/>
      <c r="BS11" s="16"/>
    </row>
    <row r="12" spans="1:82" x14ac:dyDescent="0.25">
      <c r="A12" s="16"/>
      <c r="B12" s="4"/>
      <c r="C12" s="16"/>
      <c r="D12" s="7"/>
      <c r="E12" s="7"/>
      <c r="F12" s="7"/>
      <c r="G12" s="7"/>
      <c r="H12" s="4"/>
      <c r="I12" s="7"/>
      <c r="J12" s="17"/>
      <c r="K12" s="7"/>
      <c r="L12" s="7"/>
      <c r="M12" s="7"/>
      <c r="N12" s="7"/>
      <c r="O12" s="18"/>
      <c r="P12" s="7"/>
      <c r="Q12" s="18"/>
      <c r="R12" s="7"/>
      <c r="S12" s="7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5"/>
      <c r="AF12" s="18"/>
      <c r="AG12" s="4"/>
      <c r="AH12" s="17"/>
      <c r="AI12" s="19"/>
      <c r="AJ12" s="19"/>
      <c r="AK12" s="19"/>
      <c r="AL12" s="17"/>
      <c r="AM12" s="4"/>
      <c r="AN12" s="20"/>
      <c r="AO12" s="20"/>
      <c r="AP12" s="20"/>
      <c r="AQ12" s="7"/>
      <c r="AR12" s="7"/>
      <c r="AS12" s="7"/>
      <c r="AT12" s="4"/>
      <c r="AU12" s="4"/>
      <c r="AV12" s="4"/>
      <c r="AW12" s="4"/>
      <c r="AX12" s="21"/>
      <c r="AY12" s="7"/>
      <c r="AZ12" s="22"/>
      <c r="BA12" s="16"/>
      <c r="BB12" s="16"/>
      <c r="BC12" s="22"/>
      <c r="BD12" s="1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16"/>
      <c r="BS12" s="16"/>
    </row>
    <row r="13" spans="1:82" x14ac:dyDescent="0.25">
      <c r="A13" s="16"/>
      <c r="B13" s="4"/>
      <c r="C13" s="16"/>
      <c r="D13" s="7"/>
      <c r="E13" s="7"/>
      <c r="F13" s="7"/>
      <c r="G13" s="7"/>
      <c r="H13" s="4"/>
      <c r="I13" s="7"/>
      <c r="J13" s="17"/>
      <c r="K13" s="7"/>
      <c r="L13" s="7"/>
      <c r="M13" s="7"/>
      <c r="N13" s="7"/>
      <c r="O13" s="18"/>
      <c r="P13" s="7"/>
      <c r="Q13" s="18"/>
      <c r="R13" s="7"/>
      <c r="S13" s="7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5"/>
      <c r="AF13" s="18"/>
      <c r="AG13" s="4"/>
      <c r="AH13" s="17"/>
      <c r="AI13" s="19"/>
      <c r="AJ13" s="19"/>
      <c r="AK13" s="19"/>
      <c r="AL13" s="17"/>
      <c r="AM13" s="4"/>
      <c r="AN13" s="20"/>
      <c r="AO13" s="20"/>
      <c r="AP13" s="20"/>
      <c r="AQ13" s="7"/>
      <c r="AR13" s="7"/>
      <c r="AS13" s="7"/>
      <c r="AT13" s="4"/>
      <c r="AU13" s="4"/>
      <c r="AV13" s="4"/>
      <c r="AW13" s="4"/>
      <c r="AX13" s="21"/>
      <c r="AY13" s="7"/>
      <c r="AZ13" s="22"/>
      <c r="BA13" s="16"/>
      <c r="BB13" s="16"/>
      <c r="BC13" s="22"/>
      <c r="BD13" s="1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16"/>
      <c r="BS13" s="16"/>
    </row>
    <row r="14" spans="1:82" x14ac:dyDescent="0.25">
      <c r="A14" s="16"/>
      <c r="B14" s="4"/>
      <c r="C14" s="16"/>
      <c r="D14" s="7"/>
      <c r="E14" s="7"/>
      <c r="F14" s="7"/>
      <c r="G14" s="7"/>
      <c r="H14" s="4"/>
      <c r="I14" s="7"/>
      <c r="J14" s="17"/>
      <c r="K14" s="7"/>
      <c r="L14" s="7"/>
      <c r="M14" s="7"/>
      <c r="N14" s="7"/>
      <c r="O14" s="18"/>
      <c r="P14" s="7"/>
      <c r="Q14" s="18"/>
      <c r="R14" s="7"/>
      <c r="S14" s="7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5"/>
      <c r="AF14" s="18"/>
      <c r="AG14" s="4"/>
      <c r="AH14" s="17"/>
      <c r="AI14" s="19"/>
      <c r="AJ14" s="19"/>
      <c r="AK14" s="19"/>
      <c r="AL14" s="17"/>
      <c r="AM14" s="4"/>
      <c r="AN14" s="20"/>
      <c r="AO14" s="20"/>
      <c r="AP14" s="20"/>
      <c r="AQ14" s="7"/>
      <c r="AR14" s="7"/>
      <c r="AS14" s="7"/>
      <c r="AT14" s="4"/>
      <c r="AU14" s="4"/>
      <c r="AV14" s="4"/>
      <c r="AW14" s="4"/>
      <c r="AX14" s="21"/>
      <c r="AY14" s="7"/>
      <c r="AZ14" s="22"/>
      <c r="BA14" s="16"/>
      <c r="BB14" s="16"/>
      <c r="BC14" s="22"/>
      <c r="BD14" s="1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16"/>
      <c r="BS14" s="16"/>
    </row>
    <row r="15" spans="1:82" x14ac:dyDescent="0.25">
      <c r="A15" s="16"/>
      <c r="B15" s="4"/>
      <c r="C15" s="16"/>
      <c r="D15" s="7"/>
      <c r="E15" s="7"/>
      <c r="F15" s="7"/>
      <c r="G15" s="7"/>
      <c r="H15" s="4"/>
      <c r="I15" s="7"/>
      <c r="J15" s="17"/>
      <c r="K15" s="7"/>
      <c r="L15" s="7"/>
      <c r="M15" s="7"/>
      <c r="N15" s="7"/>
      <c r="O15" s="18"/>
      <c r="P15" s="7"/>
      <c r="Q15" s="18"/>
      <c r="R15" s="7"/>
      <c r="S15" s="7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5"/>
      <c r="AF15" s="18"/>
      <c r="AG15" s="4"/>
      <c r="AH15" s="17"/>
      <c r="AI15" s="19"/>
      <c r="AJ15" s="19"/>
      <c r="AK15" s="19"/>
      <c r="AL15" s="17"/>
      <c r="AM15" s="4"/>
      <c r="AN15" s="20"/>
      <c r="AO15" s="20"/>
      <c r="AP15" s="20"/>
      <c r="AQ15" s="7"/>
      <c r="AR15" s="7"/>
      <c r="AS15" s="7"/>
      <c r="AT15" s="4"/>
      <c r="AU15" s="4"/>
      <c r="AV15" s="4"/>
      <c r="AW15" s="4"/>
      <c r="AX15" s="21"/>
      <c r="AY15" s="7"/>
      <c r="AZ15" s="22"/>
      <c r="BA15" s="16"/>
      <c r="BB15" s="16"/>
      <c r="BC15" s="22"/>
      <c r="BD15" s="1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16"/>
      <c r="BS15" s="16"/>
    </row>
    <row r="16" spans="1:82" x14ac:dyDescent="0.25">
      <c r="A16" s="16"/>
      <c r="B16" s="4"/>
      <c r="C16" s="16"/>
      <c r="D16" s="7"/>
      <c r="E16" s="7"/>
      <c r="F16" s="7"/>
      <c r="G16" s="7"/>
      <c r="H16" s="4"/>
      <c r="I16" s="7"/>
      <c r="J16" s="17"/>
      <c r="K16" s="7"/>
      <c r="L16" s="7"/>
      <c r="M16" s="7"/>
      <c r="N16" s="7"/>
      <c r="O16" s="18"/>
      <c r="P16" s="7"/>
      <c r="Q16" s="18"/>
      <c r="R16" s="7"/>
      <c r="S16" s="7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5"/>
      <c r="AF16" s="18"/>
      <c r="AG16" s="4"/>
      <c r="AH16" s="17"/>
      <c r="AI16" s="19"/>
      <c r="AJ16" s="19"/>
      <c r="AK16" s="19"/>
      <c r="AL16" s="17"/>
      <c r="AM16" s="4"/>
      <c r="AN16" s="20"/>
      <c r="AO16" s="20"/>
      <c r="AP16" s="20"/>
      <c r="AQ16" s="7"/>
      <c r="AR16" s="7"/>
      <c r="AS16" s="7"/>
      <c r="AT16" s="4"/>
      <c r="AU16" s="4"/>
      <c r="AV16" s="4"/>
      <c r="AW16" s="4"/>
      <c r="AX16" s="21"/>
      <c r="AY16" s="7"/>
      <c r="AZ16" s="22"/>
      <c r="BA16" s="16"/>
      <c r="BB16" s="16"/>
      <c r="BC16" s="22"/>
      <c r="BD16" s="1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16"/>
      <c r="BS16" s="16"/>
    </row>
    <row r="17" spans="1:71" x14ac:dyDescent="0.25">
      <c r="A17" s="16"/>
      <c r="B17" s="4"/>
      <c r="C17" s="16"/>
      <c r="D17" s="7"/>
      <c r="E17" s="7"/>
      <c r="F17" s="7"/>
      <c r="G17" s="7"/>
      <c r="H17" s="4"/>
      <c r="I17" s="7"/>
      <c r="J17" s="17"/>
      <c r="K17" s="7"/>
      <c r="L17" s="7"/>
      <c r="M17" s="7"/>
      <c r="N17" s="7"/>
      <c r="O17" s="18"/>
      <c r="P17" s="7"/>
      <c r="Q17" s="18"/>
      <c r="R17" s="7"/>
      <c r="S17" s="7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5"/>
      <c r="AF17" s="18"/>
      <c r="AG17" s="4"/>
      <c r="AH17" s="17"/>
      <c r="AI17" s="19"/>
      <c r="AJ17" s="19"/>
      <c r="AK17" s="19"/>
      <c r="AL17" s="17"/>
      <c r="AM17" s="4"/>
      <c r="AN17" s="20"/>
      <c r="AO17" s="20"/>
      <c r="AP17" s="20"/>
      <c r="AQ17" s="7"/>
      <c r="AR17" s="7"/>
      <c r="AS17" s="7"/>
      <c r="AT17" s="4"/>
      <c r="AU17" s="4"/>
      <c r="AV17" s="4"/>
      <c r="AW17" s="4"/>
      <c r="AX17" s="21"/>
      <c r="AY17" s="7"/>
      <c r="AZ17" s="22"/>
      <c r="BA17" s="16"/>
      <c r="BB17" s="16"/>
      <c r="BC17" s="22"/>
      <c r="BD17" s="1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16"/>
      <c r="BS17" s="16"/>
    </row>
    <row r="18" spans="1:71" x14ac:dyDescent="0.25">
      <c r="A18" s="16"/>
      <c r="B18" s="4"/>
      <c r="C18" s="16"/>
      <c r="D18" s="7"/>
      <c r="E18" s="7"/>
      <c r="F18" s="7"/>
      <c r="G18" s="7"/>
      <c r="H18" s="4"/>
      <c r="I18" s="7"/>
      <c r="J18" s="17"/>
      <c r="K18" s="7"/>
      <c r="L18" s="7"/>
      <c r="M18" s="7"/>
      <c r="N18" s="7"/>
      <c r="O18" s="18"/>
      <c r="P18" s="7"/>
      <c r="Q18" s="18"/>
      <c r="R18" s="7"/>
      <c r="S18" s="7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5"/>
      <c r="AF18" s="18"/>
      <c r="AG18" s="4"/>
      <c r="AH18" s="17"/>
      <c r="AI18" s="19"/>
      <c r="AJ18" s="19"/>
      <c r="AK18" s="19"/>
      <c r="AL18" s="17"/>
      <c r="AM18" s="4"/>
      <c r="AN18" s="20"/>
      <c r="AO18" s="20"/>
      <c r="AP18" s="20"/>
      <c r="AQ18" s="7"/>
      <c r="AR18" s="7"/>
      <c r="AS18" s="7"/>
      <c r="AT18" s="4"/>
      <c r="AU18" s="4"/>
      <c r="AV18" s="4"/>
      <c r="AW18" s="4"/>
      <c r="AX18" s="21"/>
      <c r="AY18" s="7"/>
      <c r="AZ18" s="22"/>
      <c r="BA18" s="16"/>
      <c r="BB18" s="16"/>
      <c r="BC18" s="22"/>
      <c r="BD18" s="1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16"/>
      <c r="BS18" s="16"/>
    </row>
    <row r="19" spans="1:71" x14ac:dyDescent="0.25">
      <c r="A19" s="16"/>
      <c r="B19" s="4"/>
      <c r="C19" s="16"/>
      <c r="D19" s="7"/>
      <c r="E19" s="7"/>
      <c r="F19" s="7"/>
      <c r="G19" s="7"/>
      <c r="H19" s="4"/>
      <c r="I19" s="7"/>
      <c r="J19" s="17"/>
      <c r="K19" s="7"/>
      <c r="L19" s="7"/>
      <c r="M19" s="7"/>
      <c r="N19" s="7"/>
      <c r="O19" s="18"/>
      <c r="P19" s="7"/>
      <c r="Q19" s="18"/>
      <c r="R19" s="7"/>
      <c r="S19" s="7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5"/>
      <c r="AF19" s="18"/>
      <c r="AG19" s="4"/>
      <c r="AH19" s="17"/>
      <c r="AI19" s="19"/>
      <c r="AJ19" s="19"/>
      <c r="AK19" s="19"/>
      <c r="AL19" s="17"/>
      <c r="AM19" s="4"/>
      <c r="AN19" s="20"/>
      <c r="AO19" s="20"/>
      <c r="AP19" s="20"/>
      <c r="AQ19" s="7"/>
      <c r="AR19" s="7"/>
      <c r="AS19" s="7"/>
      <c r="AT19" s="4"/>
      <c r="AU19" s="4"/>
      <c r="AV19" s="4"/>
      <c r="AW19" s="4"/>
      <c r="AX19" s="21"/>
      <c r="AY19" s="7"/>
      <c r="AZ19" s="22"/>
      <c r="BA19" s="16"/>
      <c r="BB19" s="16"/>
      <c r="BC19" s="22"/>
      <c r="BD19" s="1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16"/>
      <c r="BS19" s="16"/>
    </row>
    <row r="20" spans="1:71" x14ac:dyDescent="0.25">
      <c r="A20" s="16"/>
      <c r="B20" s="4"/>
      <c r="C20" s="16"/>
      <c r="D20" s="7"/>
      <c r="E20" s="7"/>
      <c r="F20" s="7"/>
      <c r="G20" s="7"/>
      <c r="H20" s="4"/>
      <c r="I20" s="7"/>
      <c r="J20" s="17"/>
      <c r="K20" s="7"/>
      <c r="L20" s="7"/>
      <c r="M20" s="7"/>
      <c r="N20" s="7"/>
      <c r="O20" s="18"/>
      <c r="P20" s="7"/>
      <c r="Q20" s="18"/>
      <c r="R20" s="7"/>
      <c r="S20" s="7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5"/>
      <c r="AF20" s="18"/>
      <c r="AG20" s="4"/>
      <c r="AH20" s="17"/>
      <c r="AI20" s="19"/>
      <c r="AJ20" s="19"/>
      <c r="AK20" s="19"/>
      <c r="AL20" s="17"/>
      <c r="AM20" s="4"/>
      <c r="AN20" s="20"/>
      <c r="AO20" s="20"/>
      <c r="AP20" s="20"/>
      <c r="AQ20" s="7"/>
      <c r="AR20" s="7"/>
      <c r="AS20" s="7"/>
      <c r="AT20" s="4"/>
      <c r="AU20" s="4"/>
      <c r="AV20" s="4"/>
      <c r="AW20" s="4"/>
      <c r="AX20" s="21"/>
      <c r="AY20" s="7"/>
      <c r="AZ20" s="22"/>
      <c r="BA20" s="16"/>
      <c r="BB20" s="16"/>
      <c r="BC20" s="22"/>
      <c r="BD20" s="1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16"/>
      <c r="BS20" s="16"/>
    </row>
    <row r="21" spans="1:71" x14ac:dyDescent="0.25">
      <c r="A21" s="16"/>
      <c r="B21" s="4"/>
      <c r="C21" s="16"/>
      <c r="D21" s="7"/>
      <c r="E21" s="7"/>
      <c r="F21" s="7"/>
      <c r="G21" s="7"/>
      <c r="H21" s="4"/>
      <c r="I21" s="7"/>
      <c r="J21" s="17"/>
      <c r="K21" s="7"/>
      <c r="L21" s="7"/>
      <c r="M21" s="7"/>
      <c r="N21" s="7"/>
      <c r="O21" s="18"/>
      <c r="P21" s="7"/>
      <c r="Q21" s="18"/>
      <c r="R21" s="7"/>
      <c r="S21" s="7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5"/>
      <c r="AF21" s="18"/>
      <c r="AG21" s="4"/>
      <c r="AH21" s="17"/>
      <c r="AI21" s="19"/>
      <c r="AJ21" s="19"/>
      <c r="AK21" s="19"/>
      <c r="AL21" s="17"/>
      <c r="AM21" s="4"/>
      <c r="AN21" s="20"/>
      <c r="AO21" s="20"/>
      <c r="AP21" s="20"/>
      <c r="AQ21" s="7"/>
      <c r="AR21" s="7"/>
      <c r="AS21" s="7"/>
      <c r="AT21" s="4"/>
      <c r="AU21" s="4"/>
      <c r="AV21" s="4"/>
      <c r="AW21" s="4"/>
      <c r="AX21" s="21"/>
      <c r="AY21" s="7"/>
      <c r="AZ21" s="22"/>
      <c r="BA21" s="16"/>
      <c r="BB21" s="16"/>
      <c r="BC21" s="22"/>
      <c r="BD21" s="1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16"/>
      <c r="BS21" s="16"/>
    </row>
    <row r="22" spans="1:71" x14ac:dyDescent="0.25">
      <c r="A22" s="16"/>
      <c r="B22" s="4"/>
      <c r="C22" s="16"/>
      <c r="D22" s="7"/>
      <c r="E22" s="7"/>
      <c r="F22" s="7"/>
      <c r="G22" s="7"/>
      <c r="H22" s="4"/>
      <c r="I22" s="7"/>
      <c r="J22" s="17"/>
      <c r="K22" s="7"/>
      <c r="L22" s="7"/>
      <c r="M22" s="7"/>
      <c r="N22" s="7"/>
      <c r="O22" s="18"/>
      <c r="P22" s="7"/>
      <c r="Q22" s="18"/>
      <c r="R22" s="7"/>
      <c r="S22" s="7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5"/>
      <c r="AF22" s="18"/>
      <c r="AG22" s="4"/>
      <c r="AH22" s="17"/>
      <c r="AI22" s="19"/>
      <c r="AJ22" s="19"/>
      <c r="AK22" s="19"/>
      <c r="AL22" s="17"/>
      <c r="AM22" s="4"/>
      <c r="AN22" s="20"/>
      <c r="AO22" s="20"/>
      <c r="AP22" s="20"/>
      <c r="AQ22" s="7"/>
      <c r="AR22" s="7"/>
      <c r="AS22" s="7"/>
      <c r="AT22" s="4"/>
      <c r="AU22" s="4"/>
      <c r="AV22" s="4"/>
      <c r="AW22" s="4"/>
      <c r="AX22" s="21"/>
      <c r="AY22" s="7"/>
      <c r="AZ22" s="22"/>
      <c r="BA22" s="16"/>
      <c r="BB22" s="16"/>
      <c r="BC22" s="22"/>
      <c r="BD22" s="1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16"/>
      <c r="BS22" s="16"/>
    </row>
    <row r="23" spans="1:71" x14ac:dyDescent="0.25">
      <c r="A23" s="16"/>
      <c r="B23" s="4"/>
      <c r="C23" s="16"/>
      <c r="D23" s="7"/>
      <c r="E23" s="7"/>
      <c r="F23" s="7"/>
      <c r="G23" s="7"/>
      <c r="H23" s="4"/>
      <c r="I23" s="7"/>
      <c r="J23" s="17"/>
      <c r="K23" s="7"/>
      <c r="L23" s="7"/>
      <c r="M23" s="7"/>
      <c r="N23" s="7"/>
      <c r="O23" s="18"/>
      <c r="P23" s="7"/>
      <c r="Q23" s="18"/>
      <c r="R23" s="7"/>
      <c r="S23" s="7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5"/>
      <c r="AF23" s="18"/>
      <c r="AG23" s="4"/>
      <c r="AH23" s="17"/>
      <c r="AI23" s="19"/>
      <c r="AJ23" s="19"/>
      <c r="AK23" s="19"/>
      <c r="AL23" s="17"/>
      <c r="AM23" s="4"/>
      <c r="AN23" s="20"/>
      <c r="AO23" s="20"/>
      <c r="AP23" s="20"/>
      <c r="AQ23" s="7"/>
      <c r="AR23" s="7"/>
      <c r="AS23" s="7"/>
      <c r="AT23" s="4"/>
      <c r="AU23" s="4"/>
      <c r="AV23" s="4"/>
      <c r="AW23" s="4"/>
      <c r="AX23" s="21"/>
      <c r="AY23" s="7"/>
      <c r="AZ23" s="22"/>
      <c r="BA23" s="16"/>
      <c r="BB23" s="16"/>
      <c r="BC23" s="22"/>
      <c r="BD23" s="1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16"/>
      <c r="BS23" s="16"/>
    </row>
    <row r="24" spans="1:71" x14ac:dyDescent="0.25">
      <c r="A24" s="16"/>
      <c r="B24" s="4"/>
      <c r="C24" s="16"/>
      <c r="D24" s="7"/>
      <c r="E24" s="7"/>
      <c r="F24" s="7"/>
      <c r="G24" s="7"/>
      <c r="H24" s="4"/>
      <c r="I24" s="7"/>
      <c r="J24" s="17"/>
      <c r="K24" s="7"/>
      <c r="L24" s="7"/>
      <c r="M24" s="7"/>
      <c r="N24" s="7"/>
      <c r="O24" s="18"/>
      <c r="P24" s="7"/>
      <c r="Q24" s="18"/>
      <c r="R24" s="7"/>
      <c r="S24" s="7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5"/>
      <c r="AF24" s="18"/>
      <c r="AG24" s="4"/>
      <c r="AH24" s="17"/>
      <c r="AI24" s="19"/>
      <c r="AJ24" s="19"/>
      <c r="AK24" s="19"/>
      <c r="AL24" s="17"/>
      <c r="AM24" s="4"/>
      <c r="AN24" s="20"/>
      <c r="AO24" s="20"/>
      <c r="AP24" s="20"/>
      <c r="AQ24" s="7"/>
      <c r="AR24" s="7"/>
      <c r="AS24" s="7"/>
      <c r="AT24" s="4"/>
      <c r="AU24" s="4"/>
      <c r="AV24" s="4"/>
      <c r="AW24" s="4"/>
      <c r="AX24" s="21"/>
      <c r="AY24" s="7"/>
      <c r="AZ24" s="22"/>
      <c r="BA24" s="16"/>
      <c r="BB24" s="16"/>
      <c r="BC24" s="22"/>
      <c r="BD24" s="1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16"/>
      <c r="BS24" s="16"/>
    </row>
    <row r="25" spans="1:71" x14ac:dyDescent="0.25">
      <c r="A25" s="16"/>
      <c r="B25" s="4"/>
      <c r="C25" s="16"/>
      <c r="D25" s="7"/>
      <c r="E25" s="7"/>
      <c r="F25" s="7"/>
      <c r="G25" s="7"/>
      <c r="H25" s="4"/>
      <c r="I25" s="7"/>
      <c r="J25" s="17"/>
      <c r="K25" s="7"/>
      <c r="L25" s="7"/>
      <c r="M25" s="7"/>
      <c r="N25" s="7"/>
      <c r="O25" s="18"/>
      <c r="P25" s="7"/>
      <c r="Q25" s="18"/>
      <c r="R25" s="7"/>
      <c r="S25" s="7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5"/>
      <c r="AF25" s="18"/>
      <c r="AG25" s="4"/>
      <c r="AH25" s="17"/>
      <c r="AI25" s="19"/>
      <c r="AJ25" s="19"/>
      <c r="AK25" s="19"/>
      <c r="AL25" s="17"/>
      <c r="AM25" s="4"/>
      <c r="AN25" s="20"/>
      <c r="AO25" s="20"/>
      <c r="AP25" s="20"/>
      <c r="AQ25" s="7"/>
      <c r="AR25" s="7"/>
      <c r="AS25" s="7"/>
      <c r="AT25" s="4"/>
      <c r="AU25" s="4"/>
      <c r="AV25" s="4"/>
      <c r="AW25" s="4"/>
      <c r="AX25" s="21"/>
      <c r="AY25" s="7"/>
      <c r="AZ25" s="22"/>
      <c r="BA25" s="16"/>
      <c r="BB25" s="16"/>
      <c r="BC25" s="22"/>
      <c r="BD25" s="1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16"/>
      <c r="BS25" s="16"/>
    </row>
    <row r="26" spans="1:71" x14ac:dyDescent="0.25">
      <c r="A26" s="16"/>
      <c r="B26" s="4"/>
      <c r="C26" s="16"/>
      <c r="D26" s="7"/>
      <c r="E26" s="7"/>
      <c r="F26" s="7"/>
      <c r="G26" s="7"/>
      <c r="H26" s="4"/>
      <c r="I26" s="7"/>
      <c r="J26" s="17"/>
      <c r="K26" s="7"/>
      <c r="L26" s="7"/>
      <c r="M26" s="7"/>
      <c r="N26" s="7"/>
      <c r="O26" s="18"/>
      <c r="P26" s="7"/>
      <c r="Q26" s="18"/>
      <c r="R26" s="7"/>
      <c r="S26" s="7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5"/>
      <c r="AF26" s="18"/>
      <c r="AG26" s="4"/>
      <c r="AH26" s="17"/>
      <c r="AI26" s="19"/>
      <c r="AJ26" s="19"/>
      <c r="AK26" s="19"/>
      <c r="AL26" s="17"/>
      <c r="AM26" s="4"/>
      <c r="AN26" s="20"/>
      <c r="AO26" s="20"/>
      <c r="AP26" s="20"/>
      <c r="AQ26" s="7"/>
      <c r="AR26" s="7"/>
      <c r="AS26" s="7"/>
      <c r="AT26" s="4"/>
      <c r="AU26" s="4"/>
      <c r="AV26" s="4"/>
      <c r="AW26" s="4"/>
      <c r="AX26" s="21"/>
      <c r="AY26" s="7"/>
      <c r="AZ26" s="22"/>
      <c r="BA26" s="16"/>
      <c r="BB26" s="16"/>
      <c r="BC26" s="22"/>
      <c r="BD26" s="1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16"/>
      <c r="BS26" s="16"/>
    </row>
    <row r="27" spans="1:71" x14ac:dyDescent="0.25">
      <c r="A27" s="16"/>
      <c r="B27" s="4"/>
      <c r="C27" s="16"/>
      <c r="D27" s="7"/>
      <c r="E27" s="7"/>
      <c r="F27" s="7"/>
      <c r="G27" s="7"/>
      <c r="H27" s="4"/>
      <c r="I27" s="7"/>
      <c r="J27" s="17"/>
      <c r="K27" s="7"/>
      <c r="L27" s="7"/>
      <c r="M27" s="7"/>
      <c r="N27" s="7"/>
      <c r="O27" s="18"/>
      <c r="P27" s="7"/>
      <c r="Q27" s="18"/>
      <c r="R27" s="7"/>
      <c r="S27" s="7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5"/>
      <c r="AF27" s="18"/>
      <c r="AG27" s="4"/>
      <c r="AH27" s="17"/>
      <c r="AI27" s="19"/>
      <c r="AJ27" s="19"/>
      <c r="AK27" s="19"/>
      <c r="AL27" s="17"/>
      <c r="AM27" s="4"/>
      <c r="AN27" s="20"/>
      <c r="AO27" s="20"/>
      <c r="AP27" s="20"/>
      <c r="AQ27" s="7"/>
      <c r="AR27" s="7"/>
      <c r="AS27" s="7"/>
      <c r="AT27" s="4"/>
      <c r="AU27" s="4"/>
      <c r="AV27" s="4"/>
      <c r="AW27" s="4"/>
      <c r="AX27" s="21"/>
      <c r="AY27" s="7"/>
      <c r="AZ27" s="22"/>
      <c r="BA27" s="16"/>
      <c r="BB27" s="16"/>
      <c r="BC27" s="22"/>
      <c r="BD27" s="1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16"/>
      <c r="BS27" s="16"/>
    </row>
    <row r="28" spans="1:71" x14ac:dyDescent="0.25">
      <c r="A28" s="16"/>
      <c r="B28" s="4"/>
      <c r="C28" s="16"/>
      <c r="D28" s="7"/>
      <c r="E28" s="7"/>
      <c r="F28" s="7"/>
      <c r="G28" s="7"/>
      <c r="H28" s="4"/>
      <c r="I28" s="7"/>
      <c r="J28" s="17"/>
      <c r="K28" s="7"/>
      <c r="L28" s="7"/>
      <c r="M28" s="7"/>
      <c r="N28" s="7"/>
      <c r="O28" s="18"/>
      <c r="P28" s="7"/>
      <c r="Q28" s="18"/>
      <c r="R28" s="7"/>
      <c r="S28" s="7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5"/>
      <c r="AF28" s="18"/>
      <c r="AG28" s="4"/>
      <c r="AH28" s="17"/>
      <c r="AI28" s="19"/>
      <c r="AJ28" s="19"/>
      <c r="AK28" s="19"/>
      <c r="AL28" s="17"/>
      <c r="AM28" s="4"/>
      <c r="AN28" s="20"/>
      <c r="AO28" s="20"/>
      <c r="AP28" s="20"/>
      <c r="AQ28" s="7"/>
      <c r="AR28" s="7"/>
      <c r="AS28" s="7"/>
      <c r="AT28" s="4"/>
      <c r="AU28" s="4"/>
      <c r="AV28" s="4"/>
      <c r="AW28" s="4"/>
      <c r="AX28" s="21"/>
      <c r="AY28" s="7"/>
      <c r="AZ28" s="22"/>
      <c r="BA28" s="16"/>
      <c r="BB28" s="16"/>
      <c r="BC28" s="22"/>
      <c r="BD28" s="1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16"/>
      <c r="BS28" s="16"/>
    </row>
    <row r="29" spans="1:71" x14ac:dyDescent="0.25">
      <c r="A29" s="16"/>
      <c r="B29" s="4"/>
      <c r="C29" s="16"/>
      <c r="D29" s="7"/>
      <c r="E29" s="7"/>
      <c r="F29" s="7"/>
      <c r="G29" s="7"/>
      <c r="H29" s="4"/>
      <c r="I29" s="7"/>
      <c r="J29" s="17"/>
      <c r="K29" s="7"/>
      <c r="L29" s="7"/>
      <c r="M29" s="7"/>
      <c r="N29" s="7"/>
      <c r="O29" s="18"/>
      <c r="P29" s="7"/>
      <c r="Q29" s="18"/>
      <c r="R29" s="7"/>
      <c r="S29" s="7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5"/>
      <c r="AF29" s="18"/>
      <c r="AG29" s="4"/>
      <c r="AH29" s="17"/>
      <c r="AI29" s="19"/>
      <c r="AJ29" s="19"/>
      <c r="AK29" s="19"/>
      <c r="AL29" s="17"/>
      <c r="AM29" s="4"/>
      <c r="AN29" s="20"/>
      <c r="AO29" s="20"/>
      <c r="AP29" s="20"/>
      <c r="AQ29" s="7"/>
      <c r="AR29" s="7"/>
      <c r="AS29" s="7"/>
      <c r="AT29" s="4"/>
      <c r="AU29" s="4"/>
      <c r="AV29" s="4"/>
      <c r="AW29" s="4"/>
      <c r="AX29" s="21"/>
      <c r="AY29" s="7"/>
      <c r="AZ29" s="22"/>
      <c r="BA29" s="16"/>
      <c r="BB29" s="16"/>
      <c r="BC29" s="22"/>
      <c r="BD29" s="1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16"/>
      <c r="BS29" s="16"/>
    </row>
    <row r="30" spans="1:71" x14ac:dyDescent="0.25">
      <c r="A30" s="16"/>
      <c r="B30" s="4"/>
      <c r="C30" s="16"/>
      <c r="D30" s="7"/>
      <c r="E30" s="7"/>
      <c r="F30" s="7"/>
      <c r="G30" s="7"/>
      <c r="H30" s="4"/>
      <c r="I30" s="7"/>
      <c r="J30" s="17"/>
      <c r="K30" s="7"/>
      <c r="L30" s="7"/>
      <c r="M30" s="7"/>
      <c r="N30" s="7"/>
      <c r="O30" s="18"/>
      <c r="P30" s="7"/>
      <c r="Q30" s="18"/>
      <c r="R30" s="7"/>
      <c r="S30" s="7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5"/>
      <c r="AF30" s="18"/>
      <c r="AG30" s="4"/>
      <c r="AH30" s="17"/>
      <c r="AI30" s="19"/>
      <c r="AJ30" s="19"/>
      <c r="AK30" s="19"/>
      <c r="AL30" s="17"/>
      <c r="AM30" s="4"/>
      <c r="AN30" s="20"/>
      <c r="AO30" s="20"/>
      <c r="AP30" s="20"/>
      <c r="AQ30" s="7"/>
      <c r="AR30" s="7"/>
      <c r="AS30" s="7"/>
      <c r="AT30" s="4"/>
      <c r="AU30" s="4"/>
      <c r="AV30" s="4"/>
      <c r="AW30" s="4"/>
      <c r="AX30" s="21"/>
      <c r="AY30" s="7"/>
      <c r="AZ30" s="22"/>
      <c r="BA30" s="16"/>
      <c r="BB30" s="16"/>
      <c r="BC30" s="22"/>
      <c r="BD30" s="1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16"/>
      <c r="BS30" s="16"/>
    </row>
    <row r="31" spans="1:71" x14ac:dyDescent="0.25">
      <c r="A31" s="16"/>
      <c r="B31" s="4"/>
      <c r="C31" s="16"/>
      <c r="D31" s="7"/>
      <c r="E31" s="7"/>
      <c r="F31" s="7"/>
      <c r="G31" s="7"/>
      <c r="H31" s="4"/>
      <c r="I31" s="7"/>
      <c r="J31" s="17"/>
      <c r="K31" s="7"/>
      <c r="L31" s="7"/>
      <c r="M31" s="7"/>
      <c r="N31" s="7"/>
      <c r="O31" s="18"/>
      <c r="P31" s="7"/>
      <c r="Q31" s="18"/>
      <c r="R31" s="7"/>
      <c r="S31" s="7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5"/>
      <c r="AF31" s="18"/>
      <c r="AG31" s="4"/>
      <c r="AH31" s="17"/>
      <c r="AI31" s="19"/>
      <c r="AJ31" s="19"/>
      <c r="AK31" s="19"/>
      <c r="AL31" s="17"/>
      <c r="AM31" s="4"/>
      <c r="AN31" s="20"/>
      <c r="AO31" s="20"/>
      <c r="AP31" s="20"/>
      <c r="AQ31" s="7"/>
      <c r="AR31" s="7"/>
      <c r="AS31" s="7"/>
      <c r="AT31" s="4"/>
      <c r="AU31" s="4"/>
      <c r="AV31" s="4"/>
      <c r="AW31" s="4"/>
      <c r="AX31" s="21"/>
      <c r="AY31" s="7"/>
      <c r="AZ31" s="22"/>
      <c r="BA31" s="16"/>
      <c r="BB31" s="16"/>
      <c r="BC31" s="22"/>
      <c r="BD31" s="1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16"/>
      <c r="BS31" s="16"/>
    </row>
    <row r="32" spans="1:71" x14ac:dyDescent="0.25">
      <c r="A32" s="16"/>
      <c r="B32" s="4"/>
      <c r="C32" s="16"/>
      <c r="D32" s="7"/>
      <c r="E32" s="7"/>
      <c r="F32" s="7"/>
      <c r="G32" s="7"/>
      <c r="H32" s="4"/>
      <c r="I32" s="7"/>
      <c r="J32" s="17"/>
      <c r="K32" s="7"/>
      <c r="L32" s="7"/>
      <c r="M32" s="7"/>
      <c r="N32" s="7"/>
      <c r="O32" s="18"/>
      <c r="P32" s="7"/>
      <c r="Q32" s="18"/>
      <c r="R32" s="7"/>
      <c r="S32" s="7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5"/>
      <c r="AF32" s="18"/>
      <c r="AG32" s="4"/>
      <c r="AH32" s="17"/>
      <c r="AI32" s="19"/>
      <c r="AJ32" s="19"/>
      <c r="AK32" s="19"/>
      <c r="AL32" s="17"/>
      <c r="AM32" s="4"/>
      <c r="AN32" s="20"/>
      <c r="AO32" s="20"/>
      <c r="AP32" s="20"/>
      <c r="AQ32" s="7"/>
      <c r="AR32" s="7"/>
      <c r="AS32" s="7"/>
      <c r="AT32" s="4"/>
      <c r="AU32" s="4"/>
      <c r="AV32" s="4"/>
      <c r="AW32" s="4"/>
      <c r="AX32" s="21"/>
      <c r="AY32" s="7"/>
      <c r="AZ32" s="22"/>
      <c r="BA32" s="16"/>
      <c r="BB32" s="16"/>
      <c r="BC32" s="22"/>
      <c r="BD32" s="1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16"/>
      <c r="BS32" s="16"/>
    </row>
    <row r="33" spans="1:71" x14ac:dyDescent="0.25">
      <c r="A33" s="16"/>
      <c r="B33" s="4"/>
      <c r="C33" s="16"/>
      <c r="D33" s="7"/>
      <c r="E33" s="7"/>
      <c r="F33" s="7"/>
      <c r="G33" s="7"/>
      <c r="H33" s="4"/>
      <c r="I33" s="7"/>
      <c r="J33" s="17"/>
      <c r="K33" s="7"/>
      <c r="L33" s="7"/>
      <c r="M33" s="7"/>
      <c r="N33" s="7"/>
      <c r="O33" s="18"/>
      <c r="P33" s="7"/>
      <c r="Q33" s="18"/>
      <c r="R33" s="7"/>
      <c r="S33" s="7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5"/>
      <c r="AF33" s="18"/>
      <c r="AG33" s="4"/>
      <c r="AH33" s="17"/>
      <c r="AI33" s="19"/>
      <c r="AJ33" s="19"/>
      <c r="AK33" s="19"/>
      <c r="AL33" s="17"/>
      <c r="AM33" s="4"/>
      <c r="AN33" s="20"/>
      <c r="AO33" s="20"/>
      <c r="AP33" s="20"/>
      <c r="AQ33" s="7"/>
      <c r="AR33" s="7"/>
      <c r="AS33" s="7"/>
      <c r="AT33" s="4"/>
      <c r="AU33" s="4"/>
      <c r="AV33" s="4"/>
      <c r="AW33" s="4"/>
      <c r="AX33" s="21"/>
      <c r="AY33" s="7"/>
      <c r="AZ33" s="22"/>
      <c r="BA33" s="16"/>
      <c r="BB33" s="16"/>
      <c r="BC33" s="22"/>
      <c r="BD33" s="1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16"/>
      <c r="BS33" s="16"/>
    </row>
    <row r="34" spans="1:71" x14ac:dyDescent="0.25">
      <c r="A34" s="16"/>
      <c r="B34" s="4"/>
      <c r="C34" s="16"/>
      <c r="D34" s="7"/>
      <c r="E34" s="7"/>
      <c r="F34" s="7"/>
      <c r="G34" s="7"/>
      <c r="H34" s="4"/>
      <c r="I34" s="7"/>
      <c r="J34" s="17"/>
      <c r="K34" s="7"/>
      <c r="L34" s="7"/>
      <c r="M34" s="7"/>
      <c r="N34" s="7"/>
      <c r="O34" s="18"/>
      <c r="P34" s="7"/>
      <c r="Q34" s="18"/>
      <c r="R34" s="7"/>
      <c r="S34" s="7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5"/>
      <c r="AF34" s="18"/>
      <c r="AG34" s="4"/>
      <c r="AH34" s="17"/>
      <c r="AI34" s="19"/>
      <c r="AJ34" s="19"/>
      <c r="AK34" s="19"/>
      <c r="AL34" s="17"/>
      <c r="AM34" s="4"/>
      <c r="AN34" s="20"/>
      <c r="AO34" s="20"/>
      <c r="AP34" s="20"/>
      <c r="AQ34" s="7"/>
      <c r="AR34" s="7"/>
      <c r="AS34" s="7"/>
      <c r="AT34" s="4"/>
      <c r="AU34" s="4"/>
      <c r="AV34" s="4"/>
      <c r="AW34" s="4"/>
      <c r="AX34" s="21"/>
      <c r="AY34" s="7"/>
      <c r="AZ34" s="22"/>
      <c r="BA34" s="16"/>
      <c r="BB34" s="16"/>
      <c r="BC34" s="22"/>
      <c r="BD34" s="1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16"/>
      <c r="BS34" s="16"/>
    </row>
    <row r="35" spans="1:71" x14ac:dyDescent="0.25">
      <c r="A35" s="16"/>
      <c r="B35" s="4"/>
      <c r="C35" s="16"/>
      <c r="D35" s="7"/>
      <c r="E35" s="7"/>
      <c r="F35" s="7"/>
      <c r="G35" s="7"/>
      <c r="H35" s="4"/>
      <c r="I35" s="7"/>
      <c r="J35" s="17"/>
      <c r="K35" s="7"/>
      <c r="L35" s="7"/>
      <c r="M35" s="7"/>
      <c r="N35" s="7"/>
      <c r="O35" s="18"/>
      <c r="P35" s="7"/>
      <c r="Q35" s="18"/>
      <c r="R35" s="7"/>
      <c r="S35" s="7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5"/>
      <c r="AF35" s="18"/>
      <c r="AG35" s="4"/>
      <c r="AH35" s="17"/>
      <c r="AI35" s="19"/>
      <c r="AJ35" s="19"/>
      <c r="AK35" s="19"/>
      <c r="AL35" s="17"/>
      <c r="AM35" s="4"/>
      <c r="AN35" s="20"/>
      <c r="AO35" s="20"/>
      <c r="AP35" s="20"/>
      <c r="AQ35" s="7"/>
      <c r="AR35" s="7"/>
      <c r="AS35" s="7"/>
      <c r="AT35" s="4"/>
      <c r="AU35" s="4"/>
      <c r="AV35" s="4"/>
      <c r="AW35" s="4"/>
      <c r="AX35" s="21"/>
      <c r="AY35" s="7"/>
      <c r="AZ35" s="22"/>
      <c r="BA35" s="16"/>
      <c r="BB35" s="16"/>
      <c r="BC35" s="22"/>
      <c r="BD35" s="1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16"/>
      <c r="BS35" s="16"/>
    </row>
    <row r="36" spans="1:71" x14ac:dyDescent="0.25">
      <c r="A36" s="16"/>
      <c r="B36" s="4"/>
      <c r="C36" s="16"/>
      <c r="D36" s="7"/>
      <c r="E36" s="7"/>
      <c r="F36" s="7"/>
      <c r="G36" s="7"/>
      <c r="H36" s="4"/>
      <c r="I36" s="7"/>
      <c r="J36" s="17"/>
      <c r="K36" s="7"/>
      <c r="L36" s="7"/>
      <c r="M36" s="7"/>
      <c r="N36" s="7"/>
      <c r="O36" s="18"/>
      <c r="P36" s="7"/>
      <c r="Q36" s="18"/>
      <c r="R36" s="7"/>
      <c r="S36" s="7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5"/>
      <c r="AF36" s="18"/>
      <c r="AG36" s="4"/>
      <c r="AH36" s="17"/>
      <c r="AI36" s="19"/>
      <c r="AJ36" s="19"/>
      <c r="AK36" s="19"/>
      <c r="AL36" s="17"/>
      <c r="AM36" s="4"/>
      <c r="AN36" s="20"/>
      <c r="AO36" s="20"/>
      <c r="AP36" s="20"/>
      <c r="AQ36" s="7"/>
      <c r="AR36" s="7"/>
      <c r="AS36" s="7"/>
      <c r="AT36" s="4"/>
      <c r="AU36" s="4"/>
      <c r="AV36" s="4"/>
      <c r="AW36" s="4"/>
      <c r="AX36" s="21"/>
      <c r="AY36" s="7"/>
      <c r="AZ36" s="22"/>
      <c r="BA36" s="16"/>
      <c r="BB36" s="16"/>
      <c r="BC36" s="22"/>
      <c r="BD36" s="1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16"/>
      <c r="BS36" s="16"/>
    </row>
    <row r="37" spans="1:71" x14ac:dyDescent="0.25">
      <c r="A37" s="16"/>
      <c r="B37" s="4"/>
      <c r="C37" s="16"/>
      <c r="D37" s="7"/>
      <c r="E37" s="7"/>
      <c r="F37" s="7"/>
      <c r="G37" s="7"/>
      <c r="H37" s="4"/>
      <c r="I37" s="7"/>
      <c r="J37" s="17"/>
      <c r="K37" s="7"/>
      <c r="L37" s="7"/>
      <c r="M37" s="7"/>
      <c r="N37" s="7"/>
      <c r="O37" s="18"/>
      <c r="P37" s="7"/>
      <c r="Q37" s="18"/>
      <c r="R37" s="7"/>
      <c r="S37" s="7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5"/>
      <c r="AF37" s="18"/>
      <c r="AG37" s="4"/>
      <c r="AH37" s="17"/>
      <c r="AI37" s="19"/>
      <c r="AJ37" s="19"/>
      <c r="AK37" s="19"/>
      <c r="AL37" s="17"/>
      <c r="AM37" s="4"/>
      <c r="AN37" s="20"/>
      <c r="AO37" s="20"/>
      <c r="AP37" s="20"/>
      <c r="AQ37" s="7"/>
      <c r="AR37" s="7"/>
      <c r="AS37" s="7"/>
      <c r="AT37" s="4"/>
      <c r="AU37" s="4"/>
      <c r="AV37" s="4"/>
      <c r="AW37" s="4"/>
      <c r="AX37" s="21"/>
      <c r="AY37" s="7"/>
      <c r="AZ37" s="22"/>
      <c r="BA37" s="16"/>
      <c r="BB37" s="16"/>
      <c r="BC37" s="22"/>
      <c r="BD37" s="1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16"/>
      <c r="BS37" s="16"/>
    </row>
    <row r="38" spans="1:71" x14ac:dyDescent="0.25">
      <c r="A38" s="16"/>
      <c r="B38" s="4"/>
      <c r="C38" s="16"/>
      <c r="D38" s="7"/>
      <c r="E38" s="7"/>
      <c r="F38" s="7"/>
      <c r="G38" s="7"/>
      <c r="H38" s="4"/>
      <c r="I38" s="7"/>
      <c r="J38" s="17"/>
      <c r="K38" s="7"/>
      <c r="L38" s="7"/>
      <c r="M38" s="7"/>
      <c r="N38" s="7"/>
      <c r="O38" s="18"/>
      <c r="P38" s="7"/>
      <c r="Q38" s="18"/>
      <c r="R38" s="7"/>
      <c r="S38" s="7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5"/>
      <c r="AF38" s="18"/>
      <c r="AG38" s="4"/>
      <c r="AH38" s="17"/>
      <c r="AI38" s="19"/>
      <c r="AJ38" s="19"/>
      <c r="AK38" s="19"/>
      <c r="AL38" s="17"/>
      <c r="AM38" s="4"/>
      <c r="AN38" s="20"/>
      <c r="AO38" s="20"/>
      <c r="AP38" s="20"/>
      <c r="AQ38" s="7"/>
      <c r="AR38" s="7"/>
      <c r="AS38" s="7"/>
      <c r="AT38" s="4"/>
      <c r="AU38" s="4"/>
      <c r="AV38" s="4"/>
      <c r="AW38" s="4"/>
      <c r="AX38" s="21"/>
      <c r="AY38" s="7"/>
      <c r="AZ38" s="22"/>
      <c r="BA38" s="16"/>
      <c r="BB38" s="16"/>
      <c r="BC38" s="22"/>
      <c r="BD38" s="1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16"/>
      <c r="BS38" s="16"/>
    </row>
    <row r="39" spans="1:71" x14ac:dyDescent="0.25">
      <c r="A39" s="16"/>
      <c r="B39" s="4"/>
      <c r="C39" s="16"/>
      <c r="D39" s="7"/>
      <c r="E39" s="7"/>
      <c r="F39" s="7"/>
      <c r="G39" s="7"/>
      <c r="H39" s="4"/>
      <c r="I39" s="7"/>
      <c r="J39" s="17"/>
      <c r="K39" s="7"/>
      <c r="L39" s="7"/>
      <c r="M39" s="7"/>
      <c r="N39" s="7"/>
      <c r="O39" s="18"/>
      <c r="P39" s="7"/>
      <c r="Q39" s="18"/>
      <c r="R39" s="7"/>
      <c r="S39" s="7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5"/>
      <c r="AF39" s="18"/>
      <c r="AG39" s="4"/>
      <c r="AH39" s="17"/>
      <c r="AI39" s="19"/>
      <c r="AJ39" s="19"/>
      <c r="AK39" s="19"/>
      <c r="AL39" s="17"/>
      <c r="AM39" s="4"/>
      <c r="AN39" s="20"/>
      <c r="AO39" s="20"/>
      <c r="AP39" s="20"/>
      <c r="AQ39" s="7"/>
      <c r="AR39" s="7"/>
      <c r="AS39" s="7"/>
      <c r="AT39" s="4"/>
      <c r="AU39" s="4"/>
      <c r="AV39" s="4"/>
      <c r="AW39" s="4"/>
      <c r="AX39" s="21"/>
      <c r="AY39" s="7"/>
      <c r="AZ39" s="22"/>
      <c r="BA39" s="16"/>
      <c r="BB39" s="16"/>
      <c r="BC39" s="22"/>
      <c r="BD39" s="1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16"/>
      <c r="BS39" s="16"/>
    </row>
    <row r="40" spans="1:71" x14ac:dyDescent="0.25">
      <c r="A40" s="16"/>
      <c r="B40" s="4"/>
      <c r="C40" s="16"/>
      <c r="D40" s="7"/>
      <c r="E40" s="7"/>
      <c r="F40" s="7"/>
      <c r="G40" s="7"/>
      <c r="H40" s="4"/>
      <c r="I40" s="7"/>
      <c r="J40" s="17"/>
      <c r="K40" s="7"/>
      <c r="L40" s="7"/>
      <c r="M40" s="7"/>
      <c r="N40" s="7"/>
      <c r="O40" s="18"/>
      <c r="P40" s="7"/>
      <c r="Q40" s="18"/>
      <c r="R40" s="7"/>
      <c r="S40" s="7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5"/>
      <c r="AF40" s="18"/>
      <c r="AG40" s="4"/>
      <c r="AH40" s="17"/>
      <c r="AI40" s="19"/>
      <c r="AJ40" s="19"/>
      <c r="AK40" s="19"/>
      <c r="AL40" s="17"/>
      <c r="AM40" s="4"/>
      <c r="AN40" s="20"/>
      <c r="AO40" s="20"/>
      <c r="AP40" s="20"/>
      <c r="AQ40" s="7"/>
      <c r="AR40" s="7"/>
      <c r="AS40" s="7"/>
      <c r="AT40" s="4"/>
      <c r="AU40" s="4"/>
      <c r="AV40" s="4"/>
      <c r="AW40" s="4"/>
      <c r="AX40" s="21"/>
      <c r="AY40" s="7"/>
      <c r="AZ40" s="22"/>
      <c r="BA40" s="16"/>
      <c r="BB40" s="16"/>
      <c r="BC40" s="22"/>
      <c r="BD40" s="1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16"/>
      <c r="BS40" s="16"/>
    </row>
    <row r="41" spans="1:71" x14ac:dyDescent="0.25">
      <c r="A41" s="16"/>
      <c r="B41" s="4"/>
      <c r="C41" s="16"/>
      <c r="D41" s="7"/>
      <c r="E41" s="7"/>
      <c r="F41" s="7"/>
      <c r="G41" s="7"/>
      <c r="H41" s="4"/>
      <c r="I41" s="7"/>
      <c r="J41" s="17"/>
      <c r="K41" s="7"/>
      <c r="L41" s="7"/>
      <c r="M41" s="7"/>
      <c r="N41" s="7"/>
      <c r="O41" s="18"/>
      <c r="P41" s="7"/>
      <c r="Q41" s="18"/>
      <c r="R41" s="7"/>
      <c r="S41" s="7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5"/>
      <c r="AF41" s="18"/>
      <c r="AG41" s="4"/>
      <c r="AH41" s="17"/>
      <c r="AI41" s="19"/>
      <c r="AJ41" s="19"/>
      <c r="AK41" s="19"/>
      <c r="AL41" s="17"/>
      <c r="AM41" s="4"/>
      <c r="AN41" s="20"/>
      <c r="AO41" s="20"/>
      <c r="AP41" s="20"/>
      <c r="AQ41" s="7"/>
      <c r="AR41" s="7"/>
      <c r="AS41" s="7"/>
      <c r="AT41" s="4"/>
      <c r="AU41" s="4"/>
      <c r="AV41" s="4"/>
      <c r="AW41" s="4"/>
      <c r="AX41" s="21"/>
      <c r="AY41" s="7"/>
      <c r="AZ41" s="22"/>
      <c r="BA41" s="16"/>
      <c r="BB41" s="16"/>
      <c r="BC41" s="22"/>
      <c r="BD41" s="1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16"/>
      <c r="BS41" s="16"/>
    </row>
    <row r="42" spans="1:71" x14ac:dyDescent="0.25">
      <c r="A42" s="16"/>
      <c r="B42" s="4"/>
      <c r="C42" s="16"/>
      <c r="D42" s="7"/>
      <c r="E42" s="7"/>
      <c r="F42" s="7"/>
      <c r="G42" s="7"/>
      <c r="H42" s="4"/>
      <c r="I42" s="7"/>
      <c r="J42" s="17"/>
      <c r="K42" s="7"/>
      <c r="L42" s="7"/>
      <c r="M42" s="7"/>
      <c r="N42" s="7"/>
      <c r="O42" s="18"/>
      <c r="P42" s="7"/>
      <c r="Q42" s="18"/>
      <c r="R42" s="7"/>
      <c r="S42" s="7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5"/>
      <c r="AF42" s="18"/>
      <c r="AG42" s="4"/>
      <c r="AH42" s="17"/>
      <c r="AI42" s="19"/>
      <c r="AJ42" s="19"/>
      <c r="AK42" s="19"/>
      <c r="AL42" s="17"/>
      <c r="AM42" s="4"/>
      <c r="AN42" s="20"/>
      <c r="AO42" s="20"/>
      <c r="AP42" s="20"/>
      <c r="AQ42" s="7"/>
      <c r="AR42" s="7"/>
      <c r="AS42" s="7"/>
      <c r="AT42" s="4"/>
      <c r="AU42" s="4"/>
      <c r="AV42" s="4"/>
      <c r="AW42" s="4"/>
      <c r="AX42" s="21"/>
      <c r="AY42" s="7"/>
      <c r="AZ42" s="22"/>
      <c r="BA42" s="16"/>
      <c r="BB42" s="16"/>
      <c r="BC42" s="22"/>
      <c r="BD42" s="1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16"/>
      <c r="BS42" s="16"/>
    </row>
    <row r="43" spans="1:71" x14ac:dyDescent="0.25">
      <c r="A43" s="16"/>
      <c r="B43" s="4"/>
      <c r="C43" s="16"/>
      <c r="D43" s="7"/>
      <c r="E43" s="7"/>
      <c r="F43" s="7"/>
      <c r="G43" s="7"/>
      <c r="H43" s="4"/>
      <c r="I43" s="7"/>
      <c r="J43" s="17"/>
      <c r="K43" s="7"/>
      <c r="L43" s="7"/>
      <c r="M43" s="7"/>
      <c r="N43" s="7"/>
      <c r="O43" s="18"/>
      <c r="P43" s="7"/>
      <c r="Q43" s="18"/>
      <c r="R43" s="7"/>
      <c r="S43" s="7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5"/>
      <c r="AF43" s="18"/>
      <c r="AG43" s="4"/>
      <c r="AH43" s="17"/>
      <c r="AI43" s="19"/>
      <c r="AJ43" s="19"/>
      <c r="AK43" s="19"/>
      <c r="AL43" s="17"/>
      <c r="AM43" s="4"/>
      <c r="AN43" s="20"/>
      <c r="AO43" s="20"/>
      <c r="AP43" s="20"/>
      <c r="AQ43" s="7"/>
      <c r="AR43" s="7"/>
      <c r="AS43" s="7"/>
      <c r="AT43" s="4"/>
      <c r="AU43" s="4"/>
      <c r="AV43" s="4"/>
      <c r="AW43" s="4"/>
      <c r="AX43" s="21"/>
      <c r="AY43" s="7"/>
      <c r="AZ43" s="22"/>
      <c r="BA43" s="16"/>
      <c r="BB43" s="16"/>
      <c r="BC43" s="22"/>
      <c r="BD43" s="1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16"/>
      <c r="BS43" s="16"/>
    </row>
    <row r="44" spans="1:71" x14ac:dyDescent="0.25">
      <c r="A44" s="16"/>
      <c r="B44" s="4"/>
      <c r="C44" s="16"/>
      <c r="D44" s="7"/>
      <c r="E44" s="7"/>
      <c r="F44" s="7"/>
      <c r="G44" s="7"/>
      <c r="H44" s="4"/>
      <c r="I44" s="7"/>
      <c r="J44" s="17"/>
      <c r="K44" s="7"/>
      <c r="L44" s="7"/>
      <c r="M44" s="7"/>
      <c r="N44" s="7"/>
      <c r="O44" s="18"/>
      <c r="P44" s="7"/>
      <c r="Q44" s="18"/>
      <c r="R44" s="7"/>
      <c r="S44" s="7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5"/>
      <c r="AF44" s="18"/>
      <c r="AG44" s="4"/>
      <c r="AH44" s="17"/>
      <c r="AI44" s="19"/>
      <c r="AJ44" s="19"/>
      <c r="AK44" s="19"/>
      <c r="AL44" s="17"/>
      <c r="AM44" s="4"/>
      <c r="AN44" s="20"/>
      <c r="AO44" s="20"/>
      <c r="AP44" s="20"/>
      <c r="AQ44" s="7"/>
      <c r="AR44" s="7"/>
      <c r="AS44" s="7"/>
      <c r="AT44" s="4"/>
      <c r="AU44" s="4"/>
      <c r="AV44" s="4"/>
      <c r="AW44" s="4"/>
      <c r="AX44" s="21"/>
      <c r="AY44" s="7"/>
      <c r="AZ44" s="22"/>
      <c r="BA44" s="16"/>
      <c r="BB44" s="16"/>
      <c r="BC44" s="22"/>
      <c r="BD44" s="1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16"/>
      <c r="BS44" s="16"/>
    </row>
    <row r="45" spans="1:71" x14ac:dyDescent="0.25">
      <c r="A45" s="16"/>
      <c r="B45" s="4"/>
      <c r="C45" s="16"/>
      <c r="D45" s="7"/>
      <c r="E45" s="7"/>
      <c r="F45" s="7"/>
      <c r="G45" s="7"/>
      <c r="H45" s="4"/>
      <c r="I45" s="7"/>
      <c r="J45" s="17"/>
      <c r="K45" s="7"/>
      <c r="L45" s="7"/>
      <c r="M45" s="7"/>
      <c r="N45" s="7"/>
      <c r="O45" s="18"/>
      <c r="P45" s="7"/>
      <c r="Q45" s="18"/>
      <c r="R45" s="7"/>
      <c r="S45" s="7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5"/>
      <c r="AF45" s="18"/>
      <c r="AG45" s="4"/>
      <c r="AH45" s="17"/>
      <c r="AI45" s="19"/>
      <c r="AJ45" s="19"/>
      <c r="AK45" s="19"/>
      <c r="AL45" s="17"/>
      <c r="AM45" s="4"/>
      <c r="AN45" s="20"/>
      <c r="AO45" s="20"/>
      <c r="AP45" s="20"/>
      <c r="AQ45" s="7"/>
      <c r="AR45" s="7"/>
      <c r="AS45" s="7"/>
      <c r="AT45" s="4"/>
      <c r="AU45" s="4"/>
      <c r="AV45" s="4"/>
      <c r="AW45" s="4"/>
      <c r="AX45" s="21"/>
      <c r="AY45" s="7"/>
      <c r="AZ45" s="22"/>
      <c r="BA45" s="16"/>
      <c r="BB45" s="16"/>
      <c r="BC45" s="22"/>
      <c r="BD45" s="1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16"/>
      <c r="BS45" s="16"/>
    </row>
    <row r="46" spans="1:71" x14ac:dyDescent="0.25">
      <c r="A46" s="16"/>
      <c r="B46" s="4"/>
      <c r="C46" s="16"/>
      <c r="D46" s="7"/>
      <c r="E46" s="7"/>
      <c r="F46" s="7"/>
      <c r="G46" s="7"/>
      <c r="H46" s="4"/>
      <c r="I46" s="7"/>
      <c r="J46" s="17"/>
      <c r="K46" s="7"/>
      <c r="L46" s="7"/>
      <c r="M46" s="7"/>
      <c r="N46" s="7"/>
      <c r="O46" s="18"/>
      <c r="P46" s="7"/>
      <c r="Q46" s="18"/>
      <c r="R46" s="7"/>
      <c r="S46" s="7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5"/>
      <c r="AF46" s="18"/>
      <c r="AG46" s="4"/>
      <c r="AH46" s="17"/>
      <c r="AI46" s="19"/>
      <c r="AJ46" s="19"/>
      <c r="AK46" s="19"/>
      <c r="AL46" s="17"/>
      <c r="AM46" s="4"/>
      <c r="AN46" s="20"/>
      <c r="AO46" s="20"/>
      <c r="AP46" s="20"/>
      <c r="AQ46" s="7"/>
      <c r="AR46" s="7"/>
      <c r="AS46" s="7"/>
      <c r="AT46" s="4"/>
      <c r="AU46" s="4"/>
      <c r="AV46" s="4"/>
      <c r="AW46" s="4"/>
      <c r="AX46" s="21"/>
      <c r="AY46" s="7"/>
      <c r="AZ46" s="22"/>
      <c r="BA46" s="16"/>
      <c r="BB46" s="16"/>
      <c r="BC46" s="22"/>
      <c r="BD46" s="1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16"/>
      <c r="BS46" s="16"/>
    </row>
    <row r="47" spans="1:71" x14ac:dyDescent="0.25">
      <c r="A47" s="16"/>
      <c r="B47" s="4"/>
      <c r="C47" s="16"/>
      <c r="D47" s="7"/>
      <c r="E47" s="7"/>
      <c r="F47" s="7"/>
      <c r="G47" s="7"/>
      <c r="H47" s="4"/>
      <c r="I47" s="7"/>
      <c r="J47" s="17"/>
      <c r="K47" s="7"/>
      <c r="L47" s="7"/>
      <c r="M47" s="7"/>
      <c r="N47" s="7"/>
      <c r="O47" s="18"/>
      <c r="P47" s="7"/>
      <c r="Q47" s="18"/>
      <c r="R47" s="7"/>
      <c r="S47" s="7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5"/>
      <c r="AF47" s="18"/>
      <c r="AG47" s="4"/>
      <c r="AH47" s="17"/>
      <c r="AI47" s="19"/>
      <c r="AJ47" s="19"/>
      <c r="AK47" s="19"/>
      <c r="AL47" s="17"/>
      <c r="AM47" s="4"/>
      <c r="AN47" s="20"/>
      <c r="AO47" s="20"/>
      <c r="AP47" s="20"/>
      <c r="AQ47" s="7"/>
      <c r="AR47" s="7"/>
      <c r="AS47" s="7"/>
      <c r="AT47" s="4"/>
      <c r="AU47" s="4"/>
      <c r="AV47" s="4"/>
      <c r="AW47" s="4"/>
      <c r="AX47" s="21"/>
      <c r="AY47" s="7"/>
      <c r="AZ47" s="22"/>
      <c r="BA47" s="16"/>
      <c r="BB47" s="16"/>
      <c r="BC47" s="22"/>
      <c r="BD47" s="1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16"/>
      <c r="BS47" s="16"/>
    </row>
    <row r="48" spans="1:71" x14ac:dyDescent="0.25">
      <c r="A48" s="16"/>
      <c r="B48" s="4"/>
      <c r="C48" s="16"/>
      <c r="D48" s="7"/>
      <c r="E48" s="7"/>
      <c r="F48" s="7"/>
      <c r="G48" s="7"/>
      <c r="H48" s="4"/>
      <c r="I48" s="7"/>
      <c r="J48" s="17"/>
      <c r="K48" s="7"/>
      <c r="L48" s="7"/>
      <c r="M48" s="7"/>
      <c r="N48" s="7"/>
      <c r="O48" s="18"/>
      <c r="P48" s="7"/>
      <c r="Q48" s="18"/>
      <c r="R48" s="7"/>
      <c r="S48" s="7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5"/>
      <c r="AF48" s="18"/>
      <c r="AG48" s="4"/>
      <c r="AH48" s="17"/>
      <c r="AI48" s="19"/>
      <c r="AJ48" s="19"/>
      <c r="AK48" s="19"/>
      <c r="AL48" s="17"/>
      <c r="AM48" s="4"/>
      <c r="AN48" s="20"/>
      <c r="AO48" s="20"/>
      <c r="AP48" s="20"/>
      <c r="AQ48" s="7"/>
      <c r="AR48" s="7"/>
      <c r="AS48" s="7"/>
      <c r="AT48" s="4"/>
      <c r="AU48" s="4"/>
      <c r="AV48" s="4"/>
      <c r="AW48" s="4"/>
      <c r="AX48" s="21"/>
      <c r="AY48" s="7"/>
      <c r="AZ48" s="22"/>
      <c r="BA48" s="16"/>
      <c r="BB48" s="16"/>
      <c r="BC48" s="22"/>
      <c r="BD48" s="1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16"/>
      <c r="BS48" s="16"/>
    </row>
    <row r="49" spans="1:71" x14ac:dyDescent="0.25">
      <c r="A49" s="16"/>
      <c r="B49" s="4"/>
      <c r="C49" s="16"/>
      <c r="D49" s="7"/>
      <c r="E49" s="7"/>
      <c r="F49" s="7"/>
      <c r="G49" s="7"/>
      <c r="H49" s="4"/>
      <c r="I49" s="7"/>
      <c r="J49" s="17"/>
      <c r="K49" s="7"/>
      <c r="L49" s="7"/>
      <c r="M49" s="7"/>
      <c r="N49" s="7"/>
      <c r="O49" s="18"/>
      <c r="P49" s="7"/>
      <c r="Q49" s="18"/>
      <c r="R49" s="7"/>
      <c r="S49" s="7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5"/>
      <c r="AF49" s="18"/>
      <c r="AG49" s="4"/>
      <c r="AH49" s="17"/>
      <c r="AI49" s="19"/>
      <c r="AJ49" s="19"/>
      <c r="AK49" s="19"/>
      <c r="AL49" s="17"/>
      <c r="AM49" s="4"/>
      <c r="AN49" s="20"/>
      <c r="AO49" s="20"/>
      <c r="AP49" s="20"/>
      <c r="AQ49" s="7"/>
      <c r="AR49" s="7"/>
      <c r="AS49" s="7"/>
      <c r="AT49" s="4"/>
      <c r="AU49" s="4"/>
      <c r="AV49" s="4"/>
      <c r="AW49" s="4"/>
      <c r="AX49" s="21"/>
      <c r="AY49" s="7"/>
      <c r="AZ49" s="22"/>
      <c r="BA49" s="16"/>
      <c r="BB49" s="16"/>
      <c r="BC49" s="22"/>
      <c r="BD49" s="1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16"/>
      <c r="BS49" s="16"/>
    </row>
    <row r="50" spans="1:71" x14ac:dyDescent="0.25">
      <c r="A50" s="16"/>
      <c r="B50" s="4"/>
      <c r="C50" s="16"/>
      <c r="D50" s="7"/>
      <c r="E50" s="7"/>
      <c r="F50" s="7"/>
      <c r="G50" s="7"/>
      <c r="H50" s="4"/>
      <c r="I50" s="7"/>
      <c r="J50" s="17"/>
      <c r="K50" s="7"/>
      <c r="L50" s="7"/>
      <c r="M50" s="7"/>
      <c r="N50" s="7"/>
      <c r="O50" s="18"/>
      <c r="P50" s="7"/>
      <c r="Q50" s="18"/>
      <c r="R50" s="7"/>
      <c r="S50" s="7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5"/>
      <c r="AF50" s="18"/>
      <c r="AG50" s="4"/>
      <c r="AH50" s="17"/>
      <c r="AI50" s="19"/>
      <c r="AJ50" s="19"/>
      <c r="AK50" s="19"/>
      <c r="AL50" s="17"/>
      <c r="AM50" s="4"/>
      <c r="AN50" s="20"/>
      <c r="AO50" s="20"/>
      <c r="AP50" s="20"/>
      <c r="AQ50" s="7"/>
      <c r="AR50" s="7"/>
      <c r="AS50" s="7"/>
      <c r="AT50" s="4"/>
      <c r="AU50" s="4"/>
      <c r="AV50" s="4"/>
      <c r="AW50" s="4"/>
      <c r="AX50" s="21"/>
      <c r="AY50" s="7"/>
      <c r="AZ50" s="22"/>
      <c r="BA50" s="16"/>
      <c r="BB50" s="16"/>
      <c r="BC50" s="22"/>
      <c r="BD50" s="1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16"/>
      <c r="BS50" s="16"/>
    </row>
    <row r="51" spans="1:71" x14ac:dyDescent="0.25">
      <c r="A51" s="16"/>
      <c r="B51" s="4"/>
      <c r="C51" s="16"/>
      <c r="D51" s="7"/>
      <c r="E51" s="7"/>
      <c r="F51" s="7"/>
      <c r="G51" s="7"/>
      <c r="H51" s="4"/>
      <c r="I51" s="7"/>
      <c r="J51" s="17"/>
      <c r="K51" s="7"/>
      <c r="L51" s="7"/>
      <c r="M51" s="7"/>
      <c r="N51" s="7"/>
      <c r="O51" s="18"/>
      <c r="P51" s="7"/>
      <c r="Q51" s="18"/>
      <c r="R51" s="7"/>
      <c r="S51" s="7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5"/>
      <c r="AF51" s="18"/>
      <c r="AG51" s="4"/>
      <c r="AH51" s="17"/>
      <c r="AI51" s="19"/>
      <c r="AJ51" s="19"/>
      <c r="AK51" s="19"/>
      <c r="AL51" s="17"/>
      <c r="AM51" s="4"/>
      <c r="AN51" s="20"/>
      <c r="AO51" s="20"/>
      <c r="AP51" s="20"/>
      <c r="AQ51" s="7"/>
      <c r="AR51" s="7"/>
      <c r="AS51" s="7"/>
      <c r="AT51" s="4"/>
      <c r="AU51" s="4"/>
      <c r="AV51" s="4"/>
      <c r="AW51" s="4"/>
      <c r="AX51" s="21"/>
      <c r="AY51" s="7"/>
      <c r="AZ51" s="22"/>
      <c r="BA51" s="16"/>
      <c r="BB51" s="16"/>
      <c r="BC51" s="22"/>
      <c r="BD51" s="1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16"/>
      <c r="BS51" s="16"/>
    </row>
    <row r="52" spans="1:71" x14ac:dyDescent="0.25">
      <c r="A52" s="16"/>
      <c r="B52" s="4"/>
      <c r="C52" s="16"/>
      <c r="D52" s="7"/>
      <c r="E52" s="7"/>
      <c r="F52" s="7"/>
      <c r="G52" s="7"/>
      <c r="H52" s="4"/>
      <c r="I52" s="7"/>
      <c r="J52" s="17"/>
      <c r="K52" s="7"/>
      <c r="L52" s="7"/>
      <c r="M52" s="7"/>
      <c r="N52" s="7"/>
      <c r="O52" s="18"/>
      <c r="P52" s="7"/>
      <c r="Q52" s="18"/>
      <c r="R52" s="7"/>
      <c r="S52" s="7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5"/>
      <c r="AF52" s="18"/>
      <c r="AG52" s="4"/>
      <c r="AH52" s="17"/>
      <c r="AI52" s="19"/>
      <c r="AJ52" s="19"/>
      <c r="AK52" s="19"/>
      <c r="AL52" s="17"/>
      <c r="AM52" s="4"/>
      <c r="AN52" s="20"/>
      <c r="AO52" s="20"/>
      <c r="AP52" s="20"/>
      <c r="AQ52" s="7"/>
      <c r="AR52" s="7"/>
      <c r="AS52" s="7"/>
      <c r="AT52" s="4"/>
      <c r="AU52" s="4"/>
      <c r="AV52" s="4"/>
      <c r="AW52" s="4"/>
      <c r="AX52" s="21"/>
      <c r="AY52" s="7"/>
      <c r="AZ52" s="22"/>
      <c r="BA52" s="16"/>
      <c r="BB52" s="16"/>
      <c r="BC52" s="22"/>
      <c r="BD52" s="1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16"/>
      <c r="BS52" s="16"/>
    </row>
    <row r="53" spans="1:71" x14ac:dyDescent="0.25">
      <c r="A53" s="16"/>
      <c r="B53" s="4"/>
      <c r="C53" s="16"/>
      <c r="D53" s="7"/>
      <c r="E53" s="7"/>
      <c r="F53" s="7"/>
      <c r="G53" s="7"/>
      <c r="H53" s="4"/>
      <c r="I53" s="7"/>
      <c r="J53" s="17"/>
      <c r="K53" s="7"/>
      <c r="L53" s="7"/>
      <c r="M53" s="7"/>
      <c r="N53" s="7"/>
      <c r="O53" s="18"/>
      <c r="P53" s="7"/>
      <c r="Q53" s="18"/>
      <c r="R53" s="7"/>
      <c r="S53" s="7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5"/>
      <c r="AF53" s="18"/>
      <c r="AG53" s="4"/>
      <c r="AH53" s="17"/>
      <c r="AI53" s="19"/>
      <c r="AJ53" s="19"/>
      <c r="AK53" s="19"/>
      <c r="AL53" s="17"/>
      <c r="AM53" s="4"/>
      <c r="AN53" s="20"/>
      <c r="AO53" s="20"/>
      <c r="AP53" s="20"/>
      <c r="AQ53" s="7"/>
      <c r="AR53" s="7"/>
      <c r="AS53" s="7"/>
      <c r="AT53" s="4"/>
      <c r="AU53" s="4"/>
      <c r="AV53" s="4"/>
      <c r="AW53" s="4"/>
      <c r="AX53" s="21"/>
      <c r="AY53" s="7"/>
      <c r="AZ53" s="22"/>
      <c r="BA53" s="16"/>
      <c r="BB53" s="16"/>
      <c r="BC53" s="22"/>
      <c r="BD53" s="1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16"/>
      <c r="BS53" s="16"/>
    </row>
    <row r="54" spans="1:71" x14ac:dyDescent="0.25">
      <c r="A54" s="16"/>
      <c r="B54" s="4"/>
      <c r="C54" s="16"/>
      <c r="D54" s="7"/>
      <c r="E54" s="7"/>
      <c r="F54" s="7"/>
      <c r="G54" s="7"/>
      <c r="H54" s="4"/>
      <c r="I54" s="7"/>
      <c r="J54" s="17"/>
      <c r="K54" s="7"/>
      <c r="L54" s="7"/>
      <c r="M54" s="7"/>
      <c r="N54" s="7"/>
      <c r="O54" s="18"/>
      <c r="P54" s="7"/>
      <c r="Q54" s="18"/>
      <c r="R54" s="7"/>
      <c r="S54" s="7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5"/>
      <c r="AF54" s="18"/>
      <c r="AG54" s="4"/>
      <c r="AH54" s="17"/>
      <c r="AI54" s="19"/>
      <c r="AJ54" s="19"/>
      <c r="AK54" s="19"/>
      <c r="AL54" s="17"/>
      <c r="AM54" s="4"/>
      <c r="AN54" s="20"/>
      <c r="AO54" s="20"/>
      <c r="AP54" s="20"/>
      <c r="AQ54" s="7"/>
      <c r="AR54" s="7"/>
      <c r="AS54" s="7"/>
      <c r="AT54" s="4"/>
      <c r="AU54" s="4"/>
      <c r="AV54" s="4"/>
      <c r="AW54" s="4"/>
      <c r="AX54" s="21"/>
      <c r="AY54" s="7"/>
      <c r="AZ54" s="22"/>
      <c r="BA54" s="16"/>
      <c r="BB54" s="16"/>
      <c r="BC54" s="22"/>
      <c r="BD54" s="1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16"/>
      <c r="BS54" s="16"/>
    </row>
    <row r="55" spans="1:71" x14ac:dyDescent="0.25">
      <c r="A55" s="16"/>
      <c r="B55" s="4"/>
      <c r="C55" s="16"/>
      <c r="D55" s="7"/>
      <c r="E55" s="7"/>
      <c r="F55" s="7"/>
      <c r="G55" s="7"/>
      <c r="H55" s="4"/>
      <c r="I55" s="7"/>
      <c r="J55" s="17"/>
      <c r="K55" s="7"/>
      <c r="L55" s="7"/>
      <c r="M55" s="7"/>
      <c r="N55" s="7"/>
      <c r="O55" s="18"/>
      <c r="P55" s="7"/>
      <c r="Q55" s="18"/>
      <c r="R55" s="7"/>
      <c r="S55" s="7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5"/>
      <c r="AF55" s="18"/>
      <c r="AG55" s="4"/>
      <c r="AH55" s="17"/>
      <c r="AI55" s="19"/>
      <c r="AJ55" s="19"/>
      <c r="AK55" s="19"/>
      <c r="AL55" s="17"/>
      <c r="AM55" s="4"/>
      <c r="AN55" s="20"/>
      <c r="AO55" s="20"/>
      <c r="AP55" s="20"/>
      <c r="AQ55" s="7"/>
      <c r="AR55" s="7"/>
      <c r="AS55" s="7"/>
      <c r="AT55" s="4"/>
      <c r="AU55" s="4"/>
      <c r="AV55" s="4"/>
      <c r="AW55" s="4"/>
      <c r="AX55" s="21"/>
      <c r="AY55" s="7"/>
      <c r="AZ55" s="22"/>
      <c r="BA55" s="16"/>
      <c r="BB55" s="16"/>
      <c r="BC55" s="22"/>
      <c r="BD55" s="1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16"/>
      <c r="BS55" s="16"/>
    </row>
    <row r="56" spans="1:71" x14ac:dyDescent="0.25">
      <c r="A56" s="16"/>
      <c r="B56" s="4"/>
      <c r="C56" s="16"/>
      <c r="D56" s="7"/>
      <c r="E56" s="7"/>
      <c r="F56" s="7"/>
      <c r="G56" s="7"/>
      <c r="H56" s="4"/>
      <c r="I56" s="7"/>
      <c r="J56" s="17"/>
      <c r="K56" s="7"/>
      <c r="L56" s="7"/>
      <c r="M56" s="7"/>
      <c r="N56" s="7"/>
      <c r="O56" s="18"/>
      <c r="P56" s="7"/>
      <c r="Q56" s="18"/>
      <c r="R56" s="7"/>
      <c r="S56" s="7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5"/>
      <c r="AF56" s="18"/>
      <c r="AG56" s="4"/>
      <c r="AH56" s="17"/>
      <c r="AI56" s="19"/>
      <c r="AJ56" s="19"/>
      <c r="AK56" s="19"/>
      <c r="AL56" s="17"/>
      <c r="AM56" s="4"/>
      <c r="AN56" s="20"/>
      <c r="AO56" s="20"/>
      <c r="AP56" s="20"/>
      <c r="AQ56" s="7"/>
      <c r="AR56" s="7"/>
      <c r="AS56" s="7"/>
      <c r="AT56" s="4"/>
      <c r="AU56" s="4"/>
      <c r="AV56" s="4"/>
      <c r="AW56" s="4"/>
      <c r="AX56" s="21"/>
      <c r="AY56" s="7"/>
      <c r="AZ56" s="22"/>
      <c r="BA56" s="16"/>
      <c r="BB56" s="16"/>
      <c r="BC56" s="22"/>
      <c r="BD56" s="1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16"/>
      <c r="BS56" s="16"/>
    </row>
    <row r="57" spans="1:71" x14ac:dyDescent="0.25">
      <c r="A57" s="16"/>
      <c r="B57" s="4"/>
      <c r="C57" s="16"/>
      <c r="D57" s="7"/>
      <c r="E57" s="7"/>
      <c r="F57" s="7"/>
      <c r="G57" s="7"/>
      <c r="H57" s="4"/>
      <c r="I57" s="7"/>
      <c r="J57" s="17"/>
      <c r="K57" s="7"/>
      <c r="L57" s="7"/>
      <c r="M57" s="7"/>
      <c r="N57" s="7"/>
      <c r="O57" s="18"/>
      <c r="P57" s="7"/>
      <c r="Q57" s="18"/>
      <c r="R57" s="7"/>
      <c r="S57" s="7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5"/>
      <c r="AF57" s="18"/>
      <c r="AG57" s="4"/>
      <c r="AH57" s="17"/>
      <c r="AI57" s="19"/>
      <c r="AJ57" s="19"/>
      <c r="AK57" s="19"/>
      <c r="AL57" s="17"/>
      <c r="AM57" s="4"/>
      <c r="AN57" s="20"/>
      <c r="AO57" s="20"/>
      <c r="AP57" s="20"/>
      <c r="AQ57" s="7"/>
      <c r="AR57" s="7"/>
      <c r="AS57" s="7"/>
      <c r="AT57" s="4"/>
      <c r="AU57" s="4"/>
      <c r="AV57" s="4"/>
      <c r="AW57" s="4"/>
      <c r="AX57" s="21"/>
      <c r="AY57" s="7"/>
      <c r="AZ57" s="22"/>
      <c r="BA57" s="16"/>
      <c r="BB57" s="16"/>
      <c r="BC57" s="22"/>
      <c r="BD57" s="1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16"/>
      <c r="BS57" s="16"/>
    </row>
    <row r="58" spans="1:71" x14ac:dyDescent="0.25">
      <c r="A58" s="16"/>
      <c r="B58" s="4"/>
      <c r="C58" s="16"/>
      <c r="D58" s="7"/>
      <c r="E58" s="7"/>
      <c r="F58" s="7"/>
      <c r="G58" s="7"/>
      <c r="H58" s="4"/>
      <c r="I58" s="7"/>
      <c r="J58" s="17"/>
      <c r="K58" s="7"/>
      <c r="L58" s="7"/>
      <c r="M58" s="7"/>
      <c r="N58" s="7"/>
      <c r="O58" s="18"/>
      <c r="P58" s="7"/>
      <c r="Q58" s="18"/>
      <c r="R58" s="7"/>
      <c r="S58" s="7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5"/>
      <c r="AF58" s="18"/>
      <c r="AG58" s="4"/>
      <c r="AH58" s="17"/>
      <c r="AI58" s="19"/>
      <c r="AJ58" s="19"/>
      <c r="AK58" s="19"/>
      <c r="AL58" s="17"/>
      <c r="AM58" s="4"/>
      <c r="AN58" s="20"/>
      <c r="AO58" s="20"/>
      <c r="AP58" s="20"/>
      <c r="AQ58" s="7"/>
      <c r="AR58" s="7"/>
      <c r="AS58" s="7"/>
      <c r="AT58" s="4"/>
      <c r="AU58" s="4"/>
      <c r="AV58" s="4"/>
      <c r="AW58" s="4"/>
      <c r="AX58" s="21"/>
      <c r="AY58" s="7"/>
      <c r="AZ58" s="22"/>
      <c r="BA58" s="16"/>
      <c r="BB58" s="16"/>
      <c r="BC58" s="22"/>
      <c r="BD58" s="1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16"/>
      <c r="BS58" s="16"/>
    </row>
    <row r="59" spans="1:71" x14ac:dyDescent="0.25">
      <c r="A59" s="16"/>
      <c r="B59" s="4"/>
      <c r="C59" s="16"/>
      <c r="D59" s="7"/>
      <c r="E59" s="7"/>
      <c r="F59" s="7"/>
      <c r="G59" s="7"/>
      <c r="H59" s="4"/>
      <c r="I59" s="7"/>
      <c r="J59" s="17"/>
      <c r="K59" s="7"/>
      <c r="L59" s="7"/>
      <c r="M59" s="7"/>
      <c r="N59" s="7"/>
      <c r="O59" s="18"/>
      <c r="P59" s="7"/>
      <c r="Q59" s="18"/>
      <c r="R59" s="7"/>
      <c r="S59" s="7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5"/>
      <c r="AF59" s="18"/>
      <c r="AG59" s="4"/>
      <c r="AH59" s="17"/>
      <c r="AI59" s="19"/>
      <c r="AJ59" s="19"/>
      <c r="AK59" s="19"/>
      <c r="AL59" s="17"/>
      <c r="AM59" s="4"/>
      <c r="AN59" s="20"/>
      <c r="AO59" s="20"/>
      <c r="AP59" s="20"/>
      <c r="AQ59" s="7"/>
      <c r="AR59" s="7"/>
      <c r="AS59" s="7"/>
      <c r="AT59" s="4"/>
      <c r="AU59" s="4"/>
      <c r="AV59" s="4"/>
      <c r="AW59" s="4"/>
      <c r="AX59" s="21"/>
      <c r="AY59" s="7"/>
      <c r="AZ59" s="22"/>
      <c r="BA59" s="16"/>
      <c r="BB59" s="16"/>
      <c r="BC59" s="22"/>
      <c r="BD59" s="1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16"/>
      <c r="BS59" s="16"/>
    </row>
    <row r="60" spans="1:71" x14ac:dyDescent="0.25">
      <c r="A60" s="16"/>
      <c r="B60" s="4"/>
      <c r="C60" s="16"/>
      <c r="D60" s="7"/>
      <c r="E60" s="7"/>
      <c r="F60" s="7"/>
      <c r="G60" s="7"/>
      <c r="H60" s="4"/>
      <c r="I60" s="7"/>
      <c r="J60" s="17"/>
      <c r="K60" s="7"/>
      <c r="L60" s="7"/>
      <c r="M60" s="7"/>
      <c r="N60" s="7"/>
      <c r="O60" s="18"/>
      <c r="P60" s="7"/>
      <c r="Q60" s="18"/>
      <c r="R60" s="7"/>
      <c r="S60" s="7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5"/>
      <c r="AF60" s="18"/>
      <c r="AG60" s="4"/>
      <c r="AH60" s="17"/>
      <c r="AI60" s="19"/>
      <c r="AJ60" s="19"/>
      <c r="AK60" s="19"/>
      <c r="AL60" s="17"/>
      <c r="AM60" s="4"/>
      <c r="AN60" s="20"/>
      <c r="AO60" s="20"/>
      <c r="AP60" s="20"/>
      <c r="AQ60" s="7"/>
      <c r="AR60" s="7"/>
      <c r="AS60" s="7"/>
      <c r="AT60" s="4"/>
      <c r="AU60" s="4"/>
      <c r="AV60" s="4"/>
      <c r="AW60" s="4"/>
      <c r="AX60" s="21"/>
      <c r="AY60" s="7"/>
      <c r="AZ60" s="22"/>
      <c r="BA60" s="16"/>
      <c r="BB60" s="16"/>
      <c r="BC60" s="22"/>
      <c r="BD60" s="1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16"/>
      <c r="BS60" s="16"/>
    </row>
    <row r="61" spans="1:71" x14ac:dyDescent="0.25">
      <c r="A61" s="16"/>
      <c r="B61" s="4"/>
      <c r="C61" s="16"/>
      <c r="D61" s="7"/>
      <c r="E61" s="7"/>
      <c r="F61" s="7"/>
      <c r="G61" s="7"/>
      <c r="H61" s="4"/>
      <c r="I61" s="7"/>
      <c r="J61" s="17"/>
      <c r="K61" s="7"/>
      <c r="L61" s="7"/>
      <c r="M61" s="7"/>
      <c r="N61" s="7"/>
      <c r="O61" s="18"/>
      <c r="P61" s="7"/>
      <c r="Q61" s="18"/>
      <c r="R61" s="7"/>
      <c r="S61" s="7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5"/>
      <c r="AF61" s="18"/>
      <c r="AG61" s="4"/>
      <c r="AH61" s="17"/>
      <c r="AI61" s="19"/>
      <c r="AJ61" s="19"/>
      <c r="AK61" s="19"/>
      <c r="AL61" s="17"/>
      <c r="AM61" s="4"/>
      <c r="AN61" s="20"/>
      <c r="AO61" s="20"/>
      <c r="AP61" s="20"/>
      <c r="AQ61" s="7"/>
      <c r="AR61" s="7"/>
      <c r="AS61" s="7"/>
      <c r="AT61" s="4"/>
      <c r="AU61" s="4"/>
      <c r="AV61" s="4"/>
      <c r="AW61" s="4"/>
      <c r="AX61" s="21"/>
      <c r="AY61" s="7"/>
      <c r="AZ61" s="22"/>
      <c r="BA61" s="16"/>
      <c r="BB61" s="16"/>
      <c r="BC61" s="22"/>
      <c r="BD61" s="1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16"/>
      <c r="BS61" s="16"/>
    </row>
    <row r="62" spans="1:71" x14ac:dyDescent="0.25">
      <c r="A62" s="16"/>
      <c r="B62" s="4"/>
      <c r="C62" s="16"/>
      <c r="D62" s="7"/>
      <c r="E62" s="7"/>
      <c r="F62" s="7"/>
      <c r="G62" s="7"/>
      <c r="H62" s="4"/>
      <c r="I62" s="7"/>
      <c r="J62" s="17"/>
      <c r="K62" s="7"/>
      <c r="L62" s="7"/>
      <c r="M62" s="7"/>
      <c r="N62" s="7"/>
      <c r="O62" s="18"/>
      <c r="P62" s="7"/>
      <c r="Q62" s="18"/>
      <c r="R62" s="7"/>
      <c r="S62" s="7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5"/>
      <c r="AF62" s="18"/>
      <c r="AG62" s="4"/>
      <c r="AH62" s="17"/>
      <c r="AI62" s="19"/>
      <c r="AJ62" s="19"/>
      <c r="AK62" s="19"/>
      <c r="AL62" s="17"/>
      <c r="AM62" s="4"/>
      <c r="AN62" s="20"/>
      <c r="AO62" s="20"/>
      <c r="AP62" s="20"/>
      <c r="AQ62" s="7"/>
      <c r="AR62" s="7"/>
      <c r="AS62" s="7"/>
      <c r="AT62" s="4"/>
      <c r="AU62" s="4"/>
      <c r="AV62" s="4"/>
      <c r="AW62" s="4"/>
      <c r="AX62" s="21"/>
      <c r="AY62" s="7"/>
      <c r="AZ62" s="22"/>
      <c r="BA62" s="16"/>
      <c r="BB62" s="16"/>
      <c r="BC62" s="22"/>
      <c r="BD62" s="1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16"/>
      <c r="BS62" s="16"/>
    </row>
    <row r="63" spans="1:71" x14ac:dyDescent="0.25">
      <c r="A63" s="16"/>
      <c r="B63" s="4"/>
      <c r="C63" s="16"/>
      <c r="D63" s="7"/>
      <c r="E63" s="7"/>
      <c r="F63" s="7"/>
      <c r="G63" s="7"/>
      <c r="H63" s="4"/>
      <c r="I63" s="7"/>
      <c r="J63" s="17"/>
      <c r="K63" s="7"/>
      <c r="L63" s="7"/>
      <c r="M63" s="7"/>
      <c r="N63" s="7"/>
      <c r="O63" s="18"/>
      <c r="P63" s="7"/>
      <c r="Q63" s="18"/>
      <c r="R63" s="7"/>
      <c r="S63" s="7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5"/>
      <c r="AF63" s="18"/>
      <c r="AG63" s="4"/>
      <c r="AH63" s="17"/>
      <c r="AI63" s="19"/>
      <c r="AJ63" s="19"/>
      <c r="AK63" s="19"/>
      <c r="AL63" s="17"/>
      <c r="AM63" s="4"/>
      <c r="AN63" s="20"/>
      <c r="AO63" s="20"/>
      <c r="AP63" s="20"/>
      <c r="AQ63" s="7"/>
      <c r="AR63" s="7"/>
      <c r="AS63" s="7"/>
      <c r="AT63" s="4"/>
      <c r="AU63" s="4"/>
      <c r="AV63" s="4"/>
      <c r="AW63" s="4"/>
      <c r="AX63" s="21"/>
      <c r="AY63" s="7"/>
      <c r="AZ63" s="22"/>
      <c r="BA63" s="16"/>
      <c r="BB63" s="16"/>
      <c r="BC63" s="22"/>
      <c r="BD63" s="1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16"/>
      <c r="BS63" s="16"/>
    </row>
    <row r="64" spans="1:71" x14ac:dyDescent="0.25">
      <c r="A64" s="16"/>
      <c r="B64" s="4"/>
      <c r="C64" s="16"/>
      <c r="D64" s="7"/>
      <c r="E64" s="7"/>
      <c r="F64" s="7"/>
      <c r="G64" s="7"/>
      <c r="H64" s="4"/>
      <c r="I64" s="7"/>
      <c r="J64" s="17"/>
      <c r="K64" s="7"/>
      <c r="L64" s="7"/>
      <c r="M64" s="7"/>
      <c r="N64" s="7"/>
      <c r="O64" s="18"/>
      <c r="P64" s="7"/>
      <c r="Q64" s="18"/>
      <c r="R64" s="7"/>
      <c r="S64" s="7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5"/>
      <c r="AF64" s="18"/>
      <c r="AG64" s="4"/>
      <c r="AH64" s="17"/>
      <c r="AI64" s="19"/>
      <c r="AJ64" s="19"/>
      <c r="AK64" s="19"/>
      <c r="AL64" s="17"/>
      <c r="AM64" s="4"/>
      <c r="AN64" s="20"/>
      <c r="AO64" s="20"/>
      <c r="AP64" s="20"/>
      <c r="AQ64" s="7"/>
      <c r="AR64" s="7"/>
      <c r="AS64" s="7"/>
      <c r="AT64" s="4"/>
      <c r="AU64" s="4"/>
      <c r="AV64" s="4"/>
      <c r="AW64" s="4"/>
      <c r="AX64" s="21"/>
      <c r="AY64" s="7"/>
      <c r="AZ64" s="22"/>
      <c r="BA64" s="16"/>
      <c r="BB64" s="16"/>
      <c r="BC64" s="22"/>
      <c r="BD64" s="1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16"/>
      <c r="BS64" s="16"/>
    </row>
    <row r="65" spans="1:71" x14ac:dyDescent="0.25">
      <c r="A65" s="16"/>
      <c r="B65" s="4"/>
      <c r="C65" s="16"/>
      <c r="D65" s="7"/>
      <c r="E65" s="7"/>
      <c r="F65" s="7"/>
      <c r="G65" s="7"/>
      <c r="H65" s="4"/>
      <c r="I65" s="7"/>
      <c r="J65" s="17"/>
      <c r="K65" s="7"/>
      <c r="L65" s="7"/>
      <c r="M65" s="7"/>
      <c r="N65" s="7"/>
      <c r="O65" s="18"/>
      <c r="P65" s="7"/>
      <c r="Q65" s="18"/>
      <c r="R65" s="7"/>
      <c r="S65" s="7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5"/>
      <c r="AF65" s="18"/>
      <c r="AG65" s="4"/>
      <c r="AH65" s="17"/>
      <c r="AI65" s="19"/>
      <c r="AJ65" s="19"/>
      <c r="AK65" s="19"/>
      <c r="AL65" s="17"/>
      <c r="AM65" s="4"/>
      <c r="AN65" s="20"/>
      <c r="AO65" s="20"/>
      <c r="AP65" s="20"/>
      <c r="AQ65" s="7"/>
      <c r="AR65" s="7"/>
      <c r="AS65" s="7"/>
      <c r="AT65" s="4"/>
      <c r="AU65" s="4"/>
      <c r="AV65" s="4"/>
      <c r="AW65" s="4"/>
      <c r="AX65" s="21"/>
      <c r="AY65" s="7"/>
      <c r="AZ65" s="22"/>
      <c r="BA65" s="16"/>
      <c r="BB65" s="16"/>
      <c r="BC65" s="22"/>
      <c r="BD65" s="1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16"/>
      <c r="BS65" s="16"/>
    </row>
    <row r="66" spans="1:71" x14ac:dyDescent="0.25">
      <c r="A66" s="16"/>
      <c r="B66" s="4"/>
      <c r="C66" s="16"/>
      <c r="D66" s="7"/>
      <c r="E66" s="7"/>
      <c r="F66" s="7"/>
      <c r="G66" s="7"/>
      <c r="H66" s="4"/>
      <c r="I66" s="7"/>
      <c r="J66" s="17"/>
      <c r="K66" s="7"/>
      <c r="L66" s="7"/>
      <c r="M66" s="7"/>
      <c r="N66" s="7"/>
      <c r="O66" s="18"/>
      <c r="P66" s="7"/>
      <c r="Q66" s="18"/>
      <c r="R66" s="7"/>
      <c r="S66" s="7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5"/>
      <c r="AF66" s="18"/>
      <c r="AG66" s="4"/>
      <c r="AH66" s="17"/>
      <c r="AI66" s="19"/>
      <c r="AJ66" s="19"/>
      <c r="AK66" s="19"/>
      <c r="AL66" s="17"/>
      <c r="AM66" s="4"/>
      <c r="AN66" s="20"/>
      <c r="AO66" s="20"/>
      <c r="AP66" s="20"/>
      <c r="AQ66" s="7"/>
      <c r="AR66" s="7"/>
      <c r="AS66" s="7"/>
      <c r="AT66" s="4"/>
      <c r="AU66" s="4"/>
      <c r="AV66" s="4"/>
      <c r="AW66" s="4"/>
      <c r="AX66" s="21"/>
      <c r="AY66" s="7"/>
      <c r="AZ66" s="22"/>
      <c r="BA66" s="16"/>
      <c r="BB66" s="16"/>
      <c r="BC66" s="22"/>
      <c r="BD66" s="1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16"/>
      <c r="BS66" s="16"/>
    </row>
    <row r="67" spans="1:71" x14ac:dyDescent="0.25">
      <c r="A67" s="16"/>
      <c r="B67" s="4"/>
      <c r="C67" s="16"/>
      <c r="D67" s="7"/>
      <c r="E67" s="7"/>
      <c r="F67" s="7"/>
      <c r="G67" s="7"/>
      <c r="H67" s="4"/>
      <c r="I67" s="7"/>
      <c r="J67" s="17"/>
      <c r="K67" s="7"/>
      <c r="L67" s="7"/>
      <c r="M67" s="7"/>
      <c r="N67" s="7"/>
      <c r="O67" s="18"/>
      <c r="P67" s="7"/>
      <c r="Q67" s="18"/>
      <c r="R67" s="7"/>
      <c r="S67" s="7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5"/>
      <c r="AF67" s="18"/>
      <c r="AG67" s="4"/>
      <c r="AH67" s="17"/>
      <c r="AI67" s="19"/>
      <c r="AJ67" s="19"/>
      <c r="AK67" s="19"/>
      <c r="AL67" s="17"/>
      <c r="AM67" s="4"/>
      <c r="AN67" s="20"/>
      <c r="AO67" s="20"/>
      <c r="AP67" s="20"/>
      <c r="AQ67" s="7"/>
      <c r="AR67" s="7"/>
      <c r="AS67" s="7"/>
      <c r="AT67" s="4"/>
      <c r="AU67" s="4"/>
      <c r="AV67" s="4"/>
      <c r="AW67" s="4"/>
      <c r="AX67" s="21"/>
      <c r="AY67" s="7"/>
      <c r="AZ67" s="22"/>
      <c r="BA67" s="16"/>
      <c r="BB67" s="16"/>
      <c r="BC67" s="22"/>
      <c r="BD67" s="1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16"/>
      <c r="BS67" s="16"/>
    </row>
    <row r="68" spans="1:71" x14ac:dyDescent="0.25">
      <c r="A68" s="16"/>
      <c r="B68" s="4"/>
      <c r="C68" s="16"/>
      <c r="D68" s="7"/>
      <c r="E68" s="7"/>
      <c r="F68" s="7"/>
      <c r="G68" s="7"/>
      <c r="H68" s="4"/>
      <c r="I68" s="7"/>
      <c r="J68" s="17"/>
      <c r="K68" s="7"/>
      <c r="L68" s="7"/>
      <c r="M68" s="7"/>
      <c r="N68" s="7"/>
      <c r="O68" s="18"/>
      <c r="P68" s="7"/>
      <c r="Q68" s="18"/>
      <c r="R68" s="7"/>
      <c r="S68" s="7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5"/>
      <c r="AF68" s="18"/>
      <c r="AG68" s="4"/>
      <c r="AH68" s="17"/>
      <c r="AI68" s="19"/>
      <c r="AJ68" s="19"/>
      <c r="AK68" s="19"/>
      <c r="AL68" s="17"/>
      <c r="AM68" s="4"/>
      <c r="AN68" s="20"/>
      <c r="AO68" s="20"/>
      <c r="AP68" s="20"/>
      <c r="AQ68" s="7"/>
      <c r="AR68" s="7"/>
      <c r="AS68" s="7"/>
      <c r="AT68" s="4"/>
      <c r="AU68" s="4"/>
      <c r="AV68" s="4"/>
      <c r="AW68" s="4"/>
      <c r="AX68" s="21"/>
      <c r="AY68" s="7"/>
      <c r="AZ68" s="22"/>
      <c r="BA68" s="16"/>
      <c r="BB68" s="16"/>
      <c r="BC68" s="22"/>
      <c r="BD68" s="1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16"/>
      <c r="BS68" s="16"/>
    </row>
    <row r="69" spans="1:71" x14ac:dyDescent="0.25">
      <c r="A69" s="16"/>
      <c r="B69" s="4"/>
      <c r="C69" s="16"/>
      <c r="D69" s="7"/>
      <c r="E69" s="7"/>
      <c r="F69" s="7"/>
      <c r="G69" s="7"/>
      <c r="H69" s="4"/>
      <c r="I69" s="7"/>
      <c r="J69" s="17"/>
      <c r="K69" s="7"/>
      <c r="L69" s="7"/>
      <c r="M69" s="7"/>
      <c r="N69" s="7"/>
      <c r="O69" s="18"/>
      <c r="P69" s="7"/>
      <c r="Q69" s="18"/>
      <c r="R69" s="7"/>
      <c r="S69" s="7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5"/>
      <c r="AF69" s="18"/>
      <c r="AG69" s="4"/>
      <c r="AH69" s="17"/>
      <c r="AI69" s="19"/>
      <c r="AJ69" s="19"/>
      <c r="AK69" s="19"/>
      <c r="AL69" s="17"/>
      <c r="AM69" s="4"/>
      <c r="AN69" s="20"/>
      <c r="AO69" s="20"/>
      <c r="AP69" s="20"/>
      <c r="AQ69" s="7"/>
      <c r="AR69" s="7"/>
      <c r="AS69" s="7"/>
      <c r="AT69" s="4"/>
      <c r="AU69" s="4"/>
      <c r="AV69" s="4"/>
      <c r="AW69" s="4"/>
      <c r="AX69" s="21"/>
      <c r="AY69" s="7"/>
      <c r="AZ69" s="22"/>
      <c r="BA69" s="16"/>
      <c r="BB69" s="16"/>
      <c r="BC69" s="22"/>
      <c r="BD69" s="1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16"/>
      <c r="BS69" s="16"/>
    </row>
    <row r="70" spans="1:71" x14ac:dyDescent="0.25">
      <c r="A70" s="16"/>
      <c r="B70" s="4"/>
      <c r="C70" s="16"/>
      <c r="D70" s="7"/>
      <c r="E70" s="7"/>
      <c r="F70" s="7"/>
      <c r="G70" s="7"/>
      <c r="H70" s="4"/>
      <c r="I70" s="7"/>
      <c r="J70" s="17"/>
      <c r="K70" s="7"/>
      <c r="L70" s="7"/>
      <c r="M70" s="7"/>
      <c r="N70" s="7"/>
      <c r="O70" s="18"/>
      <c r="P70" s="7"/>
      <c r="Q70" s="18"/>
      <c r="R70" s="7"/>
      <c r="S70" s="7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5"/>
      <c r="AF70" s="18"/>
      <c r="AG70" s="4"/>
      <c r="AH70" s="17"/>
      <c r="AI70" s="19"/>
      <c r="AJ70" s="19"/>
      <c r="AK70" s="19"/>
      <c r="AL70" s="17"/>
      <c r="AM70" s="4"/>
      <c r="AN70" s="20"/>
      <c r="AO70" s="20"/>
      <c r="AP70" s="20"/>
      <c r="AQ70" s="7"/>
      <c r="AR70" s="7"/>
      <c r="AS70" s="7"/>
      <c r="AT70" s="4"/>
      <c r="AU70" s="4"/>
      <c r="AV70" s="4"/>
      <c r="AW70" s="4"/>
      <c r="AX70" s="21"/>
      <c r="AY70" s="7"/>
      <c r="AZ70" s="22"/>
      <c r="BA70" s="16"/>
      <c r="BB70" s="16"/>
      <c r="BC70" s="22"/>
      <c r="BD70" s="1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16"/>
      <c r="BS70" s="16"/>
    </row>
    <row r="71" spans="1:71" x14ac:dyDescent="0.25">
      <c r="A71" s="16"/>
      <c r="B71" s="4"/>
      <c r="C71" s="16"/>
      <c r="D71" s="7"/>
      <c r="E71" s="7"/>
      <c r="F71" s="7"/>
      <c r="G71" s="7"/>
      <c r="H71" s="4"/>
      <c r="I71" s="7"/>
      <c r="J71" s="17"/>
      <c r="K71" s="7"/>
      <c r="L71" s="7"/>
      <c r="M71" s="7"/>
      <c r="N71" s="7"/>
      <c r="O71" s="18"/>
      <c r="P71" s="7"/>
      <c r="Q71" s="18"/>
      <c r="R71" s="7"/>
      <c r="S71" s="7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5"/>
      <c r="AF71" s="18"/>
      <c r="AG71" s="4"/>
      <c r="AH71" s="17"/>
      <c r="AI71" s="19"/>
      <c r="AJ71" s="19"/>
      <c r="AK71" s="19"/>
      <c r="AL71" s="17"/>
      <c r="AM71" s="4"/>
      <c r="AN71" s="20"/>
      <c r="AO71" s="20"/>
      <c r="AP71" s="20"/>
      <c r="AQ71" s="7"/>
      <c r="AR71" s="7"/>
      <c r="AS71" s="7"/>
      <c r="AT71" s="4"/>
      <c r="AU71" s="4"/>
      <c r="AV71" s="4"/>
      <c r="AW71" s="4"/>
      <c r="AX71" s="21"/>
      <c r="AY71" s="7"/>
      <c r="AZ71" s="22"/>
      <c r="BA71" s="16"/>
      <c r="BB71" s="16"/>
      <c r="BC71" s="22"/>
      <c r="BD71" s="1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16"/>
      <c r="BS71" s="16"/>
    </row>
    <row r="72" spans="1:71" x14ac:dyDescent="0.25">
      <c r="A72" s="16"/>
      <c r="B72" s="4"/>
      <c r="C72" s="16"/>
      <c r="D72" s="7"/>
      <c r="E72" s="7"/>
      <c r="F72" s="7"/>
      <c r="G72" s="7"/>
      <c r="H72" s="4"/>
      <c r="I72" s="7"/>
      <c r="J72" s="17"/>
      <c r="K72" s="7"/>
      <c r="L72" s="7"/>
      <c r="M72" s="7"/>
      <c r="N72" s="7"/>
      <c r="O72" s="18"/>
      <c r="P72" s="7"/>
      <c r="Q72" s="18"/>
      <c r="R72" s="7"/>
      <c r="S72" s="7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5"/>
      <c r="AF72" s="18"/>
      <c r="AG72" s="4"/>
      <c r="AH72" s="17"/>
      <c r="AI72" s="19"/>
      <c r="AJ72" s="19"/>
      <c r="AK72" s="19"/>
      <c r="AL72" s="17"/>
      <c r="AM72" s="4"/>
      <c r="AN72" s="20"/>
      <c r="AO72" s="20"/>
      <c r="AP72" s="20"/>
      <c r="AQ72" s="7"/>
      <c r="AR72" s="7"/>
      <c r="AS72" s="7"/>
      <c r="AT72" s="4"/>
      <c r="AU72" s="4"/>
      <c r="AV72" s="4"/>
      <c r="AW72" s="4"/>
      <c r="AX72" s="21"/>
      <c r="AY72" s="7"/>
      <c r="AZ72" s="22"/>
      <c r="BA72" s="16"/>
      <c r="BB72" s="16"/>
      <c r="BC72" s="22"/>
      <c r="BD72" s="1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16"/>
      <c r="BS72" s="16"/>
    </row>
    <row r="73" spans="1:71" x14ac:dyDescent="0.25">
      <c r="A73" s="16"/>
      <c r="B73" s="4"/>
      <c r="C73" s="16"/>
      <c r="D73" s="7"/>
      <c r="E73" s="7"/>
      <c r="F73" s="7"/>
      <c r="G73" s="7"/>
      <c r="H73" s="4"/>
      <c r="I73" s="7"/>
      <c r="J73" s="17"/>
      <c r="K73" s="7"/>
      <c r="L73" s="7"/>
      <c r="M73" s="7"/>
      <c r="N73" s="7"/>
      <c r="O73" s="18"/>
      <c r="P73" s="7"/>
      <c r="Q73" s="18"/>
      <c r="R73" s="7"/>
      <c r="S73" s="7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5"/>
      <c r="AF73" s="18"/>
      <c r="AG73" s="4"/>
      <c r="AH73" s="17"/>
      <c r="AI73" s="19"/>
      <c r="AJ73" s="19"/>
      <c r="AK73" s="19"/>
      <c r="AL73" s="17"/>
      <c r="AM73" s="4"/>
      <c r="AN73" s="20"/>
      <c r="AO73" s="20"/>
      <c r="AP73" s="20"/>
      <c r="AQ73" s="7"/>
      <c r="AR73" s="7"/>
      <c r="AS73" s="7"/>
      <c r="AT73" s="4"/>
      <c r="AU73" s="4"/>
      <c r="AV73" s="4"/>
      <c r="AW73" s="4"/>
      <c r="AX73" s="21"/>
      <c r="AY73" s="7"/>
      <c r="AZ73" s="22"/>
      <c r="BA73" s="16"/>
      <c r="BB73" s="16"/>
      <c r="BC73" s="22"/>
      <c r="BD73" s="1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16"/>
      <c r="BS73" s="16"/>
    </row>
    <row r="74" spans="1:71" x14ac:dyDescent="0.25">
      <c r="A74" s="16"/>
      <c r="B74" s="4"/>
      <c r="C74" s="16"/>
      <c r="D74" s="7"/>
      <c r="E74" s="7"/>
      <c r="F74" s="7"/>
      <c r="G74" s="7"/>
      <c r="H74" s="4"/>
      <c r="I74" s="7"/>
      <c r="J74" s="17"/>
      <c r="K74" s="7"/>
      <c r="L74" s="7"/>
      <c r="M74" s="7"/>
      <c r="N74" s="7"/>
      <c r="O74" s="18"/>
      <c r="P74" s="7"/>
      <c r="Q74" s="18"/>
      <c r="R74" s="7"/>
      <c r="S74" s="7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5"/>
      <c r="AF74" s="18"/>
      <c r="AG74" s="4"/>
      <c r="AH74" s="17"/>
      <c r="AI74" s="19"/>
      <c r="AJ74" s="19"/>
      <c r="AK74" s="19"/>
      <c r="AL74" s="17"/>
      <c r="AM74" s="4"/>
      <c r="AN74" s="20"/>
      <c r="AO74" s="20"/>
      <c r="AP74" s="20"/>
      <c r="AQ74" s="7"/>
      <c r="AR74" s="7"/>
      <c r="AS74" s="7"/>
      <c r="AT74" s="4"/>
      <c r="AU74" s="4"/>
      <c r="AV74" s="4"/>
      <c r="AW74" s="4"/>
      <c r="AX74" s="21"/>
      <c r="AY74" s="7"/>
      <c r="AZ74" s="22"/>
      <c r="BA74" s="16"/>
      <c r="BB74" s="16"/>
      <c r="BC74" s="22"/>
      <c r="BD74" s="1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16"/>
      <c r="BS74" s="16"/>
    </row>
    <row r="75" spans="1:71" x14ac:dyDescent="0.25">
      <c r="A75" s="16"/>
      <c r="B75" s="4"/>
      <c r="C75" s="16"/>
      <c r="D75" s="7"/>
      <c r="E75" s="7"/>
      <c r="F75" s="7"/>
      <c r="G75" s="7"/>
      <c r="H75" s="4"/>
      <c r="I75" s="7"/>
      <c r="J75" s="17"/>
      <c r="K75" s="7"/>
      <c r="L75" s="7"/>
      <c r="M75" s="7"/>
      <c r="N75" s="7"/>
      <c r="O75" s="18"/>
      <c r="P75" s="7"/>
      <c r="Q75" s="18"/>
      <c r="R75" s="7"/>
      <c r="S75" s="7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5"/>
      <c r="AF75" s="18"/>
      <c r="AG75" s="4"/>
      <c r="AH75" s="17"/>
      <c r="AI75" s="19"/>
      <c r="AJ75" s="19"/>
      <c r="AK75" s="19"/>
      <c r="AL75" s="17"/>
      <c r="AM75" s="4"/>
      <c r="AN75" s="20"/>
      <c r="AO75" s="20"/>
      <c r="AP75" s="20"/>
      <c r="AQ75" s="7"/>
      <c r="AR75" s="7"/>
      <c r="AS75" s="7"/>
      <c r="AT75" s="4"/>
      <c r="AU75" s="4"/>
      <c r="AV75" s="4"/>
      <c r="AW75" s="4"/>
      <c r="AX75" s="21"/>
      <c r="AY75" s="7"/>
      <c r="AZ75" s="22"/>
      <c r="BA75" s="16"/>
      <c r="BB75" s="16"/>
      <c r="BC75" s="22"/>
      <c r="BD75" s="1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16"/>
      <c r="BS75" s="16"/>
    </row>
    <row r="76" spans="1:71" x14ac:dyDescent="0.25">
      <c r="A76" s="16"/>
      <c r="B76" s="4"/>
      <c r="C76" s="16"/>
      <c r="D76" s="7"/>
      <c r="E76" s="7"/>
      <c r="F76" s="7"/>
      <c r="G76" s="7"/>
      <c r="H76" s="4"/>
      <c r="I76" s="7"/>
      <c r="J76" s="17"/>
      <c r="K76" s="7"/>
      <c r="L76" s="7"/>
      <c r="M76" s="7"/>
      <c r="N76" s="7"/>
      <c r="O76" s="18"/>
      <c r="P76" s="7"/>
      <c r="Q76" s="18"/>
      <c r="R76" s="7"/>
      <c r="S76" s="7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5"/>
      <c r="AF76" s="18"/>
      <c r="AG76" s="4"/>
      <c r="AH76" s="17"/>
      <c r="AI76" s="19"/>
      <c r="AJ76" s="19"/>
      <c r="AK76" s="19"/>
      <c r="AL76" s="17"/>
      <c r="AM76" s="4"/>
      <c r="AN76" s="20"/>
      <c r="AO76" s="20"/>
      <c r="AP76" s="20"/>
      <c r="AQ76" s="7"/>
      <c r="AR76" s="7"/>
      <c r="AS76" s="7"/>
      <c r="AT76" s="4"/>
      <c r="AU76" s="4"/>
      <c r="AV76" s="4"/>
      <c r="AW76" s="4"/>
      <c r="AX76" s="21"/>
      <c r="AY76" s="7"/>
      <c r="AZ76" s="22"/>
      <c r="BA76" s="16"/>
      <c r="BB76" s="16"/>
      <c r="BC76" s="22"/>
      <c r="BD76" s="1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16"/>
      <c r="BS76" s="16"/>
    </row>
    <row r="77" spans="1:71" x14ac:dyDescent="0.25">
      <c r="A77" s="16"/>
      <c r="B77" s="4"/>
      <c r="C77" s="16"/>
      <c r="D77" s="7"/>
      <c r="E77" s="7"/>
      <c r="F77" s="7"/>
      <c r="G77" s="7"/>
      <c r="H77" s="4"/>
      <c r="I77" s="7"/>
      <c r="J77" s="17"/>
      <c r="K77" s="7"/>
      <c r="L77" s="7"/>
      <c r="M77" s="7"/>
      <c r="N77" s="7"/>
      <c r="O77" s="18"/>
      <c r="P77" s="7"/>
      <c r="Q77" s="18"/>
      <c r="R77" s="7"/>
      <c r="S77" s="7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5"/>
      <c r="AF77" s="18"/>
      <c r="AG77" s="4"/>
      <c r="AH77" s="17"/>
      <c r="AI77" s="19"/>
      <c r="AJ77" s="19"/>
      <c r="AK77" s="19"/>
      <c r="AL77" s="17"/>
      <c r="AM77" s="4"/>
      <c r="AN77" s="20"/>
      <c r="AO77" s="20"/>
      <c r="AP77" s="20"/>
      <c r="AQ77" s="7"/>
      <c r="AR77" s="7"/>
      <c r="AS77" s="7"/>
      <c r="AT77" s="4"/>
      <c r="AU77" s="4"/>
      <c r="AV77" s="4"/>
      <c r="AW77" s="4"/>
      <c r="AX77" s="21"/>
      <c r="AY77" s="7"/>
      <c r="AZ77" s="22"/>
      <c r="BA77" s="16"/>
      <c r="BB77" s="16"/>
      <c r="BC77" s="22"/>
      <c r="BD77" s="1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16"/>
      <c r="BS77" s="16"/>
    </row>
    <row r="78" spans="1:71" x14ac:dyDescent="0.25">
      <c r="A78" s="16"/>
      <c r="B78" s="4"/>
      <c r="C78" s="16"/>
      <c r="D78" s="7"/>
      <c r="E78" s="7"/>
      <c r="F78" s="7"/>
      <c r="G78" s="7"/>
      <c r="H78" s="4"/>
      <c r="I78" s="7"/>
      <c r="J78" s="17"/>
      <c r="K78" s="7"/>
      <c r="L78" s="7"/>
      <c r="M78" s="7"/>
      <c r="N78" s="7"/>
      <c r="O78" s="18"/>
      <c r="P78" s="7"/>
      <c r="Q78" s="18"/>
      <c r="R78" s="7"/>
      <c r="S78" s="7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5"/>
      <c r="AF78" s="18"/>
      <c r="AG78" s="4"/>
      <c r="AH78" s="17"/>
      <c r="AI78" s="19"/>
      <c r="AJ78" s="19"/>
      <c r="AK78" s="19"/>
      <c r="AL78" s="17"/>
      <c r="AM78" s="4"/>
      <c r="AN78" s="20"/>
      <c r="AO78" s="20"/>
      <c r="AP78" s="20"/>
      <c r="AQ78" s="7"/>
      <c r="AR78" s="7"/>
      <c r="AS78" s="7"/>
      <c r="AT78" s="4"/>
      <c r="AU78" s="4"/>
      <c r="AV78" s="4"/>
      <c r="AW78" s="4"/>
      <c r="AX78" s="21"/>
      <c r="AY78" s="7"/>
      <c r="AZ78" s="22"/>
      <c r="BA78" s="16"/>
      <c r="BB78" s="16"/>
      <c r="BC78" s="22"/>
      <c r="BD78" s="1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16"/>
      <c r="BS78" s="16"/>
    </row>
    <row r="79" spans="1:71" x14ac:dyDescent="0.25">
      <c r="A79" s="16"/>
      <c r="B79" s="4"/>
      <c r="C79" s="16"/>
      <c r="D79" s="7"/>
      <c r="E79" s="7"/>
      <c r="F79" s="7"/>
      <c r="G79" s="7"/>
      <c r="H79" s="4"/>
      <c r="I79" s="7"/>
      <c r="J79" s="17"/>
      <c r="K79" s="7"/>
      <c r="L79" s="7"/>
      <c r="M79" s="7"/>
      <c r="N79" s="7"/>
      <c r="O79" s="18"/>
      <c r="P79" s="7"/>
      <c r="Q79" s="18"/>
      <c r="R79" s="7"/>
      <c r="S79" s="7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5"/>
      <c r="AF79" s="18"/>
      <c r="AG79" s="4"/>
      <c r="AH79" s="17"/>
      <c r="AI79" s="19"/>
      <c r="AJ79" s="19"/>
      <c r="AK79" s="19"/>
      <c r="AL79" s="17"/>
      <c r="AM79" s="4"/>
      <c r="AN79" s="20"/>
      <c r="AO79" s="20"/>
      <c r="AP79" s="20"/>
      <c r="AQ79" s="7"/>
      <c r="AR79" s="7"/>
      <c r="AS79" s="7"/>
      <c r="AT79" s="4"/>
      <c r="AU79" s="4"/>
      <c r="AV79" s="4"/>
      <c r="AW79" s="4"/>
      <c r="AX79" s="21"/>
      <c r="AY79" s="7"/>
      <c r="AZ79" s="22"/>
      <c r="BA79" s="16"/>
      <c r="BB79" s="16"/>
      <c r="BC79" s="22"/>
      <c r="BD79" s="1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16"/>
      <c r="BS79" s="16"/>
    </row>
    <row r="80" spans="1:71" x14ac:dyDescent="0.25">
      <c r="A80" s="16"/>
      <c r="B80" s="4"/>
      <c r="C80" s="16"/>
      <c r="D80" s="7"/>
      <c r="E80" s="7"/>
      <c r="F80" s="7"/>
      <c r="G80" s="7"/>
      <c r="H80" s="4"/>
      <c r="I80" s="7"/>
      <c r="J80" s="17"/>
      <c r="K80" s="7"/>
      <c r="L80" s="7"/>
      <c r="M80" s="7"/>
      <c r="N80" s="7"/>
      <c r="O80" s="18"/>
      <c r="P80" s="7"/>
      <c r="Q80" s="18"/>
      <c r="R80" s="7"/>
      <c r="S80" s="7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5"/>
      <c r="AF80" s="18"/>
      <c r="AG80" s="4"/>
      <c r="AH80" s="17"/>
      <c r="AI80" s="19"/>
      <c r="AJ80" s="19"/>
      <c r="AK80" s="19"/>
      <c r="AL80" s="17"/>
      <c r="AM80" s="4"/>
      <c r="AN80" s="20"/>
      <c r="AO80" s="20"/>
      <c r="AP80" s="20"/>
      <c r="AQ80" s="7"/>
      <c r="AR80" s="7"/>
      <c r="AS80" s="7"/>
      <c r="AT80" s="4"/>
      <c r="AU80" s="4"/>
      <c r="AV80" s="4"/>
      <c r="AW80" s="4"/>
      <c r="AX80" s="21"/>
      <c r="AY80" s="7"/>
      <c r="AZ80" s="22"/>
      <c r="BA80" s="16"/>
      <c r="BB80" s="16"/>
      <c r="BC80" s="22"/>
      <c r="BD80" s="1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16"/>
      <c r="BS80" s="16"/>
    </row>
    <row r="81" spans="1:71" x14ac:dyDescent="0.25">
      <c r="A81" s="16"/>
      <c r="B81" s="4"/>
      <c r="C81" s="16"/>
      <c r="D81" s="7"/>
      <c r="E81" s="7"/>
      <c r="F81" s="7"/>
      <c r="G81" s="7"/>
      <c r="H81" s="4"/>
      <c r="I81" s="7"/>
      <c r="J81" s="17"/>
      <c r="K81" s="7"/>
      <c r="L81" s="7"/>
      <c r="M81" s="7"/>
      <c r="N81" s="7"/>
      <c r="O81" s="18"/>
      <c r="P81" s="7"/>
      <c r="Q81" s="18"/>
      <c r="R81" s="7"/>
      <c r="S81" s="7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"/>
      <c r="AF81" s="18"/>
      <c r="AG81" s="4"/>
      <c r="AH81" s="17"/>
      <c r="AI81" s="19"/>
      <c r="AJ81" s="19"/>
      <c r="AK81" s="19"/>
      <c r="AL81" s="17"/>
      <c r="AM81" s="4"/>
      <c r="AN81" s="20"/>
      <c r="AO81" s="20"/>
      <c r="AP81" s="20"/>
      <c r="AQ81" s="7"/>
      <c r="AR81" s="7"/>
      <c r="AS81" s="7"/>
      <c r="AT81" s="4"/>
      <c r="AU81" s="4"/>
      <c r="AV81" s="4"/>
      <c r="AW81" s="4"/>
      <c r="AX81" s="21"/>
      <c r="AY81" s="7"/>
      <c r="AZ81" s="22"/>
      <c r="BA81" s="16"/>
      <c r="BB81" s="16"/>
      <c r="BC81" s="22"/>
      <c r="BD81" s="1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16"/>
      <c r="BS81" s="16"/>
    </row>
    <row r="82" spans="1:71" x14ac:dyDescent="0.25">
      <c r="A82" s="16"/>
      <c r="B82" s="4"/>
      <c r="C82" s="16"/>
      <c r="D82" s="7"/>
      <c r="E82" s="7"/>
      <c r="F82" s="7"/>
      <c r="G82" s="7"/>
      <c r="H82" s="4"/>
      <c r="I82" s="7"/>
      <c r="J82" s="17"/>
      <c r="K82" s="7"/>
      <c r="L82" s="7"/>
      <c r="M82" s="7"/>
      <c r="N82" s="7"/>
      <c r="O82" s="18"/>
      <c r="P82" s="7"/>
      <c r="Q82" s="18"/>
      <c r="R82" s="7"/>
      <c r="S82" s="7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5"/>
      <c r="AF82" s="18"/>
      <c r="AG82" s="4"/>
      <c r="AH82" s="17"/>
      <c r="AI82" s="19"/>
      <c r="AJ82" s="19"/>
      <c r="AK82" s="19"/>
      <c r="AL82" s="17"/>
      <c r="AM82" s="4"/>
      <c r="AN82" s="20"/>
      <c r="AO82" s="20"/>
      <c r="AP82" s="20"/>
      <c r="AQ82" s="7"/>
      <c r="AR82" s="7"/>
      <c r="AS82" s="7"/>
      <c r="AT82" s="4"/>
      <c r="AU82" s="4"/>
      <c r="AV82" s="4"/>
      <c r="AW82" s="4"/>
      <c r="AX82" s="21"/>
      <c r="AY82" s="7"/>
      <c r="AZ82" s="22"/>
      <c r="BA82" s="16"/>
      <c r="BB82" s="16"/>
      <c r="BC82" s="22"/>
      <c r="BD82" s="1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16"/>
      <c r="BS82" s="16"/>
    </row>
    <row r="83" spans="1:71" x14ac:dyDescent="0.25">
      <c r="A83" s="16"/>
      <c r="B83" s="4"/>
      <c r="C83" s="16"/>
      <c r="D83" s="7"/>
      <c r="E83" s="7"/>
      <c r="F83" s="7"/>
      <c r="G83" s="7"/>
      <c r="H83" s="4"/>
      <c r="I83" s="7"/>
      <c r="J83" s="17"/>
      <c r="K83" s="7"/>
      <c r="L83" s="7"/>
      <c r="M83" s="7"/>
      <c r="N83" s="7"/>
      <c r="O83" s="18"/>
      <c r="P83" s="7"/>
      <c r="Q83" s="18"/>
      <c r="R83" s="7"/>
      <c r="S83" s="7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5"/>
      <c r="AF83" s="18"/>
      <c r="AG83" s="4"/>
      <c r="AH83" s="17"/>
      <c r="AI83" s="19"/>
      <c r="AJ83" s="19"/>
      <c r="AK83" s="19"/>
      <c r="AL83" s="17"/>
      <c r="AM83" s="4"/>
      <c r="AN83" s="20"/>
      <c r="AO83" s="20"/>
      <c r="AP83" s="20"/>
      <c r="AQ83" s="7"/>
      <c r="AR83" s="7"/>
      <c r="AS83" s="7"/>
      <c r="AT83" s="4"/>
      <c r="AU83" s="4"/>
      <c r="AV83" s="4"/>
      <c r="AW83" s="4"/>
      <c r="AX83" s="21"/>
      <c r="AY83" s="7"/>
      <c r="AZ83" s="22"/>
      <c r="BA83" s="16"/>
      <c r="BB83" s="16"/>
      <c r="BC83" s="22"/>
      <c r="BD83" s="1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16"/>
      <c r="BS83" s="16"/>
    </row>
    <row r="84" spans="1:71" x14ac:dyDescent="0.25">
      <c r="A84" s="16"/>
      <c r="B84" s="4"/>
      <c r="C84" s="16"/>
      <c r="D84" s="7"/>
      <c r="E84" s="7"/>
      <c r="F84" s="7"/>
      <c r="G84" s="7"/>
      <c r="H84" s="4"/>
      <c r="I84" s="7"/>
      <c r="J84" s="17"/>
      <c r="K84" s="7"/>
      <c r="L84" s="7"/>
      <c r="M84" s="7"/>
      <c r="N84" s="7"/>
      <c r="O84" s="18"/>
      <c r="P84" s="7"/>
      <c r="Q84" s="18"/>
      <c r="R84" s="7"/>
      <c r="S84" s="7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5"/>
      <c r="AF84" s="18"/>
      <c r="AG84" s="4"/>
      <c r="AH84" s="17"/>
      <c r="AI84" s="19"/>
      <c r="AJ84" s="19"/>
      <c r="AK84" s="19"/>
      <c r="AL84" s="17"/>
      <c r="AM84" s="4"/>
      <c r="AN84" s="20"/>
      <c r="AO84" s="20"/>
      <c r="AP84" s="20"/>
      <c r="AQ84" s="7"/>
      <c r="AR84" s="7"/>
      <c r="AS84" s="7"/>
      <c r="AT84" s="4"/>
      <c r="AU84" s="4"/>
      <c r="AV84" s="4"/>
      <c r="AW84" s="4"/>
      <c r="AX84" s="21"/>
      <c r="AY84" s="7"/>
      <c r="AZ84" s="22"/>
      <c r="BA84" s="16"/>
      <c r="BB84" s="16"/>
      <c r="BC84" s="22"/>
      <c r="BD84" s="1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16"/>
      <c r="BS84" s="16"/>
    </row>
    <row r="85" spans="1:71" x14ac:dyDescent="0.25">
      <c r="A85" s="16"/>
      <c r="B85" s="4"/>
      <c r="C85" s="16"/>
      <c r="D85" s="7"/>
      <c r="E85" s="7"/>
      <c r="F85" s="7"/>
      <c r="G85" s="7"/>
      <c r="H85" s="4"/>
      <c r="I85" s="7"/>
      <c r="J85" s="17"/>
      <c r="K85" s="7"/>
      <c r="L85" s="7"/>
      <c r="M85" s="7"/>
      <c r="N85" s="7"/>
      <c r="O85" s="18"/>
      <c r="P85" s="7"/>
      <c r="Q85" s="18"/>
      <c r="R85" s="7"/>
      <c r="S85" s="7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5"/>
      <c r="AF85" s="18"/>
      <c r="AG85" s="4"/>
      <c r="AH85" s="17"/>
      <c r="AI85" s="19"/>
      <c r="AJ85" s="19"/>
      <c r="AK85" s="19"/>
      <c r="AL85" s="17"/>
      <c r="AM85" s="4"/>
      <c r="AN85" s="20"/>
      <c r="AO85" s="20"/>
      <c r="AP85" s="20"/>
      <c r="AQ85" s="7"/>
      <c r="AR85" s="7"/>
      <c r="AS85" s="7"/>
      <c r="AT85" s="4"/>
      <c r="AU85" s="4"/>
      <c r="AV85" s="4"/>
      <c r="AW85" s="4"/>
      <c r="AX85" s="21"/>
      <c r="AY85" s="7"/>
      <c r="AZ85" s="22"/>
      <c r="BA85" s="16"/>
      <c r="BB85" s="16"/>
      <c r="BC85" s="22"/>
      <c r="BD85" s="1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16"/>
      <c r="BS85" s="16"/>
    </row>
    <row r="86" spans="1:71" x14ac:dyDescent="0.25">
      <c r="A86" s="16"/>
      <c r="B86" s="4"/>
      <c r="C86" s="16"/>
      <c r="D86" s="7"/>
      <c r="E86" s="7"/>
      <c r="F86" s="7"/>
      <c r="G86" s="7"/>
      <c r="H86" s="4"/>
      <c r="I86" s="7"/>
      <c r="J86" s="17"/>
      <c r="K86" s="7"/>
      <c r="L86" s="7"/>
      <c r="M86" s="7"/>
      <c r="N86" s="7"/>
      <c r="O86" s="18"/>
      <c r="P86" s="7"/>
      <c r="Q86" s="18"/>
      <c r="R86" s="7"/>
      <c r="S86" s="7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5"/>
      <c r="AF86" s="18"/>
      <c r="AG86" s="4"/>
      <c r="AH86" s="17"/>
      <c r="AI86" s="19"/>
      <c r="AJ86" s="19"/>
      <c r="AK86" s="19"/>
      <c r="AL86" s="17"/>
      <c r="AM86" s="4"/>
      <c r="AN86" s="20"/>
      <c r="AO86" s="20"/>
      <c r="AP86" s="20"/>
      <c r="AQ86" s="7"/>
      <c r="AR86" s="7"/>
      <c r="AS86" s="7"/>
      <c r="AT86" s="4"/>
      <c r="AU86" s="4"/>
      <c r="AV86" s="4"/>
      <c r="AW86" s="4"/>
      <c r="AX86" s="21"/>
      <c r="AY86" s="7"/>
      <c r="AZ86" s="22"/>
      <c r="BA86" s="16"/>
      <c r="BB86" s="16"/>
      <c r="BC86" s="22"/>
      <c r="BD86" s="1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16"/>
      <c r="BS86" s="16"/>
    </row>
    <row r="87" spans="1:71" x14ac:dyDescent="0.25">
      <c r="A87" s="16"/>
      <c r="B87" s="4"/>
      <c r="C87" s="16"/>
      <c r="D87" s="7"/>
      <c r="E87" s="7"/>
      <c r="F87" s="7"/>
      <c r="G87" s="7"/>
      <c r="H87" s="4"/>
      <c r="I87" s="7"/>
      <c r="J87" s="17"/>
      <c r="K87" s="7"/>
      <c r="L87" s="7"/>
      <c r="M87" s="7"/>
      <c r="N87" s="7"/>
      <c r="O87" s="18"/>
      <c r="P87" s="7"/>
      <c r="Q87" s="18"/>
      <c r="R87" s="7"/>
      <c r="S87" s="7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5"/>
      <c r="AF87" s="18"/>
      <c r="AG87" s="4"/>
      <c r="AH87" s="17"/>
      <c r="AI87" s="19"/>
      <c r="AJ87" s="19"/>
      <c r="AK87" s="19"/>
      <c r="AL87" s="17"/>
      <c r="AM87" s="4"/>
      <c r="AN87" s="20"/>
      <c r="AO87" s="20"/>
      <c r="AP87" s="20"/>
      <c r="AQ87" s="7"/>
      <c r="AR87" s="7"/>
      <c r="AS87" s="7"/>
      <c r="AT87" s="4"/>
      <c r="AU87" s="4"/>
      <c r="AV87" s="4"/>
      <c r="AW87" s="4"/>
      <c r="AX87" s="21"/>
      <c r="AY87" s="7"/>
      <c r="AZ87" s="22"/>
      <c r="BA87" s="16"/>
      <c r="BB87" s="16"/>
      <c r="BC87" s="22"/>
      <c r="BD87" s="1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16"/>
      <c r="BS87" s="16"/>
    </row>
    <row r="88" spans="1:71" x14ac:dyDescent="0.25">
      <c r="A88" s="16"/>
      <c r="B88" s="4"/>
      <c r="C88" s="16"/>
      <c r="D88" s="7"/>
      <c r="E88" s="7"/>
      <c r="F88" s="7"/>
      <c r="G88" s="7"/>
      <c r="H88" s="4"/>
      <c r="I88" s="7"/>
      <c r="J88" s="17"/>
      <c r="K88" s="7"/>
      <c r="L88" s="7"/>
      <c r="M88" s="7"/>
      <c r="N88" s="7"/>
      <c r="O88" s="18"/>
      <c r="P88" s="7"/>
      <c r="Q88" s="18"/>
      <c r="R88" s="7"/>
      <c r="S88" s="7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5"/>
      <c r="AF88" s="18"/>
      <c r="AG88" s="4"/>
      <c r="AH88" s="17"/>
      <c r="AI88" s="19"/>
      <c r="AJ88" s="19"/>
      <c r="AK88" s="19"/>
      <c r="AL88" s="17"/>
      <c r="AM88" s="4"/>
      <c r="AN88" s="20"/>
      <c r="AO88" s="20"/>
      <c r="AP88" s="20"/>
      <c r="AQ88" s="7"/>
      <c r="AR88" s="7"/>
      <c r="AS88" s="7"/>
      <c r="AT88" s="4"/>
      <c r="AU88" s="4"/>
      <c r="AV88" s="4"/>
      <c r="AW88" s="4"/>
      <c r="AX88" s="21"/>
      <c r="AY88" s="7"/>
      <c r="AZ88" s="22"/>
      <c r="BA88" s="16"/>
      <c r="BB88" s="16"/>
      <c r="BC88" s="22"/>
      <c r="BD88" s="1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16"/>
      <c r="BS88" s="16"/>
    </row>
    <row r="89" spans="1:71" x14ac:dyDescent="0.25">
      <c r="A89" s="16"/>
      <c r="B89" s="4"/>
      <c r="C89" s="16"/>
      <c r="D89" s="7"/>
      <c r="E89" s="7"/>
      <c r="F89" s="7"/>
      <c r="G89" s="7"/>
      <c r="H89" s="4"/>
      <c r="I89" s="7"/>
      <c r="J89" s="17"/>
      <c r="K89" s="7"/>
      <c r="L89" s="7"/>
      <c r="M89" s="7"/>
      <c r="N89" s="7"/>
      <c r="O89" s="18"/>
      <c r="P89" s="7"/>
      <c r="Q89" s="18"/>
      <c r="R89" s="7"/>
      <c r="S89" s="7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5"/>
      <c r="AF89" s="18"/>
      <c r="AG89" s="4"/>
      <c r="AH89" s="17"/>
      <c r="AI89" s="19"/>
      <c r="AJ89" s="19"/>
      <c r="AK89" s="19"/>
      <c r="AL89" s="17"/>
      <c r="AM89" s="4"/>
      <c r="AN89" s="20"/>
      <c r="AO89" s="20"/>
      <c r="AP89" s="20"/>
      <c r="AQ89" s="7"/>
      <c r="AR89" s="7"/>
      <c r="AS89" s="7"/>
      <c r="AT89" s="4"/>
      <c r="AU89" s="4"/>
      <c r="AV89" s="4"/>
      <c r="AW89" s="4"/>
      <c r="AX89" s="21"/>
      <c r="AY89" s="7"/>
      <c r="AZ89" s="22"/>
      <c r="BA89" s="16"/>
      <c r="BB89" s="16"/>
      <c r="BC89" s="22"/>
      <c r="BD89" s="1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16"/>
      <c r="BS89" s="16"/>
    </row>
    <row r="90" spans="1:71" x14ac:dyDescent="0.25">
      <c r="A90" s="16"/>
      <c r="B90" s="4"/>
      <c r="C90" s="16"/>
      <c r="D90" s="7"/>
      <c r="E90" s="7"/>
      <c r="F90" s="7"/>
      <c r="G90" s="7"/>
      <c r="H90" s="4"/>
      <c r="I90" s="7"/>
      <c r="J90" s="17"/>
      <c r="K90" s="7"/>
      <c r="L90" s="7"/>
      <c r="M90" s="7"/>
      <c r="N90" s="7"/>
      <c r="O90" s="18"/>
      <c r="P90" s="7"/>
      <c r="Q90" s="18"/>
      <c r="R90" s="7"/>
      <c r="S90" s="7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5"/>
      <c r="AF90" s="18"/>
      <c r="AG90" s="4"/>
      <c r="AH90" s="17"/>
      <c r="AI90" s="19"/>
      <c r="AJ90" s="19"/>
      <c r="AK90" s="19"/>
      <c r="AL90" s="17"/>
      <c r="AM90" s="4"/>
      <c r="AN90" s="20"/>
      <c r="AO90" s="20"/>
      <c r="AP90" s="20"/>
      <c r="AQ90" s="7"/>
      <c r="AR90" s="7"/>
      <c r="AS90" s="7"/>
      <c r="AT90" s="4"/>
      <c r="AU90" s="4"/>
      <c r="AV90" s="4"/>
      <c r="AW90" s="4"/>
      <c r="AX90" s="21"/>
      <c r="AY90" s="7"/>
      <c r="AZ90" s="22"/>
      <c r="BA90" s="16"/>
      <c r="BB90" s="16"/>
      <c r="BC90" s="22"/>
      <c r="BD90" s="1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16"/>
      <c r="BS90" s="16"/>
    </row>
    <row r="91" spans="1:71" x14ac:dyDescent="0.25">
      <c r="A91" s="16"/>
      <c r="B91" s="4"/>
      <c r="C91" s="16"/>
      <c r="D91" s="7"/>
      <c r="E91" s="7"/>
      <c r="F91" s="7"/>
      <c r="G91" s="7"/>
      <c r="H91" s="4"/>
      <c r="I91" s="7"/>
      <c r="J91" s="17"/>
      <c r="K91" s="7"/>
      <c r="L91" s="7"/>
      <c r="M91" s="7"/>
      <c r="N91" s="7"/>
      <c r="O91" s="18"/>
      <c r="P91" s="7"/>
      <c r="Q91" s="18"/>
      <c r="R91" s="7"/>
      <c r="S91" s="7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5"/>
      <c r="AF91" s="18"/>
      <c r="AG91" s="4"/>
      <c r="AH91" s="17"/>
      <c r="AI91" s="19"/>
      <c r="AJ91" s="19"/>
      <c r="AK91" s="19"/>
      <c r="AL91" s="17"/>
      <c r="AM91" s="4"/>
      <c r="AN91" s="20"/>
      <c r="AO91" s="20"/>
      <c r="AP91" s="20"/>
      <c r="AQ91" s="7"/>
      <c r="AR91" s="7"/>
      <c r="AS91" s="7"/>
      <c r="AT91" s="4"/>
      <c r="AU91" s="4"/>
      <c r="AV91" s="4"/>
      <c r="AW91" s="4"/>
      <c r="AX91" s="21"/>
      <c r="AY91" s="7"/>
      <c r="AZ91" s="22"/>
      <c r="BA91" s="16"/>
      <c r="BB91" s="16"/>
      <c r="BC91" s="22"/>
      <c r="BD91" s="1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16"/>
      <c r="BS91" s="16"/>
    </row>
    <row r="92" spans="1:71" x14ac:dyDescent="0.25">
      <c r="A92" s="16"/>
      <c r="B92" s="4"/>
      <c r="C92" s="16"/>
      <c r="D92" s="7"/>
      <c r="E92" s="7"/>
      <c r="F92" s="7"/>
      <c r="G92" s="7"/>
      <c r="H92" s="4"/>
      <c r="I92" s="7"/>
      <c r="J92" s="17"/>
      <c r="K92" s="7"/>
      <c r="L92" s="7"/>
      <c r="M92" s="7"/>
      <c r="N92" s="7"/>
      <c r="O92" s="18"/>
      <c r="P92" s="7"/>
      <c r="Q92" s="18"/>
      <c r="R92" s="7"/>
      <c r="S92" s="7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5"/>
      <c r="AF92" s="18"/>
      <c r="AG92" s="4"/>
      <c r="AH92" s="17"/>
      <c r="AI92" s="19"/>
      <c r="AJ92" s="19"/>
      <c r="AK92" s="19"/>
      <c r="AL92" s="17"/>
      <c r="AM92" s="4"/>
      <c r="AN92" s="20"/>
      <c r="AO92" s="20"/>
      <c r="AP92" s="20"/>
      <c r="AQ92" s="7"/>
      <c r="AR92" s="7"/>
      <c r="AS92" s="7"/>
      <c r="AT92" s="4"/>
      <c r="AU92" s="4"/>
      <c r="AV92" s="4"/>
      <c r="AW92" s="4"/>
      <c r="AX92" s="21"/>
      <c r="AY92" s="7"/>
      <c r="AZ92" s="22"/>
      <c r="BA92" s="16"/>
      <c r="BB92" s="16"/>
      <c r="BC92" s="22"/>
      <c r="BD92" s="1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16"/>
      <c r="BS92" s="16"/>
    </row>
    <row r="93" spans="1:71" x14ac:dyDescent="0.25">
      <c r="A93" s="16"/>
      <c r="B93" s="4"/>
      <c r="C93" s="16"/>
      <c r="D93" s="7"/>
      <c r="E93" s="7"/>
      <c r="F93" s="7"/>
      <c r="G93" s="7"/>
      <c r="H93" s="4"/>
      <c r="I93" s="7"/>
      <c r="J93" s="17"/>
      <c r="K93" s="7"/>
      <c r="L93" s="7"/>
      <c r="M93" s="7"/>
      <c r="N93" s="7"/>
      <c r="O93" s="18"/>
      <c r="P93" s="7"/>
      <c r="Q93" s="18"/>
      <c r="R93" s="7"/>
      <c r="S93" s="7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5"/>
      <c r="AF93" s="18"/>
      <c r="AG93" s="4"/>
      <c r="AH93" s="17"/>
      <c r="AI93" s="19"/>
      <c r="AJ93" s="19"/>
      <c r="AK93" s="19"/>
      <c r="AL93" s="17"/>
      <c r="AM93" s="4"/>
      <c r="AN93" s="20"/>
      <c r="AO93" s="20"/>
      <c r="AP93" s="20"/>
      <c r="AQ93" s="7"/>
      <c r="AR93" s="7"/>
      <c r="AS93" s="7"/>
      <c r="AT93" s="4"/>
      <c r="AU93" s="4"/>
      <c r="AV93" s="4"/>
      <c r="AW93" s="4"/>
      <c r="AX93" s="21"/>
      <c r="AY93" s="7"/>
      <c r="AZ93" s="22"/>
      <c r="BA93" s="16"/>
      <c r="BB93" s="16"/>
      <c r="BC93" s="22"/>
      <c r="BD93" s="1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16"/>
      <c r="BS93" s="16"/>
    </row>
    <row r="94" spans="1:71" x14ac:dyDescent="0.25">
      <c r="A94" s="16"/>
      <c r="B94" s="4"/>
      <c r="C94" s="16"/>
      <c r="D94" s="7"/>
      <c r="E94" s="7"/>
      <c r="F94" s="7"/>
      <c r="G94" s="7"/>
      <c r="H94" s="4"/>
      <c r="I94" s="7"/>
      <c r="J94" s="17"/>
      <c r="K94" s="7"/>
      <c r="L94" s="7"/>
      <c r="M94" s="7"/>
      <c r="N94" s="7"/>
      <c r="O94" s="18"/>
      <c r="P94" s="7"/>
      <c r="Q94" s="18"/>
      <c r="R94" s="7"/>
      <c r="S94" s="7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5"/>
      <c r="AF94" s="18"/>
      <c r="AG94" s="4"/>
      <c r="AH94" s="17"/>
      <c r="AI94" s="19"/>
      <c r="AJ94" s="19"/>
      <c r="AK94" s="19"/>
      <c r="AL94" s="17"/>
      <c r="AM94" s="4"/>
      <c r="AN94" s="20"/>
      <c r="AO94" s="20"/>
      <c r="AP94" s="20"/>
      <c r="AQ94" s="7"/>
      <c r="AR94" s="7"/>
      <c r="AS94" s="7"/>
      <c r="AT94" s="4"/>
      <c r="AU94" s="4"/>
      <c r="AV94" s="4"/>
      <c r="AW94" s="4"/>
      <c r="AX94" s="21"/>
      <c r="AY94" s="7"/>
      <c r="AZ94" s="22"/>
      <c r="BA94" s="16"/>
      <c r="BB94" s="16"/>
      <c r="BC94" s="22"/>
      <c r="BD94" s="1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16"/>
      <c r="BS94" s="16"/>
    </row>
    <row r="95" spans="1:71" x14ac:dyDescent="0.25">
      <c r="A95" s="16"/>
      <c r="B95" s="4"/>
      <c r="C95" s="16"/>
      <c r="D95" s="7"/>
      <c r="E95" s="7"/>
      <c r="F95" s="7"/>
      <c r="G95" s="7"/>
      <c r="H95" s="4"/>
      <c r="I95" s="7"/>
      <c r="J95" s="17"/>
      <c r="K95" s="7"/>
      <c r="L95" s="7"/>
      <c r="M95" s="7"/>
      <c r="N95" s="7"/>
      <c r="O95" s="18"/>
      <c r="P95" s="7"/>
      <c r="Q95" s="18"/>
      <c r="R95" s="7"/>
      <c r="S95" s="7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5"/>
      <c r="AF95" s="18"/>
      <c r="AG95" s="4"/>
      <c r="AH95" s="17"/>
      <c r="AI95" s="19"/>
      <c r="AJ95" s="19"/>
      <c r="AK95" s="19"/>
      <c r="AL95" s="17"/>
      <c r="AM95" s="4"/>
      <c r="AN95" s="20"/>
      <c r="AO95" s="20"/>
      <c r="AP95" s="20"/>
      <c r="AQ95" s="7"/>
      <c r="AR95" s="7"/>
      <c r="AS95" s="7"/>
      <c r="AT95" s="4"/>
      <c r="AU95" s="4"/>
      <c r="AV95" s="4"/>
      <c r="AW95" s="4"/>
      <c r="AX95" s="21"/>
      <c r="AY95" s="7"/>
      <c r="AZ95" s="22"/>
      <c r="BA95" s="16"/>
      <c r="BB95" s="16"/>
      <c r="BC95" s="22"/>
      <c r="BD95" s="1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16"/>
      <c r="BS95" s="16"/>
    </row>
    <row r="96" spans="1:71" x14ac:dyDescent="0.25">
      <c r="A96" s="16"/>
      <c r="B96" s="4"/>
      <c r="C96" s="16"/>
      <c r="D96" s="7"/>
      <c r="E96" s="7"/>
      <c r="F96" s="7"/>
      <c r="G96" s="7"/>
      <c r="H96" s="4"/>
      <c r="I96" s="7"/>
      <c r="J96" s="17"/>
      <c r="K96" s="7"/>
      <c r="L96" s="7"/>
      <c r="M96" s="7"/>
      <c r="N96" s="7"/>
      <c r="O96" s="18"/>
      <c r="P96" s="7"/>
      <c r="Q96" s="18"/>
      <c r="R96" s="7"/>
      <c r="S96" s="7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5"/>
      <c r="AF96" s="18"/>
      <c r="AG96" s="4"/>
      <c r="AH96" s="17"/>
      <c r="AI96" s="19"/>
      <c r="AJ96" s="19"/>
      <c r="AK96" s="19"/>
      <c r="AL96" s="17"/>
      <c r="AM96" s="4"/>
      <c r="AN96" s="20"/>
      <c r="AO96" s="20"/>
      <c r="AP96" s="20"/>
      <c r="AQ96" s="7"/>
      <c r="AR96" s="7"/>
      <c r="AS96" s="7"/>
      <c r="AT96" s="4"/>
      <c r="AU96" s="4"/>
      <c r="AV96" s="4"/>
      <c r="AW96" s="4"/>
      <c r="AX96" s="21"/>
      <c r="AY96" s="7"/>
      <c r="AZ96" s="22"/>
      <c r="BA96" s="16"/>
      <c r="BB96" s="16"/>
      <c r="BC96" s="22"/>
      <c r="BD96" s="1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16"/>
      <c r="BS96" s="16"/>
    </row>
    <row r="97" spans="1:71" x14ac:dyDescent="0.25">
      <c r="A97" s="16"/>
      <c r="B97" s="4"/>
      <c r="C97" s="16"/>
      <c r="D97" s="7"/>
      <c r="E97" s="7"/>
      <c r="F97" s="7"/>
      <c r="G97" s="7"/>
      <c r="H97" s="4"/>
      <c r="I97" s="7"/>
      <c r="J97" s="17"/>
      <c r="K97" s="7"/>
      <c r="L97" s="7"/>
      <c r="M97" s="7"/>
      <c r="N97" s="7"/>
      <c r="O97" s="18"/>
      <c r="P97" s="7"/>
      <c r="Q97" s="18"/>
      <c r="R97" s="7"/>
      <c r="S97" s="7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5"/>
      <c r="AF97" s="18"/>
      <c r="AG97" s="4"/>
      <c r="AH97" s="17"/>
      <c r="AI97" s="19"/>
      <c r="AJ97" s="19"/>
      <c r="AK97" s="19"/>
      <c r="AL97" s="17"/>
      <c r="AM97" s="4"/>
      <c r="AN97" s="20"/>
      <c r="AO97" s="20"/>
      <c r="AP97" s="20"/>
      <c r="AQ97" s="7"/>
      <c r="AR97" s="7"/>
      <c r="AS97" s="7"/>
      <c r="AT97" s="4"/>
      <c r="AU97" s="4"/>
      <c r="AV97" s="4"/>
      <c r="AW97" s="4"/>
      <c r="AX97" s="21"/>
      <c r="AY97" s="7"/>
      <c r="AZ97" s="22"/>
      <c r="BA97" s="16"/>
      <c r="BB97" s="16"/>
      <c r="BC97" s="22"/>
      <c r="BD97" s="1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16"/>
      <c r="BS97" s="16"/>
    </row>
    <row r="98" spans="1:71" x14ac:dyDescent="0.25">
      <c r="A98" s="16"/>
      <c r="B98" s="4"/>
      <c r="C98" s="16"/>
      <c r="D98" s="7"/>
      <c r="E98" s="7"/>
      <c r="F98" s="7"/>
      <c r="G98" s="7"/>
      <c r="H98" s="4"/>
      <c r="I98" s="7"/>
      <c r="J98" s="17"/>
      <c r="K98" s="7"/>
      <c r="L98" s="7"/>
      <c r="M98" s="7"/>
      <c r="N98" s="7"/>
      <c r="O98" s="18"/>
      <c r="P98" s="7"/>
      <c r="Q98" s="18"/>
      <c r="R98" s="7"/>
      <c r="S98" s="7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5"/>
      <c r="AF98" s="18"/>
      <c r="AG98" s="4"/>
      <c r="AH98" s="17"/>
      <c r="AI98" s="19"/>
      <c r="AJ98" s="19"/>
      <c r="AK98" s="19"/>
      <c r="AL98" s="17"/>
      <c r="AM98" s="4"/>
      <c r="AN98" s="20"/>
      <c r="AO98" s="20"/>
      <c r="AP98" s="20"/>
      <c r="AQ98" s="7"/>
      <c r="AR98" s="7"/>
      <c r="AS98" s="7"/>
      <c r="AT98" s="4"/>
      <c r="AU98" s="4"/>
      <c r="AV98" s="4"/>
      <c r="AW98" s="4"/>
      <c r="AX98" s="21"/>
      <c r="AY98" s="7"/>
      <c r="AZ98" s="22"/>
      <c r="BA98" s="16"/>
      <c r="BB98" s="16"/>
      <c r="BC98" s="22"/>
      <c r="BD98" s="1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16"/>
      <c r="BS98" s="16"/>
    </row>
    <row r="99" spans="1:71" x14ac:dyDescent="0.25">
      <c r="A99" s="16"/>
      <c r="B99" s="4" t="s">
        <v>125</v>
      </c>
      <c r="C99" s="16" t="s">
        <v>125</v>
      </c>
      <c r="D99" s="7" t="s">
        <v>125</v>
      </c>
      <c r="E99" s="7" t="s">
        <v>125</v>
      </c>
      <c r="F99" s="7" t="s">
        <v>125</v>
      </c>
      <c r="G99" s="7" t="s">
        <v>125</v>
      </c>
      <c r="H99" s="4" t="s">
        <v>125</v>
      </c>
      <c r="I99" s="7" t="s">
        <v>125</v>
      </c>
      <c r="J99" s="17" t="s">
        <v>125</v>
      </c>
      <c r="K99" s="7" t="s">
        <v>125</v>
      </c>
      <c r="L99" s="7" t="s">
        <v>125</v>
      </c>
      <c r="M99" s="7" t="s">
        <v>125</v>
      </c>
      <c r="N99" s="7" t="s">
        <v>125</v>
      </c>
      <c r="O99" s="18" t="s">
        <v>125</v>
      </c>
      <c r="P99" s="7" t="s">
        <v>125</v>
      </c>
      <c r="Q99" s="18" t="s">
        <v>125</v>
      </c>
      <c r="R99" s="7" t="s">
        <v>125</v>
      </c>
      <c r="S99" s="7" t="s">
        <v>125</v>
      </c>
      <c r="T99" s="18" t="s">
        <v>125</v>
      </c>
      <c r="U99" s="18" t="s">
        <v>125</v>
      </c>
      <c r="V99" s="18" t="s">
        <v>125</v>
      </c>
      <c r="W99" s="18" t="s">
        <v>125</v>
      </c>
      <c r="X99" s="18" t="s">
        <v>125</v>
      </c>
      <c r="Y99" s="18" t="s">
        <v>125</v>
      </c>
      <c r="Z99" s="18" t="s">
        <v>125</v>
      </c>
      <c r="AA99" s="18" t="s">
        <v>125</v>
      </c>
      <c r="AB99" s="18" t="s">
        <v>125</v>
      </c>
      <c r="AC99" s="18" t="s">
        <v>125</v>
      </c>
      <c r="AD99" s="18" t="s">
        <v>125</v>
      </c>
      <c r="AE99" s="5" t="s">
        <v>125</v>
      </c>
      <c r="AF99" s="18" t="s">
        <v>125</v>
      </c>
      <c r="AG99" s="18" t="s">
        <v>125</v>
      </c>
      <c r="AH99" s="17" t="s">
        <v>125</v>
      </c>
      <c r="AI99" s="19" t="s">
        <v>125</v>
      </c>
      <c r="AJ99" s="19" t="s">
        <v>125</v>
      </c>
      <c r="AK99" s="19" t="s">
        <v>125</v>
      </c>
      <c r="AL99" s="17" t="s">
        <v>125</v>
      </c>
      <c r="AM99" s="4" t="s">
        <v>125</v>
      </c>
      <c r="AN99" s="20" t="s">
        <v>125</v>
      </c>
      <c r="AO99" s="20" t="s">
        <v>125</v>
      </c>
      <c r="AP99" s="20" t="s">
        <v>125</v>
      </c>
      <c r="AQ99" s="7" t="s">
        <v>125</v>
      </c>
      <c r="AR99" s="7" t="s">
        <v>125</v>
      </c>
      <c r="AS99" s="7" t="s">
        <v>125</v>
      </c>
      <c r="AT99" s="4" t="s">
        <v>125</v>
      </c>
      <c r="AU99" s="4" t="s">
        <v>125</v>
      </c>
      <c r="AV99" s="4" t="s">
        <v>125</v>
      </c>
      <c r="AW99" s="4" t="s">
        <v>125</v>
      </c>
      <c r="AX99" s="21" t="s">
        <v>125</v>
      </c>
      <c r="AY99" s="7" t="s">
        <v>125</v>
      </c>
      <c r="AZ99" s="22" t="s">
        <v>125</v>
      </c>
      <c r="BA99" s="16" t="s">
        <v>125</v>
      </c>
      <c r="BB99" s="16" t="s">
        <v>125</v>
      </c>
      <c r="BC99" s="22" t="s">
        <v>125</v>
      </c>
      <c r="BD99" s="17" t="s">
        <v>125</v>
      </c>
      <c r="BE99" s="7" t="s">
        <v>125</v>
      </c>
      <c r="BF99" s="7" t="s">
        <v>125</v>
      </c>
      <c r="BG99" s="7" t="s">
        <v>125</v>
      </c>
      <c r="BH99" s="7" t="s">
        <v>125</v>
      </c>
      <c r="BI99" s="7" t="s">
        <v>125</v>
      </c>
      <c r="BJ99" s="7" t="s">
        <v>125</v>
      </c>
      <c r="BK99" s="7" t="s">
        <v>125</v>
      </c>
      <c r="BL99" s="7"/>
      <c r="BM99" s="7"/>
      <c r="BN99" s="7" t="s">
        <v>125</v>
      </c>
      <c r="BO99" s="7" t="s">
        <v>125</v>
      </c>
      <c r="BP99" s="7" t="s">
        <v>125</v>
      </c>
      <c r="BQ99" s="7" t="s">
        <v>125</v>
      </c>
      <c r="BR99" s="16" t="s">
        <v>125</v>
      </c>
      <c r="BS99" s="16" t="s">
        <v>125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B7D39D8-9623-4C4A-ACD3-EB5ED40479B8}">
          <x14:formula1>
            <xm:f>'Data Dictionary'!$A$78:$A$79</xm:f>
          </x14:formula1>
          <xm:sqref>BK3:BN99 I3:I99 BI3:BI99 AX3:AX99 L3:L99</xm:sqref>
        </x14:dataValidation>
        <x14:dataValidation type="list" allowBlank="1" showInputMessage="1" showErrorMessage="1" xr:uid="{50710925-420A-4763-BDCA-68B87ABCB071}">
          <x14:formula1>
            <xm:f>'Data Dictionary'!$A$82:$A$84</xm:f>
          </x14:formula1>
          <xm:sqref>K3:K99</xm:sqref>
        </x14:dataValidation>
        <x14:dataValidation type="list" allowBlank="1" showInputMessage="1" showErrorMessage="1" xr:uid="{8AB053BE-678A-45DF-B875-73804C8EA029}">
          <x14:formula1>
            <xm:f>'Data Dictionary'!$A$78:$A$80</xm:f>
          </x14:formula1>
          <xm:sqref>C3:C99</xm:sqref>
        </x14:dataValidation>
        <x14:dataValidation type="list" allowBlank="1" showInputMessage="1" showErrorMessage="1" xr:uid="{58B522B0-2019-4E11-9B4E-BE78E73A55E4}">
          <x14:formula1>
            <xm:f>'Data Dictionary'!$A$92:$A$94</xm:f>
          </x14:formula1>
          <xm:sqref>BH2:BH99</xm:sqref>
        </x14:dataValidation>
        <x14:dataValidation type="list" allowBlank="1" showInputMessage="1" showErrorMessage="1" xr:uid="{21D29FF2-264E-4C07-830C-920CB60189E5}">
          <x14:formula1>
            <xm:f>'Data Dictionary'!$A$97:$A$104</xm:f>
          </x14:formula1>
          <xm:sqref>Q3:Q47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8FA1-1639-4072-8D02-2ED44B9E83BD}">
  <sheetPr codeName="Sheet4">
    <tabColor rgb="FF1C2952"/>
  </sheetPr>
  <dimension ref="B2:P24"/>
  <sheetViews>
    <sheetView showGridLines="0" zoomScale="85" zoomScaleNormal="85" workbookViewId="0">
      <selection activeCell="E6" sqref="E6"/>
    </sheetView>
  </sheetViews>
  <sheetFormatPr defaultColWidth="9" defaultRowHeight="15" x14ac:dyDescent="0.25"/>
  <cols>
    <col min="1" max="1" width="3" style="40" customWidth="1"/>
    <col min="2" max="2" width="28" style="40" customWidth="1"/>
    <col min="3" max="3" width="24.7109375" style="40" bestFit="1" customWidth="1"/>
    <col min="4" max="4" width="15.28515625" style="40" customWidth="1"/>
    <col min="5" max="5" width="22.7109375" style="40" bestFit="1" customWidth="1"/>
    <col min="6" max="7" width="13.28515625" style="41" customWidth="1"/>
    <col min="8" max="8" width="20.7109375" style="40" bestFit="1" customWidth="1"/>
    <col min="9" max="9" width="17.42578125" style="40" customWidth="1"/>
    <col min="10" max="10" width="20.7109375" style="40" bestFit="1" customWidth="1"/>
    <col min="11" max="11" width="22.28515625" style="40" bestFit="1" customWidth="1"/>
    <col min="12" max="13" width="17.28515625" style="40" bestFit="1" customWidth="1"/>
    <col min="14" max="14" width="17.28515625" style="40" customWidth="1"/>
    <col min="15" max="15" width="19.28515625" style="40" bestFit="1" customWidth="1"/>
    <col min="16" max="16" width="17.42578125" style="41" customWidth="1"/>
    <col min="17" max="17" width="9" style="40"/>
    <col min="18" max="18" width="10.7109375" style="40" bestFit="1" customWidth="1"/>
    <col min="19" max="16384" width="9" style="40"/>
  </cols>
  <sheetData>
    <row r="2" spans="2:3" x14ac:dyDescent="0.25">
      <c r="B2" s="52" t="s">
        <v>365</v>
      </c>
      <c r="C2" s="53" t="str">
        <f>_xlfn.CONCAT(TEXT(D20,"d"),IF(RIGHT(TEXT(D20,"dd"),1)="1","st",IF(RIGHT(TEXT(D20,"dd"),1)="2","nd",IF(RIGHT(TEXT(D20,"dd"),1)="3","rd","th")))," day of ",TEXT(D20,"mmmm"), ", ",TEXT(D20,"yyyy"))</f>
        <v>17th day of October, 2025</v>
      </c>
    </row>
    <row r="3" spans="2:3" x14ac:dyDescent="0.25">
      <c r="B3" s="58" t="s">
        <v>347</v>
      </c>
      <c r="C3" s="59" t="str">
        <f>TEXT(C20,"mmmm dd, yyyy")</f>
        <v>June 17, 2026</v>
      </c>
    </row>
    <row r="4" spans="2:3" x14ac:dyDescent="0.25">
      <c r="B4" s="52" t="s">
        <v>348</v>
      </c>
      <c r="C4" s="54">
        <v>45932</v>
      </c>
    </row>
    <row r="6" spans="2:3" x14ac:dyDescent="0.25">
      <c r="B6" s="58" t="s">
        <v>349</v>
      </c>
      <c r="C6" s="60" t="e">
        <f>SUM(F20:F53)</f>
        <v>#REF!</v>
      </c>
    </row>
    <row r="7" spans="2:3" x14ac:dyDescent="0.25">
      <c r="B7" s="52" t="s">
        <v>350</v>
      </c>
      <c r="C7" s="56" t="e">
        <f>SUMPRODUCT(J20:J53,F20:F53)/C6</f>
        <v>#REF!</v>
      </c>
    </row>
    <row r="8" spans="2:3" x14ac:dyDescent="0.25">
      <c r="B8" s="58" t="s">
        <v>351</v>
      </c>
      <c r="C8" s="60" t="e">
        <f>SUM(K20:K53)</f>
        <v>#REF!</v>
      </c>
    </row>
    <row r="9" spans="2:3" x14ac:dyDescent="0.25">
      <c r="B9" s="52" t="s">
        <v>352</v>
      </c>
      <c r="C9" s="55" t="e">
        <f>SUM(O20:O53)</f>
        <v>#VALUE!</v>
      </c>
    </row>
    <row r="10" spans="2:3" x14ac:dyDescent="0.25">
      <c r="B10" s="61" t="s">
        <v>353</v>
      </c>
      <c r="C10" s="62" t="e">
        <f>SUM(P20:P53)</f>
        <v>#VALUE!</v>
      </c>
    </row>
    <row r="11" spans="2:3" x14ac:dyDescent="0.25">
      <c r="C11" s="42"/>
    </row>
    <row r="12" spans="2:3" x14ac:dyDescent="0.25">
      <c r="B12" s="52" t="s">
        <v>362</v>
      </c>
      <c r="C12" s="57" t="e">
        <f>ROUND(SUMPRODUCT(G20:G53,F20:F53)/C6,6)</f>
        <v>#REF!</v>
      </c>
    </row>
    <row r="13" spans="2:3" x14ac:dyDescent="0.25">
      <c r="B13" s="58" t="s">
        <v>363</v>
      </c>
      <c r="C13" s="63" t="e">
        <f>ROUND(SUMPRODUCT(L20:L53,F20:F53)/C6,3)</f>
        <v>#REF!</v>
      </c>
    </row>
    <row r="14" spans="2:3" x14ac:dyDescent="0.25">
      <c r="B14" s="52" t="s">
        <v>364</v>
      </c>
      <c r="C14" s="57" t="e">
        <f>SUMPRODUCT(M20:M53,F20:F53)/C6</f>
        <v>#VALUE!</v>
      </c>
    </row>
    <row r="15" spans="2:3" x14ac:dyDescent="0.25">
      <c r="B15" s="58" t="s">
        <v>366</v>
      </c>
      <c r="C15" s="60" t="e">
        <f>(C14/12)*C8</f>
        <v>#VALUE!</v>
      </c>
    </row>
    <row r="17" spans="2:16" x14ac:dyDescent="0.25">
      <c r="B17" s="44" t="str">
        <f>_xlfn.CONCAT("Blue Lake RTL",TEXT(D20," - mmddyyyy"))</f>
        <v>Blue Lake RTL - 10172025</v>
      </c>
    </row>
    <row r="18" spans="2:16" x14ac:dyDescent="0.25">
      <c r="B18" s="40" t="str">
        <f>IF(COUNTA(B20:B69)=COUNTA('Bid Tape'!D3:D49),"","Count Error")</f>
        <v>Count Error</v>
      </c>
    </row>
    <row r="19" spans="2:16" x14ac:dyDescent="0.25">
      <c r="B19" s="39" t="s">
        <v>14</v>
      </c>
      <c r="C19" s="39" t="s">
        <v>354</v>
      </c>
      <c r="D19" s="39" t="s">
        <v>346</v>
      </c>
      <c r="E19" s="39" t="s">
        <v>355</v>
      </c>
      <c r="F19" s="39" t="s">
        <v>356</v>
      </c>
      <c r="G19" s="39" t="s">
        <v>358</v>
      </c>
      <c r="H19" s="39" t="s">
        <v>37</v>
      </c>
      <c r="I19" s="39" t="s">
        <v>73</v>
      </c>
      <c r="J19" s="38" t="s">
        <v>357</v>
      </c>
      <c r="K19" s="38" t="s">
        <v>351</v>
      </c>
      <c r="L19" s="38" t="s">
        <v>76</v>
      </c>
      <c r="M19" s="38" t="s">
        <v>359</v>
      </c>
      <c r="N19" s="38" t="s">
        <v>360</v>
      </c>
      <c r="O19" s="38" t="s">
        <v>352</v>
      </c>
      <c r="P19" s="38" t="s">
        <v>361</v>
      </c>
    </row>
    <row r="20" spans="2:16" x14ac:dyDescent="0.25">
      <c r="B20" s="41">
        <f>'Bid Tape'!E3</f>
        <v>0</v>
      </c>
      <c r="C20" s="45">
        <f>'Bid Tape'!B3</f>
        <v>46190</v>
      </c>
      <c r="D20" s="46">
        <v>45947</v>
      </c>
      <c r="E20" s="41" t="str">
        <f>'Bid Tape'!D3</f>
        <v>YSCAP258134727</v>
      </c>
      <c r="F20" s="42">
        <f>'Bid Tape'!AD3</f>
        <v>275000</v>
      </c>
      <c r="G20" s="43">
        <f>'Bid Tape'!AZ3</f>
        <v>0.10290000000000001</v>
      </c>
      <c r="H20" s="45">
        <f>'Bid Tape'!H3</f>
        <v>46022</v>
      </c>
      <c r="I20" s="45">
        <f>'Bid Tape'!AW3</f>
        <v>46054</v>
      </c>
      <c r="J20" s="47">
        <v>1</v>
      </c>
      <c r="K20" s="48">
        <f>ROUND(J20*F20,2)</f>
        <v>275000</v>
      </c>
      <c r="L20" s="49" t="str">
        <f>INDEX('Pricing Confirm'!$B$4:$B$50,MATCH('Settlement Statement'!E20,'Pricing Confirm'!$E$4:$E$50))</f>
        <v>Not Qual</v>
      </c>
      <c r="M20" s="50" t="e">
        <f>G20-L20</f>
        <v>#VALUE!</v>
      </c>
      <c r="N20" s="51">
        <f>DAYS360(EDATE(I20,-1),D20)</f>
        <v>-74</v>
      </c>
      <c r="O20" s="48" t="e">
        <f>ROUND(((L20/360)*K20)*N20,2)</f>
        <v>#VALUE!</v>
      </c>
      <c r="P20" s="48" t="e">
        <f>O20+K20</f>
        <v>#VALUE!</v>
      </c>
    </row>
    <row r="21" spans="2:16" x14ac:dyDescent="0.25">
      <c r="B21" s="41" t="e">
        <f>'Bid Tape'!#REF!</f>
        <v>#REF!</v>
      </c>
      <c r="C21" s="45" t="e">
        <f>'Bid Tape'!#REF!</f>
        <v>#REF!</v>
      </c>
      <c r="D21" s="45">
        <f>D20</f>
        <v>45947</v>
      </c>
      <c r="E21" s="41" t="e">
        <f>'Bid Tape'!#REF!</f>
        <v>#REF!</v>
      </c>
      <c r="F21" s="42" t="e">
        <f>'Bid Tape'!#REF!</f>
        <v>#REF!</v>
      </c>
      <c r="G21" s="43" t="e">
        <f>'Bid Tape'!#REF!</f>
        <v>#REF!</v>
      </c>
      <c r="H21" s="45" t="e">
        <f>'Bid Tape'!#REF!</f>
        <v>#REF!</v>
      </c>
      <c r="I21" s="45" t="e">
        <f>'Bid Tape'!#REF!</f>
        <v>#REF!</v>
      </c>
      <c r="J21" s="47">
        <v>1</v>
      </c>
      <c r="K21" s="48" t="e">
        <f t="shared" ref="K21:K23" si="0">ROUND(J21*F21,2)</f>
        <v>#REF!</v>
      </c>
      <c r="L21" s="49" t="e">
        <f>INDEX('Pricing Confirm'!$B$4:$B$50,MATCH('Settlement Statement'!E21,'Pricing Confirm'!$E$4:$E$50))</f>
        <v>#REF!</v>
      </c>
      <c r="M21" s="50" t="e">
        <f t="shared" ref="M21:M23" si="1">G21-L21</f>
        <v>#REF!</v>
      </c>
      <c r="N21" s="51" t="e">
        <f t="shared" ref="N21:N23" si="2">DAYS360(EDATE(I21,-1),D21)</f>
        <v>#REF!</v>
      </c>
      <c r="O21" s="48" t="e">
        <f t="shared" ref="O21:O23" si="3">ROUND(((L21/360)*K21)*N21,2)</f>
        <v>#REF!</v>
      </c>
      <c r="P21" s="48" t="e">
        <f t="shared" ref="P21:P23" si="4">O21+K21</f>
        <v>#REF!</v>
      </c>
    </row>
    <row r="22" spans="2:16" x14ac:dyDescent="0.25">
      <c r="B22" s="41" t="e">
        <f>'Bid Tape'!#REF!</f>
        <v>#REF!</v>
      </c>
      <c r="C22" s="45" t="e">
        <f>'Bid Tape'!#REF!</f>
        <v>#REF!</v>
      </c>
      <c r="D22" s="45">
        <f t="shared" ref="D22:D23" si="5">D21</f>
        <v>45947</v>
      </c>
      <c r="E22" s="41" t="e">
        <f>'Bid Tape'!#REF!</f>
        <v>#REF!</v>
      </c>
      <c r="F22" s="42" t="e">
        <f>'Bid Tape'!#REF!</f>
        <v>#REF!</v>
      </c>
      <c r="G22" s="43" t="e">
        <f>'Bid Tape'!#REF!</f>
        <v>#REF!</v>
      </c>
      <c r="H22" s="45" t="e">
        <f>'Bid Tape'!#REF!</f>
        <v>#REF!</v>
      </c>
      <c r="I22" s="45" t="e">
        <f>'Bid Tape'!#REF!</f>
        <v>#REF!</v>
      </c>
      <c r="J22" s="47">
        <v>1</v>
      </c>
      <c r="K22" s="48" t="e">
        <f t="shared" si="0"/>
        <v>#REF!</v>
      </c>
      <c r="L22" s="49" t="e">
        <f>INDEX('Pricing Confirm'!$B$4:$B$50,MATCH('Settlement Statement'!E22,'Pricing Confirm'!$E$4:$E$50))</f>
        <v>#REF!</v>
      </c>
      <c r="M22" s="50" t="e">
        <f t="shared" si="1"/>
        <v>#REF!</v>
      </c>
      <c r="N22" s="51" t="e">
        <f t="shared" si="2"/>
        <v>#REF!</v>
      </c>
      <c r="O22" s="48" t="e">
        <f t="shared" si="3"/>
        <v>#REF!</v>
      </c>
      <c r="P22" s="48" t="e">
        <f t="shared" si="4"/>
        <v>#REF!</v>
      </c>
    </row>
    <row r="23" spans="2:16" x14ac:dyDescent="0.25">
      <c r="B23" s="41" t="e">
        <f>'Bid Tape'!#REF!</f>
        <v>#REF!</v>
      </c>
      <c r="C23" s="45" t="e">
        <f>'Bid Tape'!#REF!</f>
        <v>#REF!</v>
      </c>
      <c r="D23" s="45">
        <f t="shared" si="5"/>
        <v>45947</v>
      </c>
      <c r="E23" s="41" t="e">
        <f>'Bid Tape'!#REF!</f>
        <v>#REF!</v>
      </c>
      <c r="F23" s="42" t="e">
        <f>'Bid Tape'!#REF!</f>
        <v>#REF!</v>
      </c>
      <c r="G23" s="43" t="e">
        <f>'Bid Tape'!#REF!</f>
        <v>#REF!</v>
      </c>
      <c r="H23" s="45" t="e">
        <f>'Bid Tape'!#REF!</f>
        <v>#REF!</v>
      </c>
      <c r="I23" s="45" t="e">
        <f>'Bid Tape'!#REF!</f>
        <v>#REF!</v>
      </c>
      <c r="J23" s="47">
        <v>1</v>
      </c>
      <c r="K23" s="48" t="e">
        <f t="shared" si="0"/>
        <v>#REF!</v>
      </c>
      <c r="L23" s="49" t="e">
        <f>INDEX('Pricing Confirm'!$B$4:$B$50,MATCH('Settlement Statement'!E23,'Pricing Confirm'!$E$4:$E$50))</f>
        <v>#REF!</v>
      </c>
      <c r="M23" s="50" t="e">
        <f t="shared" si="1"/>
        <v>#REF!</v>
      </c>
      <c r="N23" s="51" t="e">
        <f t="shared" si="2"/>
        <v>#REF!</v>
      </c>
      <c r="O23" s="48" t="e">
        <f t="shared" si="3"/>
        <v>#REF!</v>
      </c>
      <c r="P23" s="48" t="e">
        <f t="shared" si="4"/>
        <v>#REF!</v>
      </c>
    </row>
    <row r="24" spans="2:16" x14ac:dyDescent="0.25">
      <c r="B24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1912-5F06-4FC7-A95C-842FE37AA6D7}">
  <sheetPr codeName="Sheet5">
    <tabColor rgb="FF1C2952"/>
  </sheetPr>
  <dimension ref="A1:F104"/>
  <sheetViews>
    <sheetView showGridLines="0" zoomScale="85" zoomScaleNormal="85" workbookViewId="0">
      <selection activeCell="A96" sqref="A96"/>
    </sheetView>
  </sheetViews>
  <sheetFormatPr defaultColWidth="8.85546875" defaultRowHeight="15" x14ac:dyDescent="0.25"/>
  <cols>
    <col min="1" max="1" width="28" bestFit="1" customWidth="1"/>
    <col min="2" max="2" width="86.140625" bestFit="1" customWidth="1"/>
    <col min="3" max="3" width="25.42578125" bestFit="1" customWidth="1"/>
    <col min="4" max="4" width="11.85546875" bestFit="1" customWidth="1"/>
    <col min="5" max="5" width="15.7109375" style="12" bestFit="1" customWidth="1"/>
    <col min="6" max="6" width="15" style="12" bestFit="1" customWidth="1"/>
  </cols>
  <sheetData>
    <row r="1" spans="1:6" x14ac:dyDescent="0.25">
      <c r="A1" s="30" t="s">
        <v>13</v>
      </c>
      <c r="B1" s="30" t="s">
        <v>106</v>
      </c>
      <c r="C1" s="30" t="s">
        <v>107</v>
      </c>
      <c r="D1" s="30" t="s">
        <v>29</v>
      </c>
      <c r="E1" s="31" t="s">
        <v>108</v>
      </c>
      <c r="F1" s="31" t="s">
        <v>109</v>
      </c>
    </row>
    <row r="2" spans="1:6" x14ac:dyDescent="0.25">
      <c r="A2" s="25" t="s">
        <v>32</v>
      </c>
      <c r="B2" s="25" t="s">
        <v>110</v>
      </c>
      <c r="C2" s="25" t="s">
        <v>19</v>
      </c>
      <c r="D2" s="25" t="s">
        <v>2</v>
      </c>
      <c r="E2" s="27">
        <v>45702</v>
      </c>
      <c r="F2" s="27">
        <v>46150</v>
      </c>
    </row>
    <row r="3" spans="1:6" x14ac:dyDescent="0.25">
      <c r="A3" s="25" t="s">
        <v>33</v>
      </c>
      <c r="B3" s="25" t="s">
        <v>193</v>
      </c>
      <c r="C3" s="25" t="s">
        <v>111</v>
      </c>
      <c r="D3" s="25" t="s">
        <v>128</v>
      </c>
      <c r="E3" s="26" t="s">
        <v>92</v>
      </c>
      <c r="F3" s="26" t="s">
        <v>92</v>
      </c>
    </row>
    <row r="4" spans="1:6" x14ac:dyDescent="0.25">
      <c r="A4" s="25" t="s">
        <v>34</v>
      </c>
      <c r="B4" s="25" t="s">
        <v>113</v>
      </c>
      <c r="C4" s="25" t="s">
        <v>19</v>
      </c>
      <c r="D4" s="25" t="s">
        <v>0</v>
      </c>
      <c r="E4" s="26">
        <v>123456</v>
      </c>
      <c r="F4" s="26" t="s">
        <v>114</v>
      </c>
    </row>
    <row r="5" spans="1:6" x14ac:dyDescent="0.25">
      <c r="A5" s="25" t="s">
        <v>3</v>
      </c>
      <c r="B5" s="25" t="s">
        <v>116</v>
      </c>
      <c r="C5" s="25" t="s">
        <v>19</v>
      </c>
      <c r="D5" s="25" t="s">
        <v>0</v>
      </c>
      <c r="E5" s="26" t="s">
        <v>115</v>
      </c>
      <c r="F5" s="26" t="s">
        <v>117</v>
      </c>
    </row>
    <row r="6" spans="1:6" x14ac:dyDescent="0.25">
      <c r="A6" s="25" t="s">
        <v>35</v>
      </c>
      <c r="B6" s="25" t="s">
        <v>118</v>
      </c>
      <c r="C6" s="25" t="s">
        <v>19</v>
      </c>
      <c r="D6" s="25" t="s">
        <v>0</v>
      </c>
      <c r="E6" s="26" t="s">
        <v>120</v>
      </c>
      <c r="F6" s="26" t="s">
        <v>121</v>
      </c>
    </row>
    <row r="7" spans="1:6" x14ac:dyDescent="0.25">
      <c r="A7" s="25" t="s">
        <v>36</v>
      </c>
      <c r="B7" s="25" t="s">
        <v>119</v>
      </c>
      <c r="C7" s="25" t="s">
        <v>19</v>
      </c>
      <c r="D7" s="25" t="s">
        <v>0</v>
      </c>
      <c r="E7" s="26" t="s">
        <v>120</v>
      </c>
      <c r="F7" s="26" t="s">
        <v>121</v>
      </c>
    </row>
    <row r="8" spans="1:6" x14ac:dyDescent="0.25">
      <c r="A8" s="25" t="s">
        <v>37</v>
      </c>
      <c r="B8" s="25" t="s">
        <v>122</v>
      </c>
      <c r="C8" s="25" t="s">
        <v>19</v>
      </c>
      <c r="D8" s="25" t="s">
        <v>2</v>
      </c>
      <c r="E8" s="27">
        <v>45702</v>
      </c>
      <c r="F8" s="27">
        <v>46150</v>
      </c>
    </row>
    <row r="9" spans="1:6" x14ac:dyDescent="0.25">
      <c r="A9" s="25" t="s">
        <v>38</v>
      </c>
      <c r="B9" s="25" t="s">
        <v>194</v>
      </c>
      <c r="C9" s="25" t="s">
        <v>19</v>
      </c>
      <c r="D9" s="25" t="s">
        <v>128</v>
      </c>
      <c r="E9" s="26" t="s">
        <v>92</v>
      </c>
      <c r="F9" s="26" t="s">
        <v>93</v>
      </c>
    </row>
    <row r="10" spans="1:6" x14ac:dyDescent="0.25">
      <c r="A10" s="25" t="s">
        <v>39</v>
      </c>
      <c r="B10" s="25" t="s">
        <v>124</v>
      </c>
      <c r="C10" s="25" t="s">
        <v>19</v>
      </c>
      <c r="D10" s="25" t="s">
        <v>146</v>
      </c>
      <c r="E10" s="28">
        <v>125000</v>
      </c>
      <c r="F10" s="28">
        <v>0</v>
      </c>
    </row>
    <row r="11" spans="1:6" x14ac:dyDescent="0.25">
      <c r="A11" s="25" t="s">
        <v>15</v>
      </c>
      <c r="B11" s="25" t="s">
        <v>127</v>
      </c>
      <c r="C11" s="25" t="s">
        <v>19</v>
      </c>
      <c r="D11" s="25" t="s">
        <v>0</v>
      </c>
      <c r="E11" s="26" t="s">
        <v>22</v>
      </c>
      <c r="F11" s="26" t="s">
        <v>126</v>
      </c>
    </row>
    <row r="12" spans="1:6" x14ac:dyDescent="0.25">
      <c r="A12" s="25" t="s">
        <v>40</v>
      </c>
      <c r="B12" s="25" t="s">
        <v>129</v>
      </c>
      <c r="C12" s="25" t="s">
        <v>19</v>
      </c>
      <c r="D12" s="25" t="s">
        <v>128</v>
      </c>
      <c r="E12" s="26" t="s">
        <v>93</v>
      </c>
      <c r="F12" s="26" t="s">
        <v>92</v>
      </c>
    </row>
    <row r="13" spans="1:6" x14ac:dyDescent="0.25">
      <c r="A13" s="25" t="s">
        <v>41</v>
      </c>
      <c r="B13" s="25" t="s">
        <v>130</v>
      </c>
      <c r="C13" s="25" t="s">
        <v>19</v>
      </c>
      <c r="D13" s="25" t="s">
        <v>0</v>
      </c>
      <c r="E13" s="26" t="s">
        <v>94</v>
      </c>
      <c r="F13" s="26" t="s">
        <v>131</v>
      </c>
    </row>
    <row r="14" spans="1:6" x14ac:dyDescent="0.25">
      <c r="A14" s="25" t="s">
        <v>42</v>
      </c>
      <c r="B14" s="25" t="s">
        <v>132</v>
      </c>
      <c r="C14" s="25" t="s">
        <v>19</v>
      </c>
      <c r="D14" s="25" t="s">
        <v>0</v>
      </c>
      <c r="E14" s="26" t="s">
        <v>133</v>
      </c>
      <c r="F14" s="26" t="s">
        <v>134</v>
      </c>
    </row>
    <row r="15" spans="1:6" x14ac:dyDescent="0.25">
      <c r="A15" s="25" t="s">
        <v>43</v>
      </c>
      <c r="B15" s="25" t="s">
        <v>195</v>
      </c>
      <c r="C15" s="25" t="s">
        <v>19</v>
      </c>
      <c r="D15" s="25" t="s">
        <v>0</v>
      </c>
      <c r="E15" s="26" t="s">
        <v>96</v>
      </c>
      <c r="F15" s="26" t="s">
        <v>12</v>
      </c>
    </row>
    <row r="16" spans="1:6" x14ac:dyDescent="0.25">
      <c r="A16" s="25" t="s">
        <v>44</v>
      </c>
      <c r="B16" s="25" t="s">
        <v>135</v>
      </c>
      <c r="C16" s="25" t="s">
        <v>19</v>
      </c>
      <c r="D16" s="25" t="s">
        <v>1</v>
      </c>
      <c r="E16" s="26">
        <v>78745</v>
      </c>
      <c r="F16" s="26">
        <v>98424</v>
      </c>
    </row>
    <row r="17" spans="1:6" x14ac:dyDescent="0.25">
      <c r="A17" s="25" t="s">
        <v>21</v>
      </c>
      <c r="B17" s="25" t="s">
        <v>150</v>
      </c>
      <c r="C17" s="25" t="s">
        <v>19</v>
      </c>
      <c r="D17" s="25" t="s">
        <v>0</v>
      </c>
      <c r="E17" s="26" t="s">
        <v>97</v>
      </c>
      <c r="F17" s="26" t="s">
        <v>136</v>
      </c>
    </row>
    <row r="18" spans="1:6" x14ac:dyDescent="0.25">
      <c r="A18" s="25" t="s">
        <v>45</v>
      </c>
      <c r="B18" s="25" t="s">
        <v>196</v>
      </c>
      <c r="C18" s="25" t="s">
        <v>19</v>
      </c>
      <c r="D18" s="25" t="s">
        <v>1</v>
      </c>
      <c r="E18" s="26">
        <v>1</v>
      </c>
      <c r="F18" s="26">
        <v>2</v>
      </c>
    </row>
    <row r="19" spans="1:6" x14ac:dyDescent="0.25">
      <c r="A19" s="25" t="s">
        <v>46</v>
      </c>
      <c r="B19" s="25" t="s">
        <v>151</v>
      </c>
      <c r="C19" s="25" t="s">
        <v>19</v>
      </c>
      <c r="D19" s="25" t="s">
        <v>1</v>
      </c>
      <c r="E19" s="26">
        <v>1</v>
      </c>
      <c r="F19" s="26">
        <v>3</v>
      </c>
    </row>
    <row r="20" spans="1:6" x14ac:dyDescent="0.25">
      <c r="A20" s="25" t="s">
        <v>47</v>
      </c>
      <c r="B20" s="25" t="s">
        <v>137</v>
      </c>
      <c r="C20" s="25" t="s">
        <v>19</v>
      </c>
      <c r="D20" s="25" t="s">
        <v>146</v>
      </c>
      <c r="E20" s="28">
        <v>125000</v>
      </c>
      <c r="F20" s="28">
        <v>250000</v>
      </c>
    </row>
    <row r="21" spans="1:6" x14ac:dyDescent="0.25">
      <c r="A21" s="25" t="s">
        <v>48</v>
      </c>
      <c r="B21" s="25" t="s">
        <v>138</v>
      </c>
      <c r="C21" s="25" t="s">
        <v>19</v>
      </c>
      <c r="D21" s="25" t="s">
        <v>146</v>
      </c>
      <c r="E21" s="28">
        <v>125000</v>
      </c>
      <c r="F21" s="28">
        <v>250000</v>
      </c>
    </row>
    <row r="22" spans="1:6" x14ac:dyDescent="0.25">
      <c r="A22" s="25" t="s">
        <v>49</v>
      </c>
      <c r="B22" s="25" t="s">
        <v>197</v>
      </c>
      <c r="C22" s="25" t="s">
        <v>19</v>
      </c>
      <c r="D22" s="25" t="s">
        <v>146</v>
      </c>
      <c r="E22" s="28">
        <v>0</v>
      </c>
      <c r="F22" s="28">
        <v>50000</v>
      </c>
    </row>
    <row r="23" spans="1:6" x14ac:dyDescent="0.25">
      <c r="A23" s="25" t="s">
        <v>50</v>
      </c>
      <c r="B23" s="25" t="s">
        <v>139</v>
      </c>
      <c r="C23" s="25" t="s">
        <v>19</v>
      </c>
      <c r="D23" s="25" t="s">
        <v>146</v>
      </c>
      <c r="E23" s="28">
        <v>750000</v>
      </c>
      <c r="F23" s="28">
        <v>450000</v>
      </c>
    </row>
    <row r="24" spans="1:6" x14ac:dyDescent="0.25">
      <c r="A24" s="25" t="s">
        <v>51</v>
      </c>
      <c r="B24" s="25" t="s">
        <v>140</v>
      </c>
      <c r="C24" s="25" t="s">
        <v>19</v>
      </c>
      <c r="D24" s="25" t="s">
        <v>146</v>
      </c>
      <c r="E24" s="28">
        <v>0</v>
      </c>
      <c r="F24" s="28">
        <v>50000</v>
      </c>
    </row>
    <row r="25" spans="1:6" x14ac:dyDescent="0.25">
      <c r="A25" s="25" t="s">
        <v>52</v>
      </c>
      <c r="B25" s="25" t="s">
        <v>141</v>
      </c>
      <c r="C25" s="25" t="s">
        <v>19</v>
      </c>
      <c r="D25" s="25" t="s">
        <v>146</v>
      </c>
      <c r="E25" s="28">
        <v>125000</v>
      </c>
      <c r="F25" s="28">
        <v>250000</v>
      </c>
    </row>
    <row r="26" spans="1:6" x14ac:dyDescent="0.25">
      <c r="A26" s="25" t="s">
        <v>53</v>
      </c>
      <c r="B26" s="25" t="s">
        <v>142</v>
      </c>
      <c r="C26" s="25" t="s">
        <v>19</v>
      </c>
      <c r="D26" s="25" t="s">
        <v>146</v>
      </c>
      <c r="E26" s="28">
        <v>0</v>
      </c>
      <c r="F26" s="28">
        <v>6000</v>
      </c>
    </row>
    <row r="27" spans="1:6" x14ac:dyDescent="0.25">
      <c r="A27" s="25" t="s">
        <v>54</v>
      </c>
      <c r="B27" s="25" t="s">
        <v>143</v>
      </c>
      <c r="C27" s="25" t="s">
        <v>19</v>
      </c>
      <c r="D27" s="25" t="s">
        <v>146</v>
      </c>
      <c r="E27" s="28">
        <v>0</v>
      </c>
      <c r="F27" s="28">
        <v>50000</v>
      </c>
    </row>
    <row r="28" spans="1:6" x14ac:dyDescent="0.25">
      <c r="A28" s="25" t="s">
        <v>55</v>
      </c>
      <c r="B28" s="25" t="s">
        <v>144</v>
      </c>
      <c r="C28" s="25" t="s">
        <v>19</v>
      </c>
      <c r="D28" s="25" t="s">
        <v>146</v>
      </c>
      <c r="E28" s="28">
        <v>125000</v>
      </c>
      <c r="F28" s="28">
        <v>250000</v>
      </c>
    </row>
    <row r="29" spans="1:6" x14ac:dyDescent="0.25">
      <c r="A29" s="25" t="s">
        <v>56</v>
      </c>
      <c r="B29" s="25" t="s">
        <v>198</v>
      </c>
      <c r="C29" s="25" t="s">
        <v>19</v>
      </c>
      <c r="D29" s="25" t="s">
        <v>146</v>
      </c>
      <c r="E29" s="28">
        <v>750000</v>
      </c>
      <c r="F29" s="28">
        <v>450000</v>
      </c>
    </row>
    <row r="30" spans="1:6" x14ac:dyDescent="0.25">
      <c r="A30" s="25" t="s">
        <v>57</v>
      </c>
      <c r="B30" s="25" t="s">
        <v>199</v>
      </c>
      <c r="C30" s="25" t="s">
        <v>19</v>
      </c>
      <c r="D30" s="25" t="s">
        <v>146</v>
      </c>
      <c r="E30" s="28">
        <v>125000</v>
      </c>
      <c r="F30" s="28">
        <v>250000</v>
      </c>
    </row>
    <row r="31" spans="1:6" x14ac:dyDescent="0.25">
      <c r="A31" s="25" t="s">
        <v>58</v>
      </c>
      <c r="B31" s="25" t="s">
        <v>145</v>
      </c>
      <c r="C31" s="25" t="s">
        <v>19</v>
      </c>
      <c r="D31" s="25" t="s">
        <v>123</v>
      </c>
      <c r="E31" s="29">
        <v>0</v>
      </c>
      <c r="F31" s="29">
        <v>0.45</v>
      </c>
    </row>
    <row r="32" spans="1:6" x14ac:dyDescent="0.25">
      <c r="A32" s="25" t="s">
        <v>59</v>
      </c>
      <c r="B32" s="25" t="s">
        <v>147</v>
      </c>
      <c r="C32" s="25" t="s">
        <v>19</v>
      </c>
      <c r="D32" s="25" t="s">
        <v>146</v>
      </c>
      <c r="E32" s="28">
        <v>125000</v>
      </c>
      <c r="F32" s="28">
        <v>250000</v>
      </c>
    </row>
    <row r="33" spans="1:6" x14ac:dyDescent="0.25">
      <c r="A33" s="25" t="s">
        <v>148</v>
      </c>
      <c r="B33" s="25" t="s">
        <v>149</v>
      </c>
      <c r="C33" s="25" t="s">
        <v>19</v>
      </c>
      <c r="D33" s="25" t="s">
        <v>2</v>
      </c>
      <c r="E33" s="27">
        <v>45702</v>
      </c>
      <c r="F33" s="27">
        <v>46150</v>
      </c>
    </row>
    <row r="34" spans="1:6" x14ac:dyDescent="0.25">
      <c r="A34" s="25" t="s">
        <v>60</v>
      </c>
      <c r="B34" s="25" t="s">
        <v>152</v>
      </c>
      <c r="C34" s="25" t="s">
        <v>19</v>
      </c>
      <c r="D34" s="25" t="s">
        <v>146</v>
      </c>
      <c r="E34" s="28">
        <v>0</v>
      </c>
      <c r="F34" s="28">
        <v>50000</v>
      </c>
    </row>
    <row r="35" spans="1:6" x14ac:dyDescent="0.25">
      <c r="A35" s="25" t="s">
        <v>61</v>
      </c>
      <c r="B35" s="25" t="s">
        <v>153</v>
      </c>
      <c r="C35" s="25" t="s">
        <v>19</v>
      </c>
      <c r="D35" s="25" t="s">
        <v>146</v>
      </c>
      <c r="E35" s="28">
        <v>0</v>
      </c>
      <c r="F35" s="28">
        <v>50000</v>
      </c>
    </row>
    <row r="36" spans="1:6" x14ac:dyDescent="0.25">
      <c r="A36" s="25" t="s">
        <v>62</v>
      </c>
      <c r="B36" s="25" t="s">
        <v>154</v>
      </c>
      <c r="C36" s="25" t="s">
        <v>19</v>
      </c>
      <c r="D36" s="25" t="s">
        <v>146</v>
      </c>
      <c r="E36" s="28">
        <v>0</v>
      </c>
      <c r="F36" s="28">
        <v>50000</v>
      </c>
    </row>
    <row r="37" spans="1:6" x14ac:dyDescent="0.25">
      <c r="A37" s="25" t="s">
        <v>63</v>
      </c>
      <c r="B37" s="25" t="s">
        <v>155</v>
      </c>
      <c r="C37" s="25" t="s">
        <v>19</v>
      </c>
      <c r="D37" s="25" t="s">
        <v>146</v>
      </c>
      <c r="E37" s="28">
        <v>750000</v>
      </c>
      <c r="F37" s="28">
        <v>450000</v>
      </c>
    </row>
    <row r="38" spans="1:6" x14ac:dyDescent="0.25">
      <c r="A38" s="25" t="s">
        <v>64</v>
      </c>
      <c r="B38" s="25" t="s">
        <v>157</v>
      </c>
      <c r="C38" s="25" t="s">
        <v>156</v>
      </c>
      <c r="D38" s="25" t="s">
        <v>146</v>
      </c>
      <c r="E38" s="28">
        <v>750000</v>
      </c>
      <c r="F38" s="28">
        <v>450000</v>
      </c>
    </row>
    <row r="39" spans="1:6" x14ac:dyDescent="0.25">
      <c r="A39" s="25" t="s">
        <v>65</v>
      </c>
      <c r="B39" s="25" t="s">
        <v>158</v>
      </c>
      <c r="C39" s="25" t="s">
        <v>19</v>
      </c>
      <c r="D39" s="25" t="s">
        <v>2</v>
      </c>
      <c r="E39" s="27">
        <v>45702</v>
      </c>
      <c r="F39" s="27">
        <v>46150</v>
      </c>
    </row>
    <row r="40" spans="1:6" x14ac:dyDescent="0.25">
      <c r="A40" s="25" t="s">
        <v>66</v>
      </c>
      <c r="B40" s="25" t="s">
        <v>182</v>
      </c>
      <c r="C40" s="25" t="s">
        <v>19</v>
      </c>
      <c r="D40" s="25" t="s">
        <v>123</v>
      </c>
      <c r="E40" s="29">
        <v>0.75</v>
      </c>
      <c r="F40" s="29">
        <v>0.6</v>
      </c>
    </row>
    <row r="41" spans="1:6" x14ac:dyDescent="0.25">
      <c r="A41" s="25" t="s">
        <v>67</v>
      </c>
      <c r="B41" s="25" t="s">
        <v>159</v>
      </c>
      <c r="C41" s="25" t="s">
        <v>156</v>
      </c>
      <c r="D41" s="25" t="s">
        <v>123</v>
      </c>
      <c r="E41" s="29">
        <v>0.75</v>
      </c>
      <c r="F41" s="29">
        <v>0.6</v>
      </c>
    </row>
    <row r="42" spans="1:6" x14ac:dyDescent="0.25">
      <c r="A42" s="25" t="s">
        <v>68</v>
      </c>
      <c r="B42" s="25" t="s">
        <v>160</v>
      </c>
      <c r="C42" s="25" t="s">
        <v>156</v>
      </c>
      <c r="D42" s="25" t="s">
        <v>123</v>
      </c>
      <c r="E42" s="29">
        <v>0.75</v>
      </c>
      <c r="F42" s="29">
        <v>0.6</v>
      </c>
    </row>
    <row r="43" spans="1:6" x14ac:dyDescent="0.25">
      <c r="A43" s="25" t="s">
        <v>69</v>
      </c>
      <c r="B43" s="25" t="s">
        <v>161</v>
      </c>
      <c r="C43" s="25" t="s">
        <v>19</v>
      </c>
      <c r="D43" s="25" t="s">
        <v>1</v>
      </c>
      <c r="E43" s="26">
        <v>2500</v>
      </c>
      <c r="F43" s="26">
        <v>1750</v>
      </c>
    </row>
    <row r="44" spans="1:6" x14ac:dyDescent="0.25">
      <c r="A44" s="25" t="s">
        <v>70</v>
      </c>
      <c r="B44" s="25" t="s">
        <v>162</v>
      </c>
      <c r="C44" s="25" t="s">
        <v>19</v>
      </c>
      <c r="D44" s="25" t="s">
        <v>1</v>
      </c>
      <c r="E44" s="26">
        <v>2500</v>
      </c>
      <c r="F44" s="26">
        <v>1750</v>
      </c>
    </row>
    <row r="45" spans="1:6" x14ac:dyDescent="0.25">
      <c r="A45" s="25" t="s">
        <v>26</v>
      </c>
      <c r="B45" s="25" t="s">
        <v>163</v>
      </c>
      <c r="C45" s="25" t="s">
        <v>19</v>
      </c>
      <c r="D45" s="25" t="s">
        <v>1</v>
      </c>
      <c r="E45" s="26">
        <v>12</v>
      </c>
      <c r="F45" s="26">
        <v>18</v>
      </c>
    </row>
    <row r="46" spans="1:6" x14ac:dyDescent="0.25">
      <c r="A46" s="25" t="s">
        <v>71</v>
      </c>
      <c r="B46" s="25" t="s">
        <v>164</v>
      </c>
      <c r="C46" s="25" t="s">
        <v>19</v>
      </c>
      <c r="D46" s="25" t="s">
        <v>2</v>
      </c>
      <c r="E46" s="27">
        <v>45702</v>
      </c>
      <c r="F46" s="27">
        <v>46150</v>
      </c>
    </row>
    <row r="47" spans="1:6" x14ac:dyDescent="0.25">
      <c r="A47" s="25" t="s">
        <v>17</v>
      </c>
      <c r="B47" s="25" t="s">
        <v>165</v>
      </c>
      <c r="C47" s="25" t="s">
        <v>19</v>
      </c>
      <c r="D47" s="25" t="s">
        <v>2</v>
      </c>
      <c r="E47" s="27">
        <v>45702</v>
      </c>
      <c r="F47" s="27">
        <v>46150</v>
      </c>
    </row>
    <row r="48" spans="1:6" x14ac:dyDescent="0.25">
      <c r="A48" s="25" t="s">
        <v>72</v>
      </c>
      <c r="B48" s="25" t="s">
        <v>183</v>
      </c>
      <c r="C48" s="25" t="s">
        <v>19</v>
      </c>
      <c r="D48" s="25" t="s">
        <v>2</v>
      </c>
      <c r="E48" s="27">
        <v>45702</v>
      </c>
      <c r="F48" s="27">
        <v>46150</v>
      </c>
    </row>
    <row r="49" spans="1:6" x14ac:dyDescent="0.25">
      <c r="A49" s="25" t="s">
        <v>73</v>
      </c>
      <c r="B49" s="25" t="s">
        <v>184</v>
      </c>
      <c r="C49" s="25" t="s">
        <v>19</v>
      </c>
      <c r="D49" s="25" t="s">
        <v>2</v>
      </c>
      <c r="E49" s="27">
        <v>45702</v>
      </c>
      <c r="F49" s="27">
        <v>46150</v>
      </c>
    </row>
    <row r="50" spans="1:6" x14ac:dyDescent="0.25">
      <c r="A50" s="25" t="s">
        <v>74</v>
      </c>
      <c r="B50" s="25" t="s">
        <v>166</v>
      </c>
      <c r="C50" s="25" t="s">
        <v>19</v>
      </c>
      <c r="D50" s="25" t="s">
        <v>128</v>
      </c>
      <c r="E50" s="26" t="s">
        <v>92</v>
      </c>
      <c r="F50" s="26" t="s">
        <v>93</v>
      </c>
    </row>
    <row r="51" spans="1:6" x14ac:dyDescent="0.25">
      <c r="A51" s="25" t="s">
        <v>75</v>
      </c>
      <c r="B51" s="25" t="s">
        <v>185</v>
      </c>
      <c r="C51" s="25" t="s">
        <v>19</v>
      </c>
      <c r="D51" s="25" t="s">
        <v>0</v>
      </c>
      <c r="E51" s="26" t="s">
        <v>24</v>
      </c>
      <c r="F51" s="26" t="s">
        <v>30</v>
      </c>
    </row>
    <row r="52" spans="1:6" x14ac:dyDescent="0.25">
      <c r="A52" s="25" t="s">
        <v>16</v>
      </c>
      <c r="B52" s="25" t="s">
        <v>167</v>
      </c>
      <c r="C52" s="25" t="s">
        <v>19</v>
      </c>
      <c r="D52" s="25" t="s">
        <v>123</v>
      </c>
      <c r="E52" s="29">
        <v>8.9899999999999994E-2</v>
      </c>
      <c r="F52" s="29">
        <v>0.1</v>
      </c>
    </row>
    <row r="53" spans="1:6" x14ac:dyDescent="0.25">
      <c r="A53" s="25" t="s">
        <v>76</v>
      </c>
      <c r="B53" s="25" t="s">
        <v>168</v>
      </c>
      <c r="C53" s="25" t="s">
        <v>19</v>
      </c>
      <c r="D53" s="25" t="s">
        <v>123</v>
      </c>
      <c r="E53" s="29">
        <v>0.08</v>
      </c>
      <c r="F53" s="29">
        <v>9.2499999999999999E-2</v>
      </c>
    </row>
    <row r="54" spans="1:6" x14ac:dyDescent="0.25">
      <c r="A54" s="25" t="s">
        <v>77</v>
      </c>
      <c r="B54" s="25" t="s">
        <v>169</v>
      </c>
      <c r="C54" s="25" t="s">
        <v>19</v>
      </c>
      <c r="D54" s="25" t="s">
        <v>123</v>
      </c>
      <c r="E54" s="29">
        <v>9.9000000000000008E-3</v>
      </c>
      <c r="F54" s="29">
        <v>7.4999999999999997E-3</v>
      </c>
    </row>
    <row r="55" spans="1:6" x14ac:dyDescent="0.25">
      <c r="A55" s="25" t="s">
        <v>78</v>
      </c>
      <c r="B55" s="25" t="s">
        <v>186</v>
      </c>
      <c r="C55" s="25" t="s">
        <v>19</v>
      </c>
      <c r="D55" s="25" t="s">
        <v>123</v>
      </c>
      <c r="E55" s="29">
        <v>0.01</v>
      </c>
      <c r="F55" s="29">
        <v>1.4999999999999999E-2</v>
      </c>
    </row>
    <row r="56" spans="1:6" x14ac:dyDescent="0.25">
      <c r="A56" s="25" t="s">
        <v>79</v>
      </c>
      <c r="B56" s="25" t="s">
        <v>170</v>
      </c>
      <c r="C56" s="25" t="s">
        <v>19</v>
      </c>
      <c r="D56" s="25" t="s">
        <v>146</v>
      </c>
      <c r="E56" s="28">
        <v>75000</v>
      </c>
      <c r="F56" s="28">
        <v>45000</v>
      </c>
    </row>
    <row r="57" spans="1:6" x14ac:dyDescent="0.25">
      <c r="A57" s="25" t="s">
        <v>4</v>
      </c>
      <c r="B57" s="25" t="s">
        <v>187</v>
      </c>
      <c r="C57" s="25" t="s">
        <v>19</v>
      </c>
      <c r="D57" s="25" t="s">
        <v>1</v>
      </c>
      <c r="E57" s="26">
        <v>720</v>
      </c>
      <c r="F57" s="26">
        <v>700</v>
      </c>
    </row>
    <row r="58" spans="1:6" x14ac:dyDescent="0.25">
      <c r="A58" s="25" t="s">
        <v>80</v>
      </c>
      <c r="B58" s="25" t="s">
        <v>171</v>
      </c>
      <c r="C58" s="25" t="s">
        <v>19</v>
      </c>
      <c r="D58" s="25" t="s">
        <v>128</v>
      </c>
      <c r="E58" s="26" t="s">
        <v>93</v>
      </c>
      <c r="F58" s="26" t="s">
        <v>92</v>
      </c>
    </row>
    <row r="59" spans="1:6" x14ac:dyDescent="0.25">
      <c r="A59" s="25" t="s">
        <v>81</v>
      </c>
      <c r="B59" s="25" t="s">
        <v>188</v>
      </c>
      <c r="C59" s="25" t="s">
        <v>19</v>
      </c>
      <c r="D59" s="25" t="s">
        <v>1</v>
      </c>
      <c r="E59" s="26">
        <v>5</v>
      </c>
      <c r="F59" s="26">
        <v>10</v>
      </c>
    </row>
    <row r="60" spans="1:6" x14ac:dyDescent="0.25">
      <c r="A60" s="25" t="s">
        <v>82</v>
      </c>
      <c r="B60" s="25" t="s">
        <v>172</v>
      </c>
      <c r="C60" s="25" t="s">
        <v>19</v>
      </c>
      <c r="D60" s="25" t="s">
        <v>0</v>
      </c>
      <c r="E60" s="26" t="s">
        <v>98</v>
      </c>
      <c r="F60" s="26" t="s">
        <v>173</v>
      </c>
    </row>
    <row r="61" spans="1:6" x14ac:dyDescent="0.25">
      <c r="A61" s="25" t="s">
        <v>83</v>
      </c>
      <c r="B61" s="25" t="s">
        <v>174</v>
      </c>
      <c r="C61" s="25" t="s">
        <v>19</v>
      </c>
      <c r="D61" s="25" t="s">
        <v>128</v>
      </c>
      <c r="E61" s="26" t="s">
        <v>92</v>
      </c>
      <c r="F61" s="26" t="s">
        <v>93</v>
      </c>
    </row>
    <row r="62" spans="1:6" x14ac:dyDescent="0.25">
      <c r="A62" s="25" t="s">
        <v>84</v>
      </c>
      <c r="B62" s="25" t="s">
        <v>189</v>
      </c>
      <c r="C62" s="25" t="s">
        <v>19</v>
      </c>
      <c r="D62" s="25" t="s">
        <v>0</v>
      </c>
      <c r="E62" s="26" t="s">
        <v>101</v>
      </c>
      <c r="F62" s="26" t="s">
        <v>99</v>
      </c>
    </row>
    <row r="63" spans="1:6" x14ac:dyDescent="0.25">
      <c r="A63" s="25" t="s">
        <v>85</v>
      </c>
      <c r="B63" s="25" t="s">
        <v>341</v>
      </c>
      <c r="C63" s="25" t="s">
        <v>19</v>
      </c>
      <c r="D63" s="25" t="s">
        <v>128</v>
      </c>
      <c r="E63" s="26" t="s">
        <v>92</v>
      </c>
      <c r="F63" s="26" t="s">
        <v>93</v>
      </c>
    </row>
    <row r="64" spans="1:6" x14ac:dyDescent="0.25">
      <c r="A64" s="25" t="s">
        <v>339</v>
      </c>
      <c r="B64" s="25" t="s">
        <v>342</v>
      </c>
      <c r="C64" s="25" t="s">
        <v>19</v>
      </c>
      <c r="D64" s="25" t="s">
        <v>128</v>
      </c>
      <c r="E64" s="26" t="s">
        <v>92</v>
      </c>
      <c r="F64" s="26" t="s">
        <v>93</v>
      </c>
    </row>
    <row r="65" spans="1:6" x14ac:dyDescent="0.25">
      <c r="A65" s="25" t="s">
        <v>340</v>
      </c>
      <c r="B65" s="25" t="s">
        <v>343</v>
      </c>
      <c r="C65" s="25" t="s">
        <v>19</v>
      </c>
      <c r="D65" s="25" t="s">
        <v>128</v>
      </c>
      <c r="E65" s="26" t="s">
        <v>92</v>
      </c>
      <c r="F65" s="26" t="s">
        <v>93</v>
      </c>
    </row>
    <row r="66" spans="1:6" x14ac:dyDescent="0.25">
      <c r="A66" s="25" t="s">
        <v>86</v>
      </c>
      <c r="B66" s="25" t="s">
        <v>190</v>
      </c>
      <c r="C66" s="25" t="s">
        <v>19</v>
      </c>
      <c r="D66" s="25" t="s">
        <v>128</v>
      </c>
      <c r="E66" s="26" t="s">
        <v>92</v>
      </c>
      <c r="F66" s="26" t="s">
        <v>93</v>
      </c>
    </row>
    <row r="67" spans="1:6" x14ac:dyDescent="0.25">
      <c r="A67" s="25" t="s">
        <v>87</v>
      </c>
      <c r="B67" s="25" t="s">
        <v>175</v>
      </c>
      <c r="C67" s="25" t="s">
        <v>176</v>
      </c>
      <c r="D67" s="25" t="s">
        <v>146</v>
      </c>
      <c r="E67" s="28">
        <v>500</v>
      </c>
      <c r="F67" s="28">
        <v>5000</v>
      </c>
    </row>
    <row r="68" spans="1:6" x14ac:dyDescent="0.25">
      <c r="A68" s="25" t="s">
        <v>88</v>
      </c>
      <c r="B68" s="25" t="s">
        <v>177</v>
      </c>
      <c r="C68" s="25" t="s">
        <v>176</v>
      </c>
      <c r="D68" s="25" t="s">
        <v>123</v>
      </c>
      <c r="E68" s="29">
        <v>0.01</v>
      </c>
      <c r="F68" s="29">
        <v>1.4999999999999999E-2</v>
      </c>
    </row>
    <row r="69" spans="1:6" x14ac:dyDescent="0.25">
      <c r="A69" s="25" t="s">
        <v>191</v>
      </c>
      <c r="B69" s="25" t="s">
        <v>192</v>
      </c>
      <c r="C69" s="25" t="s">
        <v>19</v>
      </c>
      <c r="D69" s="25" t="s">
        <v>0</v>
      </c>
      <c r="E69" s="26" t="s">
        <v>11</v>
      </c>
      <c r="F69" s="26" t="s">
        <v>178</v>
      </c>
    </row>
    <row r="70" spans="1:6" x14ac:dyDescent="0.25">
      <c r="A70" s="25" t="s">
        <v>90</v>
      </c>
      <c r="B70" s="25" t="s">
        <v>179</v>
      </c>
      <c r="C70" s="25" t="s">
        <v>25</v>
      </c>
      <c r="D70" s="25" t="s">
        <v>0</v>
      </c>
      <c r="E70" s="26"/>
      <c r="F70" s="26"/>
    </row>
    <row r="71" spans="1:6" x14ac:dyDescent="0.25">
      <c r="A71" s="25" t="s">
        <v>105</v>
      </c>
      <c r="B71" s="25" t="s">
        <v>180</v>
      </c>
      <c r="C71" s="25" t="s">
        <v>181</v>
      </c>
      <c r="D71" s="25" t="s">
        <v>1</v>
      </c>
      <c r="E71" s="26">
        <v>654321987</v>
      </c>
      <c r="F71" s="26">
        <v>654321789</v>
      </c>
    </row>
    <row r="77" spans="1:6" x14ac:dyDescent="0.25">
      <c r="A77" t="s">
        <v>112</v>
      </c>
    </row>
    <row r="78" spans="1:6" x14ac:dyDescent="0.25">
      <c r="A78" t="s">
        <v>92</v>
      </c>
    </row>
    <row r="79" spans="1:6" x14ac:dyDescent="0.25">
      <c r="A79" t="s">
        <v>93</v>
      </c>
    </row>
    <row r="81" spans="1:1" x14ac:dyDescent="0.25">
      <c r="A81" t="s">
        <v>15</v>
      </c>
    </row>
    <row r="82" spans="1:1" x14ac:dyDescent="0.25">
      <c r="A82" t="s">
        <v>22</v>
      </c>
    </row>
    <row r="83" spans="1:1" x14ac:dyDescent="0.25">
      <c r="A83" t="s">
        <v>126</v>
      </c>
    </row>
    <row r="84" spans="1:1" x14ac:dyDescent="0.25">
      <c r="A84" t="s">
        <v>102</v>
      </c>
    </row>
    <row r="86" spans="1:1" x14ac:dyDescent="0.25">
      <c r="A86" t="s">
        <v>10</v>
      </c>
    </row>
    <row r="87" spans="1:1" x14ac:dyDescent="0.25">
      <c r="A87" t="s">
        <v>24</v>
      </c>
    </row>
    <row r="88" spans="1:1" x14ac:dyDescent="0.25">
      <c r="A88" t="s">
        <v>30</v>
      </c>
    </row>
    <row r="89" spans="1:1" x14ac:dyDescent="0.25">
      <c r="A89" t="s">
        <v>31</v>
      </c>
    </row>
    <row r="91" spans="1:1" x14ac:dyDescent="0.25">
      <c r="A91" t="s">
        <v>82</v>
      </c>
    </row>
    <row r="92" spans="1:1" x14ac:dyDescent="0.25">
      <c r="A92" t="s">
        <v>98</v>
      </c>
    </row>
    <row r="93" spans="1:1" x14ac:dyDescent="0.25">
      <c r="A93" t="s">
        <v>173</v>
      </c>
    </row>
    <row r="94" spans="1:1" x14ac:dyDescent="0.25">
      <c r="A94" t="s">
        <v>25</v>
      </c>
    </row>
    <row r="96" spans="1:1" x14ac:dyDescent="0.25">
      <c r="A96" t="s">
        <v>21</v>
      </c>
    </row>
    <row r="97" spans="1:1" x14ac:dyDescent="0.25">
      <c r="A97" t="s">
        <v>97</v>
      </c>
    </row>
    <row r="98" spans="1:1" x14ac:dyDescent="0.25">
      <c r="A98" t="s">
        <v>256</v>
      </c>
    </row>
    <row r="99" spans="1:1" x14ac:dyDescent="0.25">
      <c r="A99" t="s">
        <v>257</v>
      </c>
    </row>
    <row r="100" spans="1:1" x14ac:dyDescent="0.25">
      <c r="A100" t="s">
        <v>136</v>
      </c>
    </row>
    <row r="101" spans="1:1" x14ac:dyDescent="0.25">
      <c r="A101" t="s">
        <v>258</v>
      </c>
    </row>
    <row r="102" spans="1:1" x14ac:dyDescent="0.25">
      <c r="A102" t="s">
        <v>259</v>
      </c>
    </row>
    <row r="103" spans="1:1" x14ac:dyDescent="0.25">
      <c r="A103" t="s">
        <v>28</v>
      </c>
    </row>
    <row r="104" spans="1:1" x14ac:dyDescent="0.25">
      <c r="A104" t="s">
        <v>260</v>
      </c>
    </row>
  </sheetData>
  <conditionalFormatting sqref="A2:F71">
    <cfRule type="expression" dxfId="4" priority="1">
      <formula>MOD(ROW(),2)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764F-0BDA-4026-A5B7-3DB10E341BF6}">
  <sheetPr codeName="Sheet2">
    <tabColor rgb="FF85BCFF"/>
  </sheetPr>
  <dimension ref="B1:BF7"/>
  <sheetViews>
    <sheetView showGridLines="0" zoomScale="70" zoomScaleNormal="70" workbookViewId="0">
      <selection activeCell="A3" sqref="A3"/>
    </sheetView>
  </sheetViews>
  <sheetFormatPr defaultColWidth="8.85546875" defaultRowHeight="15" x14ac:dyDescent="0.25"/>
  <cols>
    <col min="1" max="1" width="3.85546875" customWidth="1"/>
    <col min="2" max="2" width="10.85546875" bestFit="1" customWidth="1"/>
    <col min="5" max="5" width="15.7109375" style="1" bestFit="1" customWidth="1"/>
    <col min="6" max="6" width="16.85546875" style="1" bestFit="1" customWidth="1"/>
    <col min="7" max="7" width="23.7109375" style="1" bestFit="1" customWidth="1"/>
    <col min="8" max="8" width="16.42578125" style="1" bestFit="1" customWidth="1"/>
    <col min="9" max="9" width="7.28515625" style="1" bestFit="1" customWidth="1"/>
    <col min="10" max="10" width="26.7109375" style="1" bestFit="1" customWidth="1"/>
    <col min="11" max="11" width="16.42578125" style="1" bestFit="1" customWidth="1"/>
    <col min="12" max="12" width="14.85546875" style="1" bestFit="1" customWidth="1"/>
    <col min="13" max="13" width="13.85546875" style="1" bestFit="1" customWidth="1"/>
    <col min="14" max="14" width="18.85546875" style="1" bestFit="1" customWidth="1"/>
    <col min="15" max="15" width="27.28515625" style="1" bestFit="1" customWidth="1"/>
    <col min="16" max="16" width="18" style="32" bestFit="1" customWidth="1"/>
    <col min="17" max="17" width="14.28515625" style="32" bestFit="1" customWidth="1"/>
    <col min="18" max="18" width="13.85546875" style="32" bestFit="1" customWidth="1"/>
    <col min="19" max="19" width="16.85546875" style="32" bestFit="1" customWidth="1"/>
    <col min="20" max="20" width="11.42578125" style="32" bestFit="1" customWidth="1"/>
    <col min="21" max="21" width="12" style="1" bestFit="1" customWidth="1"/>
    <col min="22" max="22" width="12" style="1" customWidth="1"/>
    <col min="23" max="23" width="15.28515625" style="1" bestFit="1" customWidth="1"/>
    <col min="24" max="24" width="22.140625" style="32" bestFit="1" customWidth="1"/>
    <col min="25" max="25" width="19.140625" style="32" bestFit="1" customWidth="1"/>
    <col min="26" max="26" width="18.85546875" style="32" bestFit="1" customWidth="1"/>
    <col min="27" max="27" width="21.85546875" style="32" bestFit="1" customWidth="1"/>
    <col min="29" max="29" width="12.7109375" bestFit="1" customWidth="1"/>
    <col min="30" max="30" width="12" bestFit="1" customWidth="1"/>
    <col min="31" max="31" width="28.7109375" style="1" bestFit="1" customWidth="1"/>
    <col min="32" max="32" width="12.140625" bestFit="1" customWidth="1"/>
    <col min="33" max="34" width="15.28515625" bestFit="1" customWidth="1"/>
    <col min="35" max="35" width="8.85546875" style="1" bestFit="1" customWidth="1"/>
    <col min="36" max="36" width="8.85546875" bestFit="1" customWidth="1"/>
    <col min="37" max="37" width="7.7109375" bestFit="1" customWidth="1"/>
    <col min="38" max="38" width="10.7109375" bestFit="1" customWidth="1"/>
    <col min="39" max="39" width="8.85546875" bestFit="1" customWidth="1"/>
    <col min="40" max="40" width="9.28515625" bestFit="1" customWidth="1"/>
    <col min="41" max="41" width="12.7109375" bestFit="1" customWidth="1"/>
    <col min="42" max="42" width="10.85546875" bestFit="1" customWidth="1"/>
    <col min="43" max="43" width="11.28515625" bestFit="1" customWidth="1"/>
    <col min="44" max="44" width="10.85546875" bestFit="1" customWidth="1"/>
    <col min="45" max="45" width="17.28515625" bestFit="1" customWidth="1"/>
    <col min="46" max="46" width="17" bestFit="1" customWidth="1"/>
    <col min="47" max="47" width="12" bestFit="1" customWidth="1"/>
    <col min="48" max="48" width="18.7109375" bestFit="1" customWidth="1"/>
    <col min="49" max="51" width="18.7109375" customWidth="1"/>
    <col min="52" max="52" width="19.42578125" bestFit="1" customWidth="1"/>
    <col min="53" max="54" width="10.85546875" bestFit="1" customWidth="1"/>
    <col min="55" max="55" width="10.140625" bestFit="1" customWidth="1"/>
    <col min="56" max="56" width="14" bestFit="1" customWidth="1"/>
    <col min="57" max="57" width="14.28515625" bestFit="1" customWidth="1"/>
    <col min="58" max="58" width="8.85546875" bestFit="1" customWidth="1"/>
  </cols>
  <sheetData>
    <row r="1" spans="2:58" x14ac:dyDescent="0.25">
      <c r="E1" s="33" t="str">
        <f>IF(COUNT(E4:E53)=COUNT('Bid Tape'!D3:D49),"","COUNT ERROR")</f>
        <v/>
      </c>
    </row>
    <row r="2" spans="2:58" x14ac:dyDescent="0.25">
      <c r="E2" s="6"/>
    </row>
    <row r="3" spans="2:58" x14ac:dyDescent="0.25">
      <c r="B3" s="36" t="s">
        <v>344</v>
      </c>
      <c r="C3" s="36" t="s">
        <v>345</v>
      </c>
      <c r="E3" s="34" t="s">
        <v>18</v>
      </c>
      <c r="F3" s="34" t="s">
        <v>200</v>
      </c>
      <c r="G3" s="34" t="s">
        <v>201</v>
      </c>
      <c r="H3" s="34" t="s">
        <v>202</v>
      </c>
      <c r="I3" s="34" t="s">
        <v>43</v>
      </c>
      <c r="J3" s="34" t="s">
        <v>203</v>
      </c>
      <c r="K3" s="34" t="s">
        <v>21</v>
      </c>
      <c r="L3" s="34" t="s">
        <v>337</v>
      </c>
      <c r="M3" s="34" t="s">
        <v>338</v>
      </c>
      <c r="N3" s="34" t="s">
        <v>37</v>
      </c>
      <c r="O3" s="34" t="s">
        <v>204</v>
      </c>
      <c r="P3" s="35" t="s">
        <v>7</v>
      </c>
      <c r="Q3" s="35" t="s">
        <v>205</v>
      </c>
      <c r="R3" s="35" t="s">
        <v>6</v>
      </c>
      <c r="S3" s="35" t="s">
        <v>8</v>
      </c>
      <c r="T3" s="35" t="s">
        <v>206</v>
      </c>
      <c r="U3" s="34" t="s">
        <v>207</v>
      </c>
      <c r="V3" s="34" t="s">
        <v>370</v>
      </c>
      <c r="W3" s="34" t="s">
        <v>16</v>
      </c>
      <c r="X3" s="35" t="s">
        <v>208</v>
      </c>
      <c r="Y3" s="35" t="s">
        <v>209</v>
      </c>
      <c r="Z3" s="35" t="s">
        <v>9</v>
      </c>
      <c r="AA3" s="35" t="s">
        <v>104</v>
      </c>
      <c r="AC3" s="37" t="s">
        <v>210</v>
      </c>
      <c r="AD3" s="37" t="s">
        <v>313</v>
      </c>
      <c r="AE3" s="37" t="s">
        <v>314</v>
      </c>
      <c r="AF3" s="37" t="s">
        <v>315</v>
      </c>
      <c r="AG3" s="37" t="s">
        <v>316</v>
      </c>
      <c r="AH3" s="37" t="s">
        <v>317</v>
      </c>
      <c r="AI3" s="37" t="s">
        <v>66</v>
      </c>
      <c r="AJ3" s="37" t="s">
        <v>67</v>
      </c>
      <c r="AK3" s="37" t="s">
        <v>68</v>
      </c>
      <c r="AL3" s="37" t="s">
        <v>318</v>
      </c>
      <c r="AM3" s="37" t="s">
        <v>319</v>
      </c>
      <c r="AN3" s="37" t="s">
        <v>320</v>
      </c>
      <c r="AO3" s="37" t="s">
        <v>321</v>
      </c>
      <c r="AP3" s="37" t="s">
        <v>322</v>
      </c>
      <c r="AQ3" s="37" t="s">
        <v>323</v>
      </c>
      <c r="AR3" s="37" t="s">
        <v>324</v>
      </c>
      <c r="AS3" s="37" t="s">
        <v>325</v>
      </c>
      <c r="AT3" s="37" t="s">
        <v>326</v>
      </c>
      <c r="AU3" s="37" t="s">
        <v>327</v>
      </c>
      <c r="AV3" s="37" t="s">
        <v>328</v>
      </c>
      <c r="AW3" s="37" t="s">
        <v>367</v>
      </c>
      <c r="AX3" s="37" t="s">
        <v>369</v>
      </c>
      <c r="AY3" s="37" t="s">
        <v>368</v>
      </c>
      <c r="AZ3" s="37" t="s">
        <v>329</v>
      </c>
      <c r="BA3" s="37" t="s">
        <v>330</v>
      </c>
      <c r="BB3" s="37" t="s">
        <v>331</v>
      </c>
      <c r="BC3" s="37" t="s">
        <v>332</v>
      </c>
      <c r="BD3" s="37" t="s">
        <v>333</v>
      </c>
      <c r="BE3" s="37" t="s">
        <v>76</v>
      </c>
      <c r="BF3" s="37" t="s">
        <v>334</v>
      </c>
    </row>
    <row r="4" spans="2:58" x14ac:dyDescent="0.25">
      <c r="B4" s="10" t="str">
        <f>BF4</f>
        <v>Not Qual</v>
      </c>
      <c r="C4" s="3" t="str">
        <f>IFERROR(W4-B4,"N/A")</f>
        <v>N/A</v>
      </c>
      <c r="E4" s="1" t="str">
        <f>'Bid Tape'!D3</f>
        <v>YSCAP258134727</v>
      </c>
      <c r="F4" s="1">
        <f>'Bid Tape'!BE3</f>
        <v>764</v>
      </c>
      <c r="G4" s="1">
        <f>'Bid Tape'!BG3</f>
        <v>2</v>
      </c>
      <c r="H4" s="1" t="str">
        <f>'Bid Tape'!K3</f>
        <v>Purchase</v>
      </c>
      <c r="I4" s="1" t="str">
        <f>'Bid Tape'!O3</f>
        <v>TX</v>
      </c>
      <c r="J4" s="1" t="str">
        <f>'Bid Tape'!L3</f>
        <v>N</v>
      </c>
      <c r="K4" s="1" t="str">
        <f>'Bid Tape'!Q3</f>
        <v>SFR</v>
      </c>
      <c r="L4" s="1">
        <f>'Bid Tape'!AQ3</f>
        <v>2867</v>
      </c>
      <c r="M4" s="1">
        <f>'Bid Tape'!AR3</f>
        <v>2867</v>
      </c>
      <c r="N4" s="2">
        <f>'Bid Tape'!H3</f>
        <v>46022</v>
      </c>
      <c r="O4" s="2">
        <f>'Bid Tape'!AG3</f>
        <v>46022</v>
      </c>
      <c r="P4" s="32">
        <f>'Bid Tape'!AF3</f>
        <v>350000</v>
      </c>
      <c r="Q4" s="32">
        <f>'Bid Tape'!AI3</f>
        <v>0</v>
      </c>
      <c r="R4" s="32">
        <f>'Bid Tape'!AK3</f>
        <v>350000</v>
      </c>
      <c r="S4" s="32">
        <f>'Bid Tape'!AH3</f>
        <v>75000</v>
      </c>
      <c r="T4" s="32">
        <f>'Bid Tape'!AL3</f>
        <v>500000</v>
      </c>
      <c r="U4" s="1">
        <f>'Bid Tape'!AS3</f>
        <v>6</v>
      </c>
      <c r="V4" s="1">
        <f>'Bid Tape'!R3</f>
        <v>1</v>
      </c>
      <c r="W4" s="10">
        <f>'Bid Tape'!AZ3</f>
        <v>0.10290000000000001</v>
      </c>
      <c r="X4" s="32">
        <f>'Bid Tape'!T3</f>
        <v>275000</v>
      </c>
      <c r="Y4" s="32">
        <f>'Bid Tape'!U3</f>
        <v>75000</v>
      </c>
      <c r="Z4" s="32">
        <f>'Bid Tape'!V3</f>
        <v>0</v>
      </c>
      <c r="AA4" s="32">
        <f>'Bid Tape'!W3</f>
        <v>350000</v>
      </c>
      <c r="AC4" s="1" t="str">
        <f>IFERROR(IF(ISBLANK(E4),"",IF(F4&gt;=_xlfn.XLOOKUP(G4,'Rate Sheet'!$D$4:$D$6,'Rate Sheet'!$C$4:$C$6,,-1),_xlfn.XLOOKUP(G4,'Rate Sheet'!$D$4:$D$6,'Rate Sheet'!$B$4:$B$6,,-1),"Not Qual")),"Error")</f>
        <v>Tier 3</v>
      </c>
      <c r="AD4" s="8" t="str">
        <f>IFERROR(IF(ISBLANK(E4),"",IF(J4="Y",'Rate Sheet'!$G$42,IF(OR('Pricing Confirm'!S4&gt;'Pricing Confirm'!R4*0.5,'Pricing Confirm'!M4-'Pricing Confirm'!L4&gt;249),'Rate Sheet'!$G$45,IF('Pricing Confirm'!S4=0,'Rate Sheet'!$G$43,'Rate Sheet'!$G$44)))),"Error")</f>
        <v>Renovation</v>
      </c>
      <c r="AE4" s="1" t="str">
        <f>IFERROR(IF(ISBLANK(E4),"",_xlfn.CONCAT(AC4," - ",AD4," - ",H4)),"Error")</f>
        <v>Tier 3 - Renovation - Purchase</v>
      </c>
      <c r="AF4" s="1" t="str">
        <f>IFERROR(IF(ISBLANK(E4),"",IF(H4="Purchase","",_xlfn.DAYS(N4,O4))),"Error")</f>
        <v/>
      </c>
      <c r="AG4" s="32">
        <f>IFERROR(IF(ISBLANK(E4),"",IF(OR(H4="Purchase",'Pricing Confirm'!AF4&lt;365),MIN('Pricing Confirm'!R4,'Pricing Confirm'!P4+'Pricing Confirm'!Q4),'Pricing Confirm'!R4)),"Error")</f>
        <v>350000</v>
      </c>
      <c r="AH4" s="32">
        <f>IFERROR(IF(ISBLANK(E4),"",IF(J4="Y",AG4+Z4+S4,AG4+S4)),"Error")</f>
        <v>425000</v>
      </c>
      <c r="AI4" s="3">
        <f>IFERROR(IF(ISBLANK(E4),"",X4/AG4),"Error")</f>
        <v>0.7857142857142857</v>
      </c>
      <c r="AJ4" s="3">
        <f>IFERROR(IF(ISBLANK(E4),"",AA4/AH4),"Error")</f>
        <v>0.82352941176470584</v>
      </c>
      <c r="AK4" s="3">
        <f>IFERROR(IF(OR(ISBLANK(E4),T4&lt;1,ISBLANK(T4)),"",AA4/T4),"Error")</f>
        <v>0.7</v>
      </c>
      <c r="AL4" s="3">
        <f>IFERROR(IF(ISBLANK(E4),"",INDEX('Rate Sheet'!$I$4:$I$39,MATCH('Pricing Confirm'!AE4,'Rate Sheet'!$G$4:$G$39,0))),"Error")</f>
        <v>0.85</v>
      </c>
      <c r="AM4" s="3">
        <f>IFERROR(IF(ISBLANK(E4),"",INDEX('Rate Sheet'!$H$4:$H$39,MATCH('Pricing Confirm'!AE4,'Rate Sheet'!$G$4:$G$39,0))),"Error")</f>
        <v>0.85</v>
      </c>
      <c r="AN4" s="3">
        <f>IFERROR(IF(ISBLANK(E4),"",INDEX('Rate Sheet'!$J$4:$J$39,MATCH('Pricing Confirm'!AE4,'Rate Sheet'!$G$4:$G$39,0))),"Error")</f>
        <v>0.7</v>
      </c>
      <c r="AO4" s="1" t="str">
        <f>IFERROR(IF(ISBLANK(E4),"",IF(AND(ISNUMBER(AI4+AL4),AI4&gt;AL4),"FAIL","PASS")),"Error")</f>
        <v>PASS</v>
      </c>
      <c r="AP4" s="1" t="str">
        <f>IFERROR(IF(ISBLANK(E4),"",IF(AND(ISNUMBER(AJ4+AM4),AJ4&gt;AM4),"FAIL","PASS")),"Error")</f>
        <v>PASS</v>
      </c>
      <c r="AQ4" s="1" t="str">
        <f>IFERROR(IF(ISBLANK(E4),"",IF(AND(ISNUMBER(AK4+AN4),AK4&gt;AN4),"FAIL","PASS")),"Error")</f>
        <v>PASS</v>
      </c>
      <c r="AR4" s="1" t="str">
        <f>IFERROR(IF(ISBLANK(E4),"",IF(SUM(X4:Y4)=AA4,"PASS","FAIL")),"Error")</f>
        <v>PASS</v>
      </c>
      <c r="AS4" s="1" t="str">
        <f>IFERROR(IF(ISBLANK(E4),"",IF(Y4=S4,"PASS","FAIL")),"Error")</f>
        <v>PASS</v>
      </c>
      <c r="AT4" s="1" t="str">
        <f>IFERROR(IF(ISBLANK(E4),"",IF(AND(NOT(S4=0),T4&lt;AH4),"FAIL","PASS")),"Error")</f>
        <v>PASS</v>
      </c>
      <c r="AU4" s="8" t="str">
        <f>IFERROR(IF(ISBLANK(E4),"",INDEX('Rate Sheet'!$N$4:$N$54,MATCH('Pricing Confirm'!I4,'Rate Sheet'!$M$4:$M$54,0))),"Error")</f>
        <v>Pass</v>
      </c>
      <c r="AV4" s="1" t="str">
        <f>IFERROR(IF(ISBLANK(E4),"",IF(OR(AA4&gt;'Rate Sheet'!$C$29,'Pricing Confirm'!AA4&lt;'Rate Sheet'!$C$30),"FAIL","PASS")),"Error")</f>
        <v>PASS</v>
      </c>
      <c r="AW4" s="1" t="str">
        <f>IFERROR(IF(ISBLANK(E4),"",IF(V4&gt;1,"FAIL","PASS")),"Error")</f>
        <v>PASS</v>
      </c>
      <c r="AX4" s="1">
        <f>IFERROR(IF(ISBLANK(E4),"",IF(J4="Y",ROUND(AA4*W4*(U4/12)*0.75,2),0)),"Error")</f>
        <v>0</v>
      </c>
      <c r="AY4" s="1" t="str">
        <f>IFERROR(IF(ISBLANK(E4),"",IF(AND(J4="Y",AX4&gt;Z4),"FAIL","PASS")),"Error")</f>
        <v>PASS</v>
      </c>
      <c r="AZ4" s="3">
        <f>IFERROR(IF(ISBLANK(E4),"",INDEX('Rate Sheet'!$K$4:$K$39,MATCH('Pricing Confirm'!AE4,'Rate Sheet'!$G$4:$G$39,0))),"Error")</f>
        <v>9.2499999999999999E-2</v>
      </c>
      <c r="BA4" s="3" t="str">
        <f>IFERROR(IF(ISBLANK(E4),"",INDEX('Rate Sheet'!$C$9:$C$11,MATCH('Pricing Confirm'!U4,'Rate Sheet'!$B$9:$B$11,0))),"Error")</f>
        <v>Error</v>
      </c>
      <c r="BB4" s="3">
        <f>IFERROR(IF(ISBLANK(E4),"",_xlfn.XLOOKUP(F4,'Rate Sheet'!$B$13:$B$15,'Rate Sheet'!$C$13:$C$15,,-1)),"Error")</f>
        <v>-2.5000000000000001E-3</v>
      </c>
      <c r="BC4" s="3">
        <f>IFERROR(IF(ISBLANK(E4),"",_xlfn.XLOOKUP('Pricing Confirm'!AA4,'Rate Sheet'!$B$17:$B$18,'Rate Sheet'!$C$17:$C$18,,-1)),"Error")</f>
        <v>0</v>
      </c>
      <c r="BD4" s="3">
        <f>IFERROR(IF(ISBLANK(E4),"",INDEX('Rate Sheet'!$C$20:$C$27,MATCH('Pricing Confirm'!K4,'Rate Sheet'!$B$20:$B$27,0))),"Error")</f>
        <v>0</v>
      </c>
      <c r="BE4" s="3" t="str">
        <f>IFERROR(IF(ISBLANK(E4),"",AZ4+BA4+BB4+BC4+BD4),"Not Qual")</f>
        <v>Not Qual</v>
      </c>
      <c r="BF4" s="3" t="str">
        <f>IFERROR(IF(ISBLANK(E4),"",IF(AND(AO4="PASS",AP4="PASS",AQ4="PASS",AR4="PASS",AS4="PASS",AT4="PASS",AU4="PASS",AV4="PASS",AY4="PASS",AW4="PASS"),BE4,"Not Qual")),"Error")</f>
        <v>Not Qual</v>
      </c>
    </row>
    <row r="5" spans="2:58" x14ac:dyDescent="0.25">
      <c r="B5" s="10" t="str">
        <f t="shared" ref="B5:B7" si="0">BF5</f>
        <v>Not Qual</v>
      </c>
      <c r="C5" s="3" t="str">
        <f t="shared" ref="C5:C7" si="1">IFERROR(W5-B5,"N/A")</f>
        <v>N/A</v>
      </c>
      <c r="E5" s="1" t="e">
        <f>'Bid Tape'!#REF!</f>
        <v>#REF!</v>
      </c>
      <c r="F5" s="1" t="e">
        <f>'Bid Tape'!#REF!</f>
        <v>#REF!</v>
      </c>
      <c r="G5" s="1" t="e">
        <f>'Bid Tape'!#REF!</f>
        <v>#REF!</v>
      </c>
      <c r="H5" s="1" t="e">
        <f>'Bid Tape'!#REF!</f>
        <v>#REF!</v>
      </c>
      <c r="I5" s="1" t="e">
        <f>'Bid Tape'!#REF!</f>
        <v>#REF!</v>
      </c>
      <c r="J5" s="1" t="e">
        <f>'Bid Tape'!#REF!</f>
        <v>#REF!</v>
      </c>
      <c r="K5" s="1" t="e">
        <f>'Bid Tape'!#REF!</f>
        <v>#REF!</v>
      </c>
      <c r="L5" s="1" t="e">
        <f>'Bid Tape'!#REF!</f>
        <v>#REF!</v>
      </c>
      <c r="M5" s="1" t="e">
        <f>'Bid Tape'!#REF!</f>
        <v>#REF!</v>
      </c>
      <c r="N5" s="2" t="e">
        <f>'Bid Tape'!#REF!</f>
        <v>#REF!</v>
      </c>
      <c r="O5" s="2" t="e">
        <f>'Bid Tape'!#REF!</f>
        <v>#REF!</v>
      </c>
      <c r="P5" s="32" t="e">
        <f>'Bid Tape'!#REF!</f>
        <v>#REF!</v>
      </c>
      <c r="Q5" s="32" t="e">
        <f>'Bid Tape'!#REF!</f>
        <v>#REF!</v>
      </c>
      <c r="R5" s="32" t="e">
        <f>'Bid Tape'!#REF!</f>
        <v>#REF!</v>
      </c>
      <c r="S5" s="32" t="e">
        <f>'Bid Tape'!#REF!</f>
        <v>#REF!</v>
      </c>
      <c r="T5" s="32" t="e">
        <f>'Bid Tape'!#REF!</f>
        <v>#REF!</v>
      </c>
      <c r="U5" s="1" t="e">
        <f>'Bid Tape'!#REF!</f>
        <v>#REF!</v>
      </c>
      <c r="V5" s="1" t="e">
        <f>'Bid Tape'!#REF!</f>
        <v>#REF!</v>
      </c>
      <c r="W5" s="10" t="e">
        <f>'Bid Tape'!#REF!</f>
        <v>#REF!</v>
      </c>
      <c r="X5" s="32" t="e">
        <f>'Bid Tape'!#REF!</f>
        <v>#REF!</v>
      </c>
      <c r="Y5" s="32" t="e">
        <f>'Bid Tape'!#REF!</f>
        <v>#REF!</v>
      </c>
      <c r="Z5" s="32" t="e">
        <f>'Bid Tape'!#REF!</f>
        <v>#REF!</v>
      </c>
      <c r="AA5" s="32" t="e">
        <f>'Bid Tape'!#REF!</f>
        <v>#REF!</v>
      </c>
      <c r="AC5" s="1" t="str">
        <f>IFERROR(IF(ISBLANK(E5),"",IF(F5&gt;=_xlfn.XLOOKUP(G5,'Rate Sheet'!$D$4:$D$6,'Rate Sheet'!$C$4:$C$6,,-1),_xlfn.XLOOKUP(G5,'Rate Sheet'!$D$4:$D$6,'Rate Sheet'!$B$4:$B$6,,-1),"Not Qual")),"Error")</f>
        <v>Error</v>
      </c>
      <c r="AD5" s="8" t="str">
        <f>IFERROR(IF(ISBLANK(E5),"",IF(J5="Y",'Rate Sheet'!$G$42,IF(OR('Pricing Confirm'!S5&gt;'Pricing Confirm'!R5*0.5,'Pricing Confirm'!M5-'Pricing Confirm'!L5&gt;249),'Rate Sheet'!$G$45,IF('Pricing Confirm'!S5=0,'Rate Sheet'!$G$43,'Rate Sheet'!$G$44)))),"Error")</f>
        <v>Error</v>
      </c>
      <c r="AE5" s="1" t="str">
        <f>IFERROR(IF(ISBLANK(E5),"",_xlfn.CONCAT(AC5," - ",AD5," - ",H5)),"Error")</f>
        <v>Error</v>
      </c>
      <c r="AF5" s="1" t="str">
        <f>IFERROR(IF(ISBLANK(E5),"",IF(H5="Purchase","",_xlfn.DAYS(N5,O5))),"Error")</f>
        <v>Error</v>
      </c>
      <c r="AG5" s="32" t="str">
        <f>IFERROR(IF(ISBLANK(E5),"",IF(OR(H5="Purchase",'Pricing Confirm'!AF5&lt;365),MIN('Pricing Confirm'!R5,'Pricing Confirm'!P5+'Pricing Confirm'!Q5),'Pricing Confirm'!R5)),"Error")</f>
        <v>Error</v>
      </c>
      <c r="AH5" s="32" t="str">
        <f>IFERROR(IF(ISBLANK(E5),"",IF(J5="Y",AG5+Z5+S5,AG5+S5)),"Error")</f>
        <v>Error</v>
      </c>
      <c r="AI5" s="3" t="str">
        <f>IFERROR(IF(ISBLANK(E5),"",X5/AG5),"Error")</f>
        <v>Error</v>
      </c>
      <c r="AJ5" s="3" t="str">
        <f>IFERROR(IF(ISBLANK(E5),"",AA5/AH5),"Error")</f>
        <v>Error</v>
      </c>
      <c r="AK5" s="3" t="str">
        <f>IFERROR(IF(OR(ISBLANK(E5),T5&lt;1,ISBLANK(T5)),"",AA5/T5),"Error")</f>
        <v>Error</v>
      </c>
      <c r="AL5" s="3" t="str">
        <f>IFERROR(IF(ISBLANK(E5),"",INDEX('Rate Sheet'!$I$4:$I$39,MATCH('Pricing Confirm'!AE5,'Rate Sheet'!$G$4:$G$39,0))),"Error")</f>
        <v>Error</v>
      </c>
      <c r="AM5" s="3" t="str">
        <f>IFERROR(IF(ISBLANK(E5),"",INDEX('Rate Sheet'!$H$4:$H$39,MATCH('Pricing Confirm'!AE5,'Rate Sheet'!$G$4:$G$39,0))),"Error")</f>
        <v>Error</v>
      </c>
      <c r="AN5" s="3" t="str">
        <f>IFERROR(IF(ISBLANK(E5),"",INDEX('Rate Sheet'!$J$4:$J$39,MATCH('Pricing Confirm'!AE5,'Rate Sheet'!$G$4:$G$39,0))),"Error")</f>
        <v>Error</v>
      </c>
      <c r="AO5" s="1" t="str">
        <f>IFERROR(IF(ISBLANK(E5),"",IF(AND(ISNUMBER(AI5+AL5),AI5&gt;AL5),"FAIL","PASS")),"Error")</f>
        <v>PASS</v>
      </c>
      <c r="AP5" s="1" t="str">
        <f>IFERROR(IF(ISBLANK(E5),"",IF(AND(ISNUMBER(AJ5+AM5),AJ5&gt;AM5),"FAIL","PASS")),"Error")</f>
        <v>PASS</v>
      </c>
      <c r="AQ5" s="1" t="str">
        <f>IFERROR(IF(ISBLANK(E5),"",IF(AND(ISNUMBER(AK5+AN5),AK5&gt;AN5),"FAIL","PASS")),"Error")</f>
        <v>PASS</v>
      </c>
      <c r="AR5" s="1" t="str">
        <f>IFERROR(IF(ISBLANK(E5),"",IF(SUM(X5:Y5)=AA5,"PASS","FAIL")),"Error")</f>
        <v>Error</v>
      </c>
      <c r="AS5" s="1" t="str">
        <f>IFERROR(IF(ISBLANK(E5),"",IF(Y5=S5,"PASS","FAIL")),"Error")</f>
        <v>Error</v>
      </c>
      <c r="AT5" s="1" t="str">
        <f>IFERROR(IF(ISBLANK(E5),"",IF(AND(NOT(S5=0),T5&lt;AH5),"FAIL","PASS")),"Error")</f>
        <v>Error</v>
      </c>
      <c r="AU5" s="8" t="str">
        <f>IFERROR(IF(ISBLANK(E5),"",INDEX('Rate Sheet'!$N$4:$N$54,MATCH('Pricing Confirm'!I5,'Rate Sheet'!$M$4:$M$54,0))),"Error")</f>
        <v>Error</v>
      </c>
      <c r="AV5" s="1" t="str">
        <f>IFERROR(IF(ISBLANK(E5),"",IF(OR(AA5&gt;'Rate Sheet'!$C$29,'Pricing Confirm'!AA5&lt;'Rate Sheet'!$C$30),"FAIL","PASS")),"Error")</f>
        <v>Error</v>
      </c>
      <c r="AW5" s="1" t="str">
        <f t="shared" ref="AW5:AW7" si="2">IFERROR(IF(ISBLANK(E5),"",IF(V5&gt;1,"FAIL","PASS")),"Error")</f>
        <v>Error</v>
      </c>
      <c r="AX5" s="1" t="str">
        <f t="shared" ref="AX5:AX7" si="3">IFERROR(IF(ISBLANK(E5),"",IF(J5="Y",ROUND(AA5*W5*(U5/12)*0.75,2),0)),"Error")</f>
        <v>Error</v>
      </c>
      <c r="AY5" s="1" t="str">
        <f t="shared" ref="AY5:AY7" si="4">IFERROR(IF(ISBLANK(E5),"",IF(AND(J5="Y",AX5&gt;Z5),"FAIL","PASS")),"Error")</f>
        <v>Error</v>
      </c>
      <c r="AZ5" s="3" t="str">
        <f>IFERROR(IF(ISBLANK(E5),"",INDEX('Rate Sheet'!$K$4:$K$39,MATCH('Pricing Confirm'!AE5,'Rate Sheet'!$G$4:$G$39,0))),"Error")</f>
        <v>Error</v>
      </c>
      <c r="BA5" s="3" t="str">
        <f>IFERROR(IF(ISBLANK(E5),"",INDEX('Rate Sheet'!$C$9:$C$11,MATCH('Pricing Confirm'!U5,'Rate Sheet'!$B$9:$B$11,0))),"Error")</f>
        <v>Error</v>
      </c>
      <c r="BB5" s="3" t="str">
        <f>IFERROR(IF(ISBLANK(E5),"",_xlfn.XLOOKUP(F5,'Rate Sheet'!$B$13:$B$15,'Rate Sheet'!$C$13:$C$15,,-1)),"Error")</f>
        <v>Error</v>
      </c>
      <c r="BC5" s="3" t="str">
        <f>IFERROR(IF(ISBLANK(E5),"",_xlfn.XLOOKUP('Pricing Confirm'!AA5,'Rate Sheet'!$B$17:$B$18,'Rate Sheet'!$C$17:$C$18,,-1)),"Error")</f>
        <v>Error</v>
      </c>
      <c r="BD5" s="3" t="str">
        <f>IFERROR(IF(ISBLANK(E5),"",INDEX('Rate Sheet'!$C$20:$C$27,MATCH('Pricing Confirm'!K5,'Rate Sheet'!$B$20:$B$27,0))),"Error")</f>
        <v>Error</v>
      </c>
      <c r="BE5" s="3">
        <f>IFERROR(IF(ISBLANK(E5),"",SUM(AZ5:BD5)),"Error")</f>
        <v>0</v>
      </c>
      <c r="BF5" s="3" t="str">
        <f t="shared" ref="BF5:BF7" si="5">IFERROR(IF(ISBLANK(E5),"",IF(AND(AO5="PASS",AP5="PASS",AQ5="PASS",AR5="PASS",AS5="PASS",AT5="PASS",AU5="PASS",AV5="PASS",AY5="PASS",AW5="PASS"),BE5,"Not Qual")),"Error")</f>
        <v>Not Qual</v>
      </c>
    </row>
    <row r="6" spans="2:58" x14ac:dyDescent="0.25">
      <c r="B6" s="10" t="str">
        <f t="shared" si="0"/>
        <v>Not Qual</v>
      </c>
      <c r="C6" s="3" t="str">
        <f t="shared" si="1"/>
        <v>N/A</v>
      </c>
      <c r="E6" s="1" t="e">
        <f>'Bid Tape'!#REF!</f>
        <v>#REF!</v>
      </c>
      <c r="F6" s="1" t="e">
        <f>'Bid Tape'!#REF!</f>
        <v>#REF!</v>
      </c>
      <c r="G6" s="1" t="e">
        <f>'Bid Tape'!#REF!</f>
        <v>#REF!</v>
      </c>
      <c r="H6" s="1" t="e">
        <f>'Bid Tape'!#REF!</f>
        <v>#REF!</v>
      </c>
      <c r="I6" s="1" t="e">
        <f>'Bid Tape'!#REF!</f>
        <v>#REF!</v>
      </c>
      <c r="J6" s="1" t="e">
        <f>'Bid Tape'!#REF!</f>
        <v>#REF!</v>
      </c>
      <c r="K6" s="1" t="e">
        <f>'Bid Tape'!#REF!</f>
        <v>#REF!</v>
      </c>
      <c r="L6" s="1" t="e">
        <f>'Bid Tape'!#REF!</f>
        <v>#REF!</v>
      </c>
      <c r="M6" s="1" t="e">
        <f>'Bid Tape'!#REF!</f>
        <v>#REF!</v>
      </c>
      <c r="N6" s="2" t="e">
        <f>'Bid Tape'!#REF!</f>
        <v>#REF!</v>
      </c>
      <c r="O6" s="2" t="e">
        <f>'Bid Tape'!#REF!</f>
        <v>#REF!</v>
      </c>
      <c r="P6" s="32" t="e">
        <f>'Bid Tape'!#REF!</f>
        <v>#REF!</v>
      </c>
      <c r="Q6" s="32" t="e">
        <f>'Bid Tape'!#REF!</f>
        <v>#REF!</v>
      </c>
      <c r="R6" s="32" t="e">
        <f>'Bid Tape'!#REF!</f>
        <v>#REF!</v>
      </c>
      <c r="S6" s="32" t="e">
        <f>'Bid Tape'!#REF!</f>
        <v>#REF!</v>
      </c>
      <c r="T6" s="32" t="e">
        <f>'Bid Tape'!#REF!</f>
        <v>#REF!</v>
      </c>
      <c r="U6" s="1" t="e">
        <f>'Bid Tape'!#REF!</f>
        <v>#REF!</v>
      </c>
      <c r="V6" s="1" t="e">
        <f>'Bid Tape'!#REF!</f>
        <v>#REF!</v>
      </c>
      <c r="W6" s="10" t="e">
        <f>'Bid Tape'!#REF!</f>
        <v>#REF!</v>
      </c>
      <c r="X6" s="32" t="e">
        <f>'Bid Tape'!#REF!</f>
        <v>#REF!</v>
      </c>
      <c r="Y6" s="32" t="e">
        <f>'Bid Tape'!#REF!</f>
        <v>#REF!</v>
      </c>
      <c r="Z6" s="32" t="e">
        <f>'Bid Tape'!#REF!</f>
        <v>#REF!</v>
      </c>
      <c r="AA6" s="32" t="e">
        <f>'Bid Tape'!#REF!</f>
        <v>#REF!</v>
      </c>
      <c r="AC6" s="1" t="str">
        <f>IFERROR(IF(ISBLANK(E6),"",IF(F6&gt;=_xlfn.XLOOKUP(G6,'Rate Sheet'!$D$4:$D$6,'Rate Sheet'!$C$4:$C$6,,-1),_xlfn.XLOOKUP(G6,'Rate Sheet'!$D$4:$D$6,'Rate Sheet'!$B$4:$B$6,,-1),"Not Qual")),"Error")</f>
        <v>Error</v>
      </c>
      <c r="AD6" s="8" t="str">
        <f>IFERROR(IF(ISBLANK(E6),"",IF(J6="Y",'Rate Sheet'!$G$42,IF(OR('Pricing Confirm'!S6&gt;'Pricing Confirm'!R6*0.5,'Pricing Confirm'!M6-'Pricing Confirm'!L6&gt;249),'Rate Sheet'!$G$45,IF('Pricing Confirm'!S6=0,'Rate Sheet'!$G$43,'Rate Sheet'!$G$44)))),"Error")</f>
        <v>Error</v>
      </c>
      <c r="AE6" s="1" t="str">
        <f>IFERROR(IF(ISBLANK(E6),"",_xlfn.CONCAT(AC6," - ",AD6," - ",H6)),"Error")</f>
        <v>Error</v>
      </c>
      <c r="AF6" s="1" t="str">
        <f>IFERROR(IF(ISBLANK(E6),"",IF(H6="Purchase","",_xlfn.DAYS(N6,O6))),"Error")</f>
        <v>Error</v>
      </c>
      <c r="AG6" s="32" t="str">
        <f>IFERROR(IF(ISBLANK(E6),"",IF(OR(H6="Purchase",'Pricing Confirm'!AF6&lt;365),MIN('Pricing Confirm'!R6,'Pricing Confirm'!P6+'Pricing Confirm'!Q6),'Pricing Confirm'!R6)),"Error")</f>
        <v>Error</v>
      </c>
      <c r="AH6" s="32" t="str">
        <f>IFERROR(IF(ISBLANK(E6),"",IF(J6="Y",AG6+Z6+S6,AG6+S6)),"Error")</f>
        <v>Error</v>
      </c>
      <c r="AI6" s="3" t="str">
        <f>IFERROR(IF(ISBLANK(E6),"",X6/AG6),"Error")</f>
        <v>Error</v>
      </c>
      <c r="AJ6" s="3" t="str">
        <f>IFERROR(IF(ISBLANK(E6),"",AA6/AH6),"Error")</f>
        <v>Error</v>
      </c>
      <c r="AK6" s="3" t="str">
        <f>IFERROR(IF(OR(ISBLANK(E6),T6&lt;1,ISBLANK(T6)),"",AA6/T6),"Error")</f>
        <v>Error</v>
      </c>
      <c r="AL6" s="3" t="str">
        <f>IFERROR(IF(ISBLANK(E6),"",INDEX('Rate Sheet'!$I$4:$I$39,MATCH('Pricing Confirm'!AE6,'Rate Sheet'!$G$4:$G$39,0))),"Error")</f>
        <v>Error</v>
      </c>
      <c r="AM6" s="3" t="str">
        <f>IFERROR(IF(ISBLANK(E6),"",INDEX('Rate Sheet'!$H$4:$H$39,MATCH('Pricing Confirm'!AE6,'Rate Sheet'!$G$4:$G$39,0))),"Error")</f>
        <v>Error</v>
      </c>
      <c r="AN6" s="3" t="str">
        <f>IFERROR(IF(ISBLANK(E6),"",INDEX('Rate Sheet'!$J$4:$J$39,MATCH('Pricing Confirm'!AE6,'Rate Sheet'!$G$4:$G$39,0))),"Error")</f>
        <v>Error</v>
      </c>
      <c r="AO6" s="1" t="str">
        <f>IFERROR(IF(ISBLANK(E6),"",IF(AND(ISNUMBER(AI6+AL6),AI6&gt;AL6),"FAIL","PASS")),"Error")</f>
        <v>PASS</v>
      </c>
      <c r="AP6" s="1" t="str">
        <f>IFERROR(IF(ISBLANK(E6),"",IF(AND(ISNUMBER(AJ6+AM6),AJ6&gt;AM6),"FAIL","PASS")),"Error")</f>
        <v>PASS</v>
      </c>
      <c r="AQ6" s="1" t="str">
        <f>IFERROR(IF(ISBLANK(E6),"",IF(AND(ISNUMBER(AK6+AN6),AK6&gt;AN6),"FAIL","PASS")),"Error")</f>
        <v>PASS</v>
      </c>
      <c r="AR6" s="1" t="str">
        <f>IFERROR(IF(ISBLANK(E6),"",IF(SUM(X6:Y6)=AA6,"PASS","FAIL")),"Error")</f>
        <v>Error</v>
      </c>
      <c r="AS6" s="1" t="str">
        <f>IFERROR(IF(ISBLANK(E6),"",IF(Y6=S6,"PASS","FAIL")),"Error")</f>
        <v>Error</v>
      </c>
      <c r="AT6" s="1" t="str">
        <f>IFERROR(IF(ISBLANK(E6),"",IF(AND(NOT(S6=0),T6&lt;AH6),"FAIL","PASS")),"Error")</f>
        <v>Error</v>
      </c>
      <c r="AU6" s="8" t="str">
        <f>IFERROR(IF(ISBLANK(E6),"",INDEX('Rate Sheet'!$N$4:$N$54,MATCH('Pricing Confirm'!I6,'Rate Sheet'!$M$4:$M$54,0))),"Error")</f>
        <v>Error</v>
      </c>
      <c r="AV6" s="1" t="str">
        <f>IFERROR(IF(ISBLANK(E6),"",IF(OR(AA6&gt;'Rate Sheet'!$C$29,'Pricing Confirm'!AA6&lt;'Rate Sheet'!$C$30),"FAIL","PASS")),"Error")</f>
        <v>Error</v>
      </c>
      <c r="AW6" s="1" t="str">
        <f t="shared" si="2"/>
        <v>Error</v>
      </c>
      <c r="AX6" s="1" t="str">
        <f t="shared" si="3"/>
        <v>Error</v>
      </c>
      <c r="AY6" s="1" t="str">
        <f t="shared" si="4"/>
        <v>Error</v>
      </c>
      <c r="AZ6" s="3" t="str">
        <f>IFERROR(IF(ISBLANK(E6),"",INDEX('Rate Sheet'!$K$4:$K$39,MATCH('Pricing Confirm'!AE6,'Rate Sheet'!$G$4:$G$39,0))),"Error")</f>
        <v>Error</v>
      </c>
      <c r="BA6" s="3" t="str">
        <f>IFERROR(IF(ISBLANK(E6),"",INDEX('Rate Sheet'!$C$9:$C$11,MATCH('Pricing Confirm'!U6,'Rate Sheet'!$B$9:$B$11,0))),"Error")</f>
        <v>Error</v>
      </c>
      <c r="BB6" s="3" t="str">
        <f>IFERROR(IF(ISBLANK(E6),"",_xlfn.XLOOKUP(F6,'Rate Sheet'!$B$13:$B$15,'Rate Sheet'!$C$13:$C$15,,-1)),"Error")</f>
        <v>Error</v>
      </c>
      <c r="BC6" s="3" t="str">
        <f>IFERROR(IF(ISBLANK(E6),"",_xlfn.XLOOKUP('Pricing Confirm'!AA6,'Rate Sheet'!$B$17:$B$18,'Rate Sheet'!$C$17:$C$18,,-1)),"Error")</f>
        <v>Error</v>
      </c>
      <c r="BD6" s="3" t="str">
        <f>IFERROR(IF(ISBLANK(E6),"",INDEX('Rate Sheet'!$C$20:$C$27,MATCH('Pricing Confirm'!K6,'Rate Sheet'!$B$20:$B$27,0))),"Error")</f>
        <v>Error</v>
      </c>
      <c r="BE6" s="3">
        <f>IFERROR(IF(ISBLANK(E6),"",SUM(AZ6:BD6)),"Error")</f>
        <v>0</v>
      </c>
      <c r="BF6" s="3" t="str">
        <f t="shared" si="5"/>
        <v>Not Qual</v>
      </c>
    </row>
    <row r="7" spans="2:58" x14ac:dyDescent="0.25">
      <c r="B7" s="10" t="str">
        <f t="shared" si="0"/>
        <v>Not Qual</v>
      </c>
      <c r="C7" s="3" t="str">
        <f t="shared" si="1"/>
        <v>N/A</v>
      </c>
      <c r="E7" s="1" t="e">
        <f>'Bid Tape'!#REF!</f>
        <v>#REF!</v>
      </c>
      <c r="F7" s="1" t="e">
        <f>'Bid Tape'!#REF!</f>
        <v>#REF!</v>
      </c>
      <c r="G7" s="1" t="e">
        <f>'Bid Tape'!#REF!</f>
        <v>#REF!</v>
      </c>
      <c r="H7" s="1" t="e">
        <f>'Bid Tape'!#REF!</f>
        <v>#REF!</v>
      </c>
      <c r="I7" s="1" t="e">
        <f>'Bid Tape'!#REF!</f>
        <v>#REF!</v>
      </c>
      <c r="J7" s="1" t="e">
        <f>'Bid Tape'!#REF!</f>
        <v>#REF!</v>
      </c>
      <c r="K7" s="1" t="e">
        <f>'Bid Tape'!#REF!</f>
        <v>#REF!</v>
      </c>
      <c r="L7" s="1" t="e">
        <f>'Bid Tape'!#REF!</f>
        <v>#REF!</v>
      </c>
      <c r="M7" s="1" t="e">
        <f>'Bid Tape'!#REF!</f>
        <v>#REF!</v>
      </c>
      <c r="N7" s="2" t="e">
        <f>'Bid Tape'!#REF!</f>
        <v>#REF!</v>
      </c>
      <c r="O7" s="2" t="e">
        <f>'Bid Tape'!#REF!</f>
        <v>#REF!</v>
      </c>
      <c r="P7" s="32" t="e">
        <f>'Bid Tape'!#REF!</f>
        <v>#REF!</v>
      </c>
      <c r="Q7" s="32" t="e">
        <f>'Bid Tape'!#REF!</f>
        <v>#REF!</v>
      </c>
      <c r="R7" s="32" t="e">
        <f>'Bid Tape'!#REF!</f>
        <v>#REF!</v>
      </c>
      <c r="S7" s="32" t="e">
        <f>'Bid Tape'!#REF!</f>
        <v>#REF!</v>
      </c>
      <c r="T7" s="32" t="e">
        <f>'Bid Tape'!#REF!</f>
        <v>#REF!</v>
      </c>
      <c r="U7" s="1" t="e">
        <f>'Bid Tape'!#REF!</f>
        <v>#REF!</v>
      </c>
      <c r="V7" s="1" t="e">
        <f>'Bid Tape'!#REF!</f>
        <v>#REF!</v>
      </c>
      <c r="W7" s="10" t="e">
        <f>'Bid Tape'!#REF!</f>
        <v>#REF!</v>
      </c>
      <c r="X7" s="32" t="e">
        <f>'Bid Tape'!#REF!</f>
        <v>#REF!</v>
      </c>
      <c r="Y7" s="32" t="e">
        <f>'Bid Tape'!#REF!</f>
        <v>#REF!</v>
      </c>
      <c r="Z7" s="32" t="e">
        <f>'Bid Tape'!#REF!</f>
        <v>#REF!</v>
      </c>
      <c r="AA7" s="32" t="e">
        <f>'Bid Tape'!#REF!</f>
        <v>#REF!</v>
      </c>
      <c r="AC7" s="1" t="str">
        <f>IFERROR(IF(ISBLANK(E7),"",IF(F7&gt;=_xlfn.XLOOKUP(G7,'Rate Sheet'!$D$4:$D$6,'Rate Sheet'!$C$4:$C$6,,-1),_xlfn.XLOOKUP(G7,'Rate Sheet'!$D$4:$D$6,'Rate Sheet'!$B$4:$B$6,,-1),"Not Qual")),"Error")</f>
        <v>Error</v>
      </c>
      <c r="AD7" s="8" t="str">
        <f>IFERROR(IF(ISBLANK(E7),"",IF(J7="Y",'Rate Sheet'!$G$42,IF(OR('Pricing Confirm'!S7&gt;'Pricing Confirm'!R7*0.5,'Pricing Confirm'!M7-'Pricing Confirm'!L7&gt;249),'Rate Sheet'!$G$45,IF('Pricing Confirm'!S7=0,'Rate Sheet'!$G$43,'Rate Sheet'!$G$44)))),"Error")</f>
        <v>Error</v>
      </c>
      <c r="AE7" s="1" t="str">
        <f>IFERROR(IF(ISBLANK(E7),"",_xlfn.CONCAT(AC7," - ",AD7," - ",H7)),"Error")</f>
        <v>Error</v>
      </c>
      <c r="AF7" s="1" t="str">
        <f>IFERROR(IF(ISBLANK(E7),"",IF(H7="Purchase","",_xlfn.DAYS(N7,O7))),"Error")</f>
        <v>Error</v>
      </c>
      <c r="AG7" s="32" t="str">
        <f>IFERROR(IF(ISBLANK(E7),"",IF(OR(H7="Purchase",'Pricing Confirm'!AF7&lt;365),MIN('Pricing Confirm'!R7,'Pricing Confirm'!P7+'Pricing Confirm'!Q7),'Pricing Confirm'!R7)),"Error")</f>
        <v>Error</v>
      </c>
      <c r="AH7" s="32" t="str">
        <f>IFERROR(IF(ISBLANK(E7),"",IF(J7="Y",AG7+Z7+S7,AG7+S7)),"Error")</f>
        <v>Error</v>
      </c>
      <c r="AI7" s="3" t="str">
        <f>IFERROR(IF(ISBLANK(E7),"",X7/AG7),"Error")</f>
        <v>Error</v>
      </c>
      <c r="AJ7" s="3" t="str">
        <f>IFERROR(IF(ISBLANK(E7),"",AA7/AH7),"Error")</f>
        <v>Error</v>
      </c>
      <c r="AK7" s="3" t="str">
        <f>IFERROR(IF(OR(ISBLANK(E7),T7&lt;1,ISBLANK(T7)),"",AA7/T7),"Error")</f>
        <v>Error</v>
      </c>
      <c r="AL7" s="3" t="str">
        <f>IFERROR(IF(ISBLANK(E7),"",INDEX('Rate Sheet'!$I$4:$I$39,MATCH('Pricing Confirm'!AE7,'Rate Sheet'!$G$4:$G$39,0))),"Error")</f>
        <v>Error</v>
      </c>
      <c r="AM7" s="3" t="str">
        <f>IFERROR(IF(ISBLANK(E7),"",INDEX('Rate Sheet'!$H$4:$H$39,MATCH('Pricing Confirm'!AE7,'Rate Sheet'!$G$4:$G$39,0))),"Error")</f>
        <v>Error</v>
      </c>
      <c r="AN7" s="3" t="str">
        <f>IFERROR(IF(ISBLANK(E7),"",INDEX('Rate Sheet'!$J$4:$J$39,MATCH('Pricing Confirm'!AE7,'Rate Sheet'!$G$4:$G$39,0))),"Error")</f>
        <v>Error</v>
      </c>
      <c r="AO7" s="1" t="str">
        <f>IFERROR(IF(ISBLANK(E7),"",IF(AND(ISNUMBER(AI7+AL7),AI7&gt;AL7),"FAIL","PASS")),"Error")</f>
        <v>PASS</v>
      </c>
      <c r="AP7" s="1" t="str">
        <f>IFERROR(IF(ISBLANK(E7),"",IF(AND(ISNUMBER(AJ7+AM7),AJ7&gt;AM7),"FAIL","PASS")),"Error")</f>
        <v>PASS</v>
      </c>
      <c r="AQ7" s="1" t="str">
        <f>IFERROR(IF(ISBLANK(E7),"",IF(AND(ISNUMBER(AK7+AN7),AK7&gt;AN7),"FAIL","PASS")),"Error")</f>
        <v>PASS</v>
      </c>
      <c r="AR7" s="1" t="str">
        <f>IFERROR(IF(ISBLANK(E7),"",IF(SUM(X7:Y7)=AA7,"PASS","FAIL")),"Error")</f>
        <v>Error</v>
      </c>
      <c r="AS7" s="1" t="str">
        <f>IFERROR(IF(ISBLANK(E7),"",IF(Y7=S7,"PASS","FAIL")),"Error")</f>
        <v>Error</v>
      </c>
      <c r="AT7" s="1" t="str">
        <f>IFERROR(IF(ISBLANK(E7),"",IF(AND(NOT(S7=0),T7&lt;AH7),"FAIL","PASS")),"Error")</f>
        <v>Error</v>
      </c>
      <c r="AU7" s="8" t="str">
        <f>IFERROR(IF(ISBLANK(E7),"",INDEX('Rate Sheet'!$N$4:$N$54,MATCH('Pricing Confirm'!I7,'Rate Sheet'!$M$4:$M$54,0))),"Error")</f>
        <v>Error</v>
      </c>
      <c r="AV7" s="1" t="str">
        <f>IFERROR(IF(ISBLANK(E7),"",IF(OR(AA7&gt;'Rate Sheet'!$C$29,'Pricing Confirm'!AA7&lt;'Rate Sheet'!$C$30),"FAIL","PASS")),"Error")</f>
        <v>Error</v>
      </c>
      <c r="AW7" s="1" t="str">
        <f t="shared" si="2"/>
        <v>Error</v>
      </c>
      <c r="AX7" s="1" t="str">
        <f t="shared" si="3"/>
        <v>Error</v>
      </c>
      <c r="AY7" s="1" t="str">
        <f t="shared" si="4"/>
        <v>Error</v>
      </c>
      <c r="AZ7" s="3" t="str">
        <f>IFERROR(IF(ISBLANK(E7),"",INDEX('Rate Sheet'!$K$4:$K$39,MATCH('Pricing Confirm'!AE7,'Rate Sheet'!$G$4:$G$39,0))),"Error")</f>
        <v>Error</v>
      </c>
      <c r="BA7" s="3" t="str">
        <f>IFERROR(IF(ISBLANK(E7),"",INDEX('Rate Sheet'!$C$9:$C$11,MATCH('Pricing Confirm'!U7,'Rate Sheet'!$B$9:$B$11,0))),"Error")</f>
        <v>Error</v>
      </c>
      <c r="BB7" s="3" t="str">
        <f>IFERROR(IF(ISBLANK(E7),"",_xlfn.XLOOKUP(F7,'Rate Sheet'!$B$13:$B$15,'Rate Sheet'!$C$13:$C$15,,-1)),"Error")</f>
        <v>Error</v>
      </c>
      <c r="BC7" s="3" t="str">
        <f>IFERROR(IF(ISBLANK(E7),"",_xlfn.XLOOKUP('Pricing Confirm'!AA7,'Rate Sheet'!$B$17:$B$18,'Rate Sheet'!$C$17:$C$18,,-1)),"Error")</f>
        <v>Error</v>
      </c>
      <c r="BD7" s="3" t="str">
        <f>IFERROR(IF(ISBLANK(E7),"",INDEX('Rate Sheet'!$C$20:$C$27,MATCH('Pricing Confirm'!K7,'Rate Sheet'!$B$20:$B$27,0))),"Error")</f>
        <v>Error</v>
      </c>
      <c r="BE7" s="3">
        <f>IFERROR(IF(ISBLANK(E7),"",SUM(AZ7:BD7)),"Error")</f>
        <v>0</v>
      </c>
      <c r="BF7" s="3" t="str">
        <f t="shared" si="5"/>
        <v>Not Qual</v>
      </c>
    </row>
  </sheetData>
  <conditionalFormatting sqref="B1:B1048576">
    <cfRule type="cellIs" dxfId="3" priority="2" operator="equal">
      <formula>"NOT qual"</formula>
    </cfRule>
  </conditionalFormatting>
  <conditionalFormatting sqref="AC1:BF1048576">
    <cfRule type="cellIs" dxfId="2" priority="1" operator="equal">
      <formula>"Error"</formula>
    </cfRule>
  </conditionalFormatting>
  <conditionalFormatting sqref="AO1:AY1048576">
    <cfRule type="cellIs" dxfId="1" priority="3" operator="equal">
      <formula>"FAIL"</formula>
    </cfRule>
  </conditionalFormatting>
  <conditionalFormatting sqref="BF1:BF1048576">
    <cfRule type="cellIs" dxfId="0" priority="4" operator="equal">
      <formula>"NOT QUAL"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8BD-32CF-4182-8E4B-077EB4BAAAA7}">
  <sheetPr codeName="Sheet3"/>
  <dimension ref="B3:N54"/>
  <sheetViews>
    <sheetView workbookViewId="0">
      <selection activeCell="E8" sqref="E8"/>
    </sheetView>
  </sheetViews>
  <sheetFormatPr defaultColWidth="8.85546875" defaultRowHeight="15" x14ac:dyDescent="0.25"/>
  <cols>
    <col min="2" max="2" width="11.85546875" bestFit="1" customWidth="1"/>
    <col min="3" max="3" width="8.140625" bestFit="1" customWidth="1"/>
    <col min="4" max="4" width="7.140625" bestFit="1" customWidth="1"/>
    <col min="7" max="7" width="31.85546875" bestFit="1" customWidth="1"/>
    <col min="8" max="11" width="6.7109375" bestFit="1" customWidth="1"/>
    <col min="13" max="13" width="4.85546875" bestFit="1" customWidth="1"/>
    <col min="14" max="14" width="10" bestFit="1" customWidth="1"/>
  </cols>
  <sheetData>
    <row r="3" spans="2:14" x14ac:dyDescent="0.25">
      <c r="B3" t="s">
        <v>210</v>
      </c>
      <c r="C3" t="s">
        <v>211</v>
      </c>
      <c r="D3" t="s">
        <v>212</v>
      </c>
      <c r="G3" s="9" t="s">
        <v>216</v>
      </c>
      <c r="H3" s="1" t="s">
        <v>67</v>
      </c>
      <c r="I3" s="1" t="s">
        <v>66</v>
      </c>
      <c r="J3" s="1" t="s">
        <v>206</v>
      </c>
      <c r="K3" s="1" t="s">
        <v>217</v>
      </c>
      <c r="M3" s="1" t="s">
        <v>43</v>
      </c>
      <c r="N3" s="1" t="s">
        <v>261</v>
      </c>
    </row>
    <row r="4" spans="2:14" x14ac:dyDescent="0.25">
      <c r="B4" t="s">
        <v>213</v>
      </c>
      <c r="C4">
        <v>680</v>
      </c>
      <c r="D4">
        <v>10</v>
      </c>
      <c r="G4" s="9" t="s">
        <v>218</v>
      </c>
      <c r="H4" s="3" t="s">
        <v>5</v>
      </c>
      <c r="I4" s="3">
        <v>0.8</v>
      </c>
      <c r="J4" s="3" t="s">
        <v>5</v>
      </c>
      <c r="K4" s="3">
        <v>8.5000000000000006E-2</v>
      </c>
      <c r="M4" s="1" t="s">
        <v>262</v>
      </c>
      <c r="N4" s="1" t="s">
        <v>263</v>
      </c>
    </row>
    <row r="5" spans="2:14" x14ac:dyDescent="0.25">
      <c r="B5" t="s">
        <v>214</v>
      </c>
      <c r="C5">
        <v>680</v>
      </c>
      <c r="D5">
        <v>5</v>
      </c>
      <c r="G5" s="9" t="s">
        <v>219</v>
      </c>
      <c r="H5" s="3" t="s">
        <v>5</v>
      </c>
      <c r="I5" s="3">
        <v>0.75</v>
      </c>
      <c r="J5" s="3" t="s">
        <v>5</v>
      </c>
      <c r="K5" s="3">
        <v>8.5000000000000006E-2</v>
      </c>
      <c r="M5" s="1" t="s">
        <v>264</v>
      </c>
      <c r="N5" s="1" t="s">
        <v>265</v>
      </c>
    </row>
    <row r="6" spans="2:14" x14ac:dyDescent="0.25">
      <c r="B6" t="s">
        <v>215</v>
      </c>
      <c r="C6">
        <v>700</v>
      </c>
      <c r="D6">
        <v>2</v>
      </c>
      <c r="G6" s="9" t="s">
        <v>220</v>
      </c>
      <c r="H6" s="3" t="s">
        <v>5</v>
      </c>
      <c r="I6" s="3">
        <v>0.7</v>
      </c>
      <c r="J6" s="3" t="s">
        <v>5</v>
      </c>
      <c r="K6" s="3">
        <v>8.5000000000000006E-2</v>
      </c>
      <c r="M6" s="1" t="s">
        <v>266</v>
      </c>
      <c r="N6" s="1" t="s">
        <v>263</v>
      </c>
    </row>
    <row r="7" spans="2:14" x14ac:dyDescent="0.25">
      <c r="G7" s="9" t="s">
        <v>221</v>
      </c>
      <c r="H7" s="3">
        <v>0.93</v>
      </c>
      <c r="I7" s="3">
        <v>0.9</v>
      </c>
      <c r="J7" s="3">
        <v>0.75</v>
      </c>
      <c r="K7" s="3">
        <v>8.2500000000000004E-2</v>
      </c>
      <c r="M7" s="1" t="s">
        <v>267</v>
      </c>
      <c r="N7" s="1" t="s">
        <v>263</v>
      </c>
    </row>
    <row r="8" spans="2:14" x14ac:dyDescent="0.25">
      <c r="B8" s="1" t="s">
        <v>26</v>
      </c>
      <c r="C8" s="1" t="s">
        <v>254</v>
      </c>
      <c r="G8" s="9" t="s">
        <v>222</v>
      </c>
      <c r="H8" s="3">
        <v>0.93</v>
      </c>
      <c r="I8" s="3">
        <v>0.9</v>
      </c>
      <c r="J8" s="3">
        <v>0.75</v>
      </c>
      <c r="K8" s="3">
        <v>8.249999999999999E-2</v>
      </c>
      <c r="M8" s="1" t="s">
        <v>12</v>
      </c>
      <c r="N8" s="1" t="s">
        <v>263</v>
      </c>
    </row>
    <row r="9" spans="2:14" x14ac:dyDescent="0.25">
      <c r="B9" s="1">
        <v>12</v>
      </c>
      <c r="C9" s="3">
        <v>0</v>
      </c>
      <c r="G9" s="9" t="s">
        <v>223</v>
      </c>
      <c r="H9" s="3" t="s">
        <v>5</v>
      </c>
      <c r="I9" s="3" t="s">
        <v>5</v>
      </c>
      <c r="J9" s="3" t="s">
        <v>5</v>
      </c>
      <c r="K9" s="3">
        <v>8.249999999999999E-2</v>
      </c>
      <c r="M9" s="1" t="s">
        <v>268</v>
      </c>
      <c r="N9" s="1" t="s">
        <v>265</v>
      </c>
    </row>
    <row r="10" spans="2:14" x14ac:dyDescent="0.25">
      <c r="B10" s="1">
        <v>15</v>
      </c>
      <c r="C10" s="3">
        <v>2.5000000000000001E-3</v>
      </c>
      <c r="G10" s="9" t="s">
        <v>224</v>
      </c>
      <c r="H10" s="3">
        <v>0.9</v>
      </c>
      <c r="I10" s="3">
        <v>0.85</v>
      </c>
      <c r="J10" s="3">
        <v>0.75</v>
      </c>
      <c r="K10" s="3">
        <v>0.09</v>
      </c>
      <c r="M10" s="1" t="s">
        <v>269</v>
      </c>
      <c r="N10" s="1" t="s">
        <v>265</v>
      </c>
    </row>
    <row r="11" spans="2:14" x14ac:dyDescent="0.25">
      <c r="B11" s="1">
        <v>18</v>
      </c>
      <c r="C11" s="3">
        <v>5.0000000000000001E-3</v>
      </c>
      <c r="G11" s="9" t="s">
        <v>225</v>
      </c>
      <c r="H11" s="3">
        <v>0.9</v>
      </c>
      <c r="I11" s="3">
        <v>0.85</v>
      </c>
      <c r="J11" s="3">
        <v>0.75</v>
      </c>
      <c r="K11" s="3">
        <v>0.09</v>
      </c>
      <c r="M11" s="1" t="s">
        <v>270</v>
      </c>
      <c r="N11" s="1" t="s">
        <v>265</v>
      </c>
    </row>
    <row r="12" spans="2:14" x14ac:dyDescent="0.25">
      <c r="B12" s="1" t="s">
        <v>4</v>
      </c>
      <c r="C12" s="1" t="s">
        <v>254</v>
      </c>
      <c r="G12" s="9" t="s">
        <v>226</v>
      </c>
      <c r="H12" s="3" t="s">
        <v>5</v>
      </c>
      <c r="I12" s="3" t="s">
        <v>5</v>
      </c>
      <c r="J12" s="3" t="s">
        <v>5</v>
      </c>
      <c r="K12" s="3">
        <v>0.09</v>
      </c>
      <c r="M12" s="1" t="s">
        <v>271</v>
      </c>
      <c r="N12" s="1" t="s">
        <v>265</v>
      </c>
    </row>
    <row r="13" spans="2:14" x14ac:dyDescent="0.25">
      <c r="B13" s="1">
        <v>740</v>
      </c>
      <c r="C13" s="3">
        <v>-2.5000000000000001E-3</v>
      </c>
      <c r="G13" s="9" t="s">
        <v>227</v>
      </c>
      <c r="H13" s="3">
        <v>0.85</v>
      </c>
      <c r="I13" s="3">
        <v>0.75</v>
      </c>
      <c r="J13" s="3">
        <v>0.7</v>
      </c>
      <c r="K13" s="3">
        <v>9.2499999999999999E-2</v>
      </c>
      <c r="M13" s="1" t="s">
        <v>100</v>
      </c>
      <c r="N13" s="1" t="s">
        <v>263</v>
      </c>
    </row>
    <row r="14" spans="2:14" x14ac:dyDescent="0.25">
      <c r="B14" s="1">
        <v>700</v>
      </c>
      <c r="C14" s="3">
        <v>0</v>
      </c>
      <c r="G14" s="9" t="s">
        <v>228</v>
      </c>
      <c r="H14" s="3">
        <v>0.85</v>
      </c>
      <c r="I14" s="3">
        <v>0.75</v>
      </c>
      <c r="J14" s="3">
        <v>0.7</v>
      </c>
      <c r="K14" s="3">
        <v>9.2499999999999999E-2</v>
      </c>
      <c r="M14" s="1" t="s">
        <v>272</v>
      </c>
      <c r="N14" s="1" t="s">
        <v>265</v>
      </c>
    </row>
    <row r="15" spans="2:14" x14ac:dyDescent="0.25">
      <c r="B15" s="1">
        <v>680</v>
      </c>
      <c r="C15" s="3">
        <v>2.5000000000000001E-3</v>
      </c>
      <c r="G15" s="9" t="s">
        <v>229</v>
      </c>
      <c r="H15" s="3" t="s">
        <v>5</v>
      </c>
      <c r="I15" s="3" t="s">
        <v>5</v>
      </c>
      <c r="J15" s="3" t="s">
        <v>5</v>
      </c>
      <c r="K15" s="3">
        <v>9.2499999999999999E-2</v>
      </c>
      <c r="M15" s="1" t="s">
        <v>273</v>
      </c>
      <c r="N15" s="1" t="s">
        <v>263</v>
      </c>
    </row>
    <row r="16" spans="2:14" x14ac:dyDescent="0.25">
      <c r="B16" s="1" t="s">
        <v>255</v>
      </c>
      <c r="C16" s="1" t="s">
        <v>254</v>
      </c>
      <c r="G16" s="9" t="s">
        <v>230</v>
      </c>
      <c r="H16" s="3" t="s">
        <v>5</v>
      </c>
      <c r="I16" s="3">
        <v>0.8</v>
      </c>
      <c r="J16" s="3" t="s">
        <v>5</v>
      </c>
      <c r="K16" s="3">
        <v>0.09</v>
      </c>
      <c r="M16" s="1" t="s">
        <v>274</v>
      </c>
      <c r="N16" s="1" t="s">
        <v>263</v>
      </c>
    </row>
    <row r="17" spans="2:14" x14ac:dyDescent="0.25">
      <c r="B17" s="1">
        <v>1500000</v>
      </c>
      <c r="C17" s="3">
        <v>2.5000000000000001E-3</v>
      </c>
      <c r="G17" s="9" t="s">
        <v>231</v>
      </c>
      <c r="H17" s="3" t="s">
        <v>5</v>
      </c>
      <c r="I17" s="3">
        <v>0.75</v>
      </c>
      <c r="J17" s="3" t="s">
        <v>5</v>
      </c>
      <c r="K17" s="3">
        <v>0.09</v>
      </c>
      <c r="M17" s="1" t="s">
        <v>275</v>
      </c>
      <c r="N17" s="1" t="s">
        <v>263</v>
      </c>
    </row>
    <row r="18" spans="2:14" x14ac:dyDescent="0.25">
      <c r="B18" s="1">
        <v>0</v>
      </c>
      <c r="C18" s="3">
        <v>0</v>
      </c>
      <c r="G18" s="9" t="s">
        <v>232</v>
      </c>
      <c r="H18" s="3" t="s">
        <v>5</v>
      </c>
      <c r="I18" s="3">
        <v>0.7</v>
      </c>
      <c r="J18" s="3" t="s">
        <v>5</v>
      </c>
      <c r="K18" s="3">
        <v>0.09</v>
      </c>
      <c r="M18" s="1" t="s">
        <v>276</v>
      </c>
      <c r="N18" s="1" t="s">
        <v>265</v>
      </c>
    </row>
    <row r="19" spans="2:14" x14ac:dyDescent="0.25">
      <c r="B19" s="1" t="s">
        <v>21</v>
      </c>
      <c r="C19" s="1" t="s">
        <v>254</v>
      </c>
      <c r="G19" s="9" t="s">
        <v>233</v>
      </c>
      <c r="H19" s="3">
        <v>0.9</v>
      </c>
      <c r="I19" s="3">
        <v>0.875</v>
      </c>
      <c r="J19" s="3">
        <v>0.75</v>
      </c>
      <c r="K19" s="3">
        <v>8.7499999999999994E-2</v>
      </c>
      <c r="M19" s="1" t="s">
        <v>277</v>
      </c>
      <c r="N19" s="1" t="s">
        <v>265</v>
      </c>
    </row>
    <row r="20" spans="2:14" x14ac:dyDescent="0.25">
      <c r="B20" s="9" t="s">
        <v>97</v>
      </c>
      <c r="C20" s="3">
        <v>0</v>
      </c>
      <c r="G20" s="9" t="s">
        <v>234</v>
      </c>
      <c r="H20" s="3">
        <v>0.9</v>
      </c>
      <c r="I20" s="3">
        <v>0.875</v>
      </c>
      <c r="J20" s="3">
        <v>0.75</v>
      </c>
      <c r="K20" s="3">
        <v>8.7499999999999994E-2</v>
      </c>
      <c r="M20" s="1" t="s">
        <v>278</v>
      </c>
      <c r="N20" s="1" t="s">
        <v>265</v>
      </c>
    </row>
    <row r="21" spans="2:14" x14ac:dyDescent="0.25">
      <c r="B21" s="9" t="s">
        <v>256</v>
      </c>
      <c r="C21" s="3">
        <v>0</v>
      </c>
      <c r="G21" s="9" t="s">
        <v>235</v>
      </c>
      <c r="H21" s="3" t="s">
        <v>5</v>
      </c>
      <c r="I21" s="3" t="s">
        <v>5</v>
      </c>
      <c r="J21" s="3" t="s">
        <v>5</v>
      </c>
      <c r="K21" s="3">
        <v>8.7499999999999994E-2</v>
      </c>
      <c r="M21" s="1" t="s">
        <v>279</v>
      </c>
      <c r="N21" s="1" t="s">
        <v>265</v>
      </c>
    </row>
    <row r="22" spans="2:14" x14ac:dyDescent="0.25">
      <c r="B22" s="9" t="s">
        <v>257</v>
      </c>
      <c r="C22" s="3">
        <v>5.0000000000000001E-3</v>
      </c>
      <c r="G22" s="9" t="s">
        <v>236</v>
      </c>
      <c r="H22" s="3">
        <v>0.85</v>
      </c>
      <c r="I22" s="3">
        <v>0.8</v>
      </c>
      <c r="J22" s="3">
        <v>0.7</v>
      </c>
      <c r="K22" s="3">
        <v>9.5000000000000001E-2</v>
      </c>
      <c r="M22" s="1" t="s">
        <v>280</v>
      </c>
      <c r="N22" s="1" t="s">
        <v>263</v>
      </c>
    </row>
    <row r="23" spans="2:14" x14ac:dyDescent="0.25">
      <c r="B23" s="9" t="s">
        <v>136</v>
      </c>
      <c r="C23" s="3">
        <v>5.0000000000000001E-3</v>
      </c>
      <c r="G23" s="9" t="s">
        <v>237</v>
      </c>
      <c r="H23" s="3">
        <v>0.85</v>
      </c>
      <c r="I23" s="3">
        <v>0.8</v>
      </c>
      <c r="J23" s="3">
        <v>0.7</v>
      </c>
      <c r="K23" s="3">
        <v>9.5000000000000001E-2</v>
      </c>
      <c r="M23" s="1" t="s">
        <v>281</v>
      </c>
      <c r="N23" s="1" t="s">
        <v>265</v>
      </c>
    </row>
    <row r="24" spans="2:14" x14ac:dyDescent="0.25">
      <c r="B24" s="9" t="s">
        <v>258</v>
      </c>
      <c r="C24" s="3">
        <v>5.0000000000000001E-3</v>
      </c>
      <c r="G24" s="9" t="s">
        <v>238</v>
      </c>
      <c r="H24" s="3" t="s">
        <v>5</v>
      </c>
      <c r="I24" s="3" t="s">
        <v>5</v>
      </c>
      <c r="J24" s="3" t="s">
        <v>5</v>
      </c>
      <c r="K24" s="3" t="s">
        <v>5</v>
      </c>
      <c r="M24" s="1" t="s">
        <v>282</v>
      </c>
      <c r="N24" s="1" t="s">
        <v>265</v>
      </c>
    </row>
    <row r="25" spans="2:14" x14ac:dyDescent="0.25">
      <c r="B25" s="9" t="s">
        <v>259</v>
      </c>
      <c r="C25" s="3">
        <v>0</v>
      </c>
      <c r="G25" s="9" t="s">
        <v>239</v>
      </c>
      <c r="H25" s="3">
        <v>0.85</v>
      </c>
      <c r="I25" s="3">
        <v>0.75</v>
      </c>
      <c r="J25" s="3">
        <v>0.67500000000000004</v>
      </c>
      <c r="K25" s="3">
        <v>9.7500000000000003E-2</v>
      </c>
      <c r="M25" s="1" t="s">
        <v>283</v>
      </c>
      <c r="N25" s="1" t="s">
        <v>263</v>
      </c>
    </row>
    <row r="26" spans="2:14" x14ac:dyDescent="0.25">
      <c r="B26" s="9" t="s">
        <v>28</v>
      </c>
      <c r="C26" s="3">
        <v>0</v>
      </c>
      <c r="G26" s="9" t="s">
        <v>240</v>
      </c>
      <c r="H26" s="3">
        <v>0.85</v>
      </c>
      <c r="I26" s="3">
        <v>0.75</v>
      </c>
      <c r="J26" s="3">
        <v>0.67500000000000004</v>
      </c>
      <c r="K26" s="3">
        <v>9.7500000000000003E-2</v>
      </c>
      <c r="M26" s="1" t="s">
        <v>284</v>
      </c>
      <c r="N26" s="1" t="s">
        <v>265</v>
      </c>
    </row>
    <row r="27" spans="2:14" x14ac:dyDescent="0.25">
      <c r="B27" s="9" t="s">
        <v>260</v>
      </c>
      <c r="C27" s="3">
        <v>0</v>
      </c>
      <c r="G27" s="9" t="s">
        <v>241</v>
      </c>
      <c r="H27" s="3" t="s">
        <v>5</v>
      </c>
      <c r="I27" s="3" t="s">
        <v>5</v>
      </c>
      <c r="J27" s="3" t="s">
        <v>5</v>
      </c>
      <c r="K27" s="3">
        <v>9.7500000000000003E-2</v>
      </c>
      <c r="M27" s="1" t="s">
        <v>285</v>
      </c>
      <c r="N27" s="1" t="s">
        <v>263</v>
      </c>
    </row>
    <row r="28" spans="2:14" x14ac:dyDescent="0.25">
      <c r="G28" s="9" t="s">
        <v>242</v>
      </c>
      <c r="H28" s="3" t="s">
        <v>5</v>
      </c>
      <c r="I28" s="3">
        <v>0.75</v>
      </c>
      <c r="J28" s="3" t="s">
        <v>5</v>
      </c>
      <c r="K28" s="3">
        <v>9.5000000000000001E-2</v>
      </c>
      <c r="M28" s="1" t="s">
        <v>286</v>
      </c>
      <c r="N28" s="1" t="s">
        <v>263</v>
      </c>
    </row>
    <row r="29" spans="2:14" x14ac:dyDescent="0.25">
      <c r="B29" t="s">
        <v>311</v>
      </c>
      <c r="C29">
        <v>3000000</v>
      </c>
      <c r="G29" s="9" t="s">
        <v>243</v>
      </c>
      <c r="H29" s="3" t="s">
        <v>5</v>
      </c>
      <c r="I29" s="3">
        <v>0.7</v>
      </c>
      <c r="J29" s="3" t="s">
        <v>5</v>
      </c>
      <c r="K29" s="3">
        <v>9.5000000000000001E-2</v>
      </c>
      <c r="M29" s="1" t="s">
        <v>287</v>
      </c>
      <c r="N29" s="1" t="s">
        <v>263</v>
      </c>
    </row>
    <row r="30" spans="2:14" x14ac:dyDescent="0.25">
      <c r="B30" t="s">
        <v>312</v>
      </c>
      <c r="C30">
        <v>100000</v>
      </c>
      <c r="G30" s="9" t="s">
        <v>244</v>
      </c>
      <c r="H30" s="3" t="s">
        <v>5</v>
      </c>
      <c r="I30" s="3">
        <v>0.65</v>
      </c>
      <c r="J30" s="3" t="s">
        <v>5</v>
      </c>
      <c r="K30" s="3">
        <v>9.5000000000000001E-2</v>
      </c>
      <c r="M30" s="1" t="s">
        <v>288</v>
      </c>
      <c r="N30" s="1" t="s">
        <v>263</v>
      </c>
    </row>
    <row r="31" spans="2:14" x14ac:dyDescent="0.25">
      <c r="G31" s="9" t="s">
        <v>245</v>
      </c>
      <c r="H31" s="3">
        <v>0.85</v>
      </c>
      <c r="I31" s="3">
        <v>0.85</v>
      </c>
      <c r="J31" s="3">
        <v>0.7</v>
      </c>
      <c r="K31" s="3">
        <v>9.2499999999999999E-2</v>
      </c>
      <c r="M31" s="1" t="s">
        <v>289</v>
      </c>
      <c r="N31" s="1" t="s">
        <v>265</v>
      </c>
    </row>
    <row r="32" spans="2:14" x14ac:dyDescent="0.25">
      <c r="G32" s="9" t="s">
        <v>246</v>
      </c>
      <c r="H32" s="3">
        <v>0.85</v>
      </c>
      <c r="I32" s="3">
        <v>0.85</v>
      </c>
      <c r="J32" s="3">
        <v>0.7</v>
      </c>
      <c r="K32" s="3">
        <v>9.2499999999999999E-2</v>
      </c>
      <c r="M32" s="1" t="s">
        <v>290</v>
      </c>
      <c r="N32" s="1" t="s">
        <v>263</v>
      </c>
    </row>
    <row r="33" spans="7:14" x14ac:dyDescent="0.25">
      <c r="G33" s="9" t="s">
        <v>247</v>
      </c>
      <c r="H33" s="3" t="s">
        <v>5</v>
      </c>
      <c r="I33" s="3" t="s">
        <v>5</v>
      </c>
      <c r="J33" s="3" t="s">
        <v>5</v>
      </c>
      <c r="K33" s="3" t="s">
        <v>5</v>
      </c>
      <c r="M33" s="1" t="s">
        <v>291</v>
      </c>
      <c r="N33" s="1" t="s">
        <v>263</v>
      </c>
    </row>
    <row r="34" spans="7:14" x14ac:dyDescent="0.25">
      <c r="G34" s="9" t="s">
        <v>248</v>
      </c>
      <c r="H34" s="3" t="s">
        <v>5</v>
      </c>
      <c r="I34" s="3" t="s">
        <v>5</v>
      </c>
      <c r="J34" s="3" t="s">
        <v>5</v>
      </c>
      <c r="K34" s="3" t="s">
        <v>5</v>
      </c>
      <c r="M34" s="1" t="s">
        <v>292</v>
      </c>
      <c r="N34" s="1" t="s">
        <v>263</v>
      </c>
    </row>
    <row r="35" spans="7:14" x14ac:dyDescent="0.25">
      <c r="G35" s="9" t="s">
        <v>249</v>
      </c>
      <c r="H35" s="3" t="s">
        <v>5</v>
      </c>
      <c r="I35" s="3" t="s">
        <v>5</v>
      </c>
      <c r="J35" s="3" t="s">
        <v>5</v>
      </c>
      <c r="K35" s="3" t="s">
        <v>5</v>
      </c>
      <c r="M35" s="1" t="s">
        <v>293</v>
      </c>
      <c r="N35" s="1" t="s">
        <v>265</v>
      </c>
    </row>
    <row r="36" spans="7:14" x14ac:dyDescent="0.25">
      <c r="G36" s="9" t="s">
        <v>250</v>
      </c>
      <c r="H36" s="3" t="s">
        <v>5</v>
      </c>
      <c r="I36" s="3" t="s">
        <v>5</v>
      </c>
      <c r="J36" s="3" t="s">
        <v>5</v>
      </c>
      <c r="K36" s="3" t="s">
        <v>5</v>
      </c>
      <c r="M36" s="1" t="s">
        <v>294</v>
      </c>
      <c r="N36" s="1" t="s">
        <v>263</v>
      </c>
    </row>
    <row r="37" spans="7:14" x14ac:dyDescent="0.25">
      <c r="G37" s="9" t="s">
        <v>251</v>
      </c>
      <c r="H37" s="3">
        <v>0.8</v>
      </c>
      <c r="I37" s="3">
        <v>0.65</v>
      </c>
      <c r="J37" s="3">
        <v>0.65</v>
      </c>
      <c r="K37" s="3">
        <v>0.10249999999999999</v>
      </c>
      <c r="M37" s="1" t="s">
        <v>295</v>
      </c>
      <c r="N37" s="1" t="s">
        <v>263</v>
      </c>
    </row>
    <row r="38" spans="7:14" x14ac:dyDescent="0.25">
      <c r="G38" s="9" t="s">
        <v>252</v>
      </c>
      <c r="H38" s="3">
        <v>0.8</v>
      </c>
      <c r="I38" s="3">
        <v>0.65</v>
      </c>
      <c r="J38" s="3">
        <v>0.65</v>
      </c>
      <c r="K38" s="3">
        <v>0.10249999999999999</v>
      </c>
      <c r="M38" s="1" t="s">
        <v>296</v>
      </c>
      <c r="N38" s="1" t="s">
        <v>263</v>
      </c>
    </row>
    <row r="39" spans="7:14" x14ac:dyDescent="0.25">
      <c r="G39" s="9" t="s">
        <v>253</v>
      </c>
      <c r="H39" s="3" t="s">
        <v>5</v>
      </c>
      <c r="I39" s="3" t="s">
        <v>5</v>
      </c>
      <c r="J39" s="3" t="s">
        <v>5</v>
      </c>
      <c r="K39" s="3" t="s">
        <v>5</v>
      </c>
      <c r="M39" s="1" t="s">
        <v>297</v>
      </c>
      <c r="N39" s="1" t="s">
        <v>265</v>
      </c>
    </row>
    <row r="40" spans="7:14" x14ac:dyDescent="0.25">
      <c r="M40" s="1" t="s">
        <v>298</v>
      </c>
      <c r="N40" s="1" t="s">
        <v>265</v>
      </c>
    </row>
    <row r="41" spans="7:14" x14ac:dyDescent="0.25">
      <c r="G41" s="9" t="s">
        <v>335</v>
      </c>
      <c r="M41" s="1" t="s">
        <v>299</v>
      </c>
      <c r="N41" s="1" t="s">
        <v>265</v>
      </c>
    </row>
    <row r="42" spans="7:14" x14ac:dyDescent="0.25">
      <c r="G42" s="9" t="s">
        <v>20</v>
      </c>
      <c r="M42" s="1" t="s">
        <v>300</v>
      </c>
      <c r="N42" s="1" t="s">
        <v>265</v>
      </c>
    </row>
    <row r="43" spans="7:14" x14ac:dyDescent="0.25">
      <c r="G43" s="9" t="s">
        <v>23</v>
      </c>
      <c r="M43" s="1" t="s">
        <v>301</v>
      </c>
      <c r="N43" s="1" t="s">
        <v>265</v>
      </c>
    </row>
    <row r="44" spans="7:14" x14ac:dyDescent="0.25">
      <c r="G44" s="9" t="s">
        <v>27</v>
      </c>
      <c r="M44" s="1" t="s">
        <v>302</v>
      </c>
      <c r="N44" s="1" t="s">
        <v>265</v>
      </c>
    </row>
    <row r="45" spans="7:14" x14ac:dyDescent="0.25">
      <c r="G45" s="9" t="s">
        <v>336</v>
      </c>
      <c r="M45" s="1" t="s">
        <v>303</v>
      </c>
      <c r="N45" s="1" t="s">
        <v>263</v>
      </c>
    </row>
    <row r="46" spans="7:14" x14ac:dyDescent="0.25">
      <c r="M46" s="1" t="s">
        <v>103</v>
      </c>
      <c r="N46" s="1" t="s">
        <v>265</v>
      </c>
    </row>
    <row r="47" spans="7:14" x14ac:dyDescent="0.25">
      <c r="M47" s="1" t="s">
        <v>96</v>
      </c>
      <c r="N47" s="1" t="s">
        <v>265</v>
      </c>
    </row>
    <row r="48" spans="7:14" x14ac:dyDescent="0.25">
      <c r="M48" s="1" t="s">
        <v>304</v>
      </c>
      <c r="N48" s="1" t="s">
        <v>265</v>
      </c>
    </row>
    <row r="49" spans="13:14" x14ac:dyDescent="0.25">
      <c r="M49" s="1" t="s">
        <v>305</v>
      </c>
      <c r="N49" s="1" t="s">
        <v>265</v>
      </c>
    </row>
    <row r="50" spans="13:14" x14ac:dyDescent="0.25">
      <c r="M50" s="1" t="s">
        <v>306</v>
      </c>
      <c r="N50" s="1" t="s">
        <v>263</v>
      </c>
    </row>
    <row r="51" spans="13:14" x14ac:dyDescent="0.25">
      <c r="M51" s="1" t="s">
        <v>307</v>
      </c>
      <c r="N51" s="1" t="s">
        <v>265</v>
      </c>
    </row>
    <row r="52" spans="13:14" x14ac:dyDescent="0.25">
      <c r="M52" s="1" t="s">
        <v>308</v>
      </c>
      <c r="N52" s="1" t="s">
        <v>263</v>
      </c>
    </row>
    <row r="53" spans="13:14" x14ac:dyDescent="0.25">
      <c r="M53" s="1" t="s">
        <v>309</v>
      </c>
      <c r="N53" s="1" t="s">
        <v>263</v>
      </c>
    </row>
    <row r="54" spans="13:14" x14ac:dyDescent="0.25">
      <c r="M54" s="1" t="s">
        <v>310</v>
      </c>
      <c r="N54" s="1" t="s">
        <v>263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eac4ec-cfe6-44c1-8384-f889af4f723e" xsi:nil="true"/>
    <lcf76f155ced4ddcb4097134ff3c332f xmlns="e8e991a0-14da-48f8-b377-886d3df0944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C264900052B4E8B7EFCB5708AF87F" ma:contentTypeVersion="14" ma:contentTypeDescription="Create a new document." ma:contentTypeScope="" ma:versionID="64d2cbc56a22ac5cd338f08e0e4464ab">
  <xsd:schema xmlns:xsd="http://www.w3.org/2001/XMLSchema" xmlns:xs="http://www.w3.org/2001/XMLSchema" xmlns:p="http://schemas.microsoft.com/office/2006/metadata/properties" xmlns:ns2="e8e991a0-14da-48f8-b377-886d3df09443" xmlns:ns3="d7eac4ec-cfe6-44c1-8384-f889af4f723e" targetNamespace="http://schemas.microsoft.com/office/2006/metadata/properties" ma:root="true" ma:fieldsID="8a18193c64b0e2170cc0565e8c23d6ba" ns2:_="" ns3:_="">
    <xsd:import namespace="e8e991a0-14da-48f8-b377-886d3df09443"/>
    <xsd:import namespace="d7eac4ec-cfe6-44c1-8384-f889af4f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991a0-14da-48f8-b377-886d3df09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6a5766-90f7-438b-82a3-36862ccf51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ac4ec-cfe6-44c1-8384-f889af4f723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20f1e17-e6f4-4609-9b1d-e1ed074f2e8b}" ma:internalName="TaxCatchAll" ma:showField="CatchAllData" ma:web="d7eac4ec-cfe6-44c1-8384-f889af4f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B28F86-C6F2-4982-A791-85AF659AFA4E}">
  <ds:schemaRefs>
    <ds:schemaRef ds:uri="eb2d1fe3-92f7-41db-b70e-2de3a8dca75f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d7eac4ec-cfe6-44c1-8384-f889af4f723e"/>
    <ds:schemaRef ds:uri="e8e991a0-14da-48f8-b377-886d3df09443"/>
  </ds:schemaRefs>
</ds:datastoreItem>
</file>

<file path=customXml/itemProps2.xml><?xml version="1.0" encoding="utf-8"?>
<ds:datastoreItem xmlns:ds="http://schemas.openxmlformats.org/officeDocument/2006/customXml" ds:itemID="{97C647C2-A40F-4696-9AB8-48181FC7C0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e991a0-14da-48f8-b377-886d3df09443"/>
    <ds:schemaRef ds:uri="d7eac4ec-cfe6-44c1-8384-f889af4f7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AF9197-A1C3-461A-ABA7-2246F76323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Bid Tape</vt:lpstr>
      <vt:lpstr>Settlement Statement</vt:lpstr>
      <vt:lpstr>Data Dictionary</vt:lpstr>
      <vt:lpstr>Pricing Confirm</vt:lpstr>
      <vt:lpstr>Rate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Cheryl Loveless</dc:creator>
  <cp:keywords/>
  <dc:description/>
  <cp:lastModifiedBy>Ezra Green</cp:lastModifiedBy>
  <cp:revision/>
  <dcterms:created xsi:type="dcterms:W3CDTF">2025-06-24T20:23:32Z</dcterms:created>
  <dcterms:modified xsi:type="dcterms:W3CDTF">2026-06-17T04:22:34Z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0x01010013FC264900052B4E8B7EFCB5708AF87F</vt:lpwstr>
  </property>
  <property fmtid="{D5CDD505-2E9C-101B-9397-08002B2CF9AE}" pid="3" name="MediaServiceImageTags">
    <vt:lpwstr/>
  </property>
</Properties>
</file>