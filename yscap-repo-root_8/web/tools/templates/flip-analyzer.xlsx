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https://yscapgroup-my.sharepoint.com/personal/yehuda_yscapgroup_com/Documents/Documents/YS CAPITAL INVESTOR SUITE - FINAL V1 - EXCEL FORMAT/"/>
    </mc:Choice>
  </mc:AlternateContent>
  <xr:revisionPtr revIDLastSave="339" documentId="8_{690159D8-832D-40FE-9C44-9BE77944F0D7}" xr6:coauthVersionLast="47" xr6:coauthVersionMax="47" xr10:uidLastSave="{0E93748E-FE58-4429-A4E8-2FB5D8C1BE0D}"/>
  <bookViews>
    <workbookView xWindow="-108" yWindow="-108" windowWidth="23256" windowHeight="12456" xr2:uid="{00000000-000D-0000-FFFF-FFFF00000000}"/>
  </bookViews>
  <sheets>
    <sheet name="YS Flip Anylyzer" sheetId="1" r:id="rId1"/>
    <sheet name="Sample" sheetId="2" r:id="rId2"/>
    <sheet name="Instruction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2" l="1"/>
  <c r="B45" i="2"/>
  <c r="B39" i="2"/>
  <c r="F50" i="2" s="1"/>
  <c r="F35" i="2"/>
  <c r="F42" i="2" s="1"/>
  <c r="F27" i="2"/>
  <c r="B26" i="2"/>
  <c r="F52" i="1"/>
  <c r="B39" i="1"/>
  <c r="F50" i="1" s="1"/>
  <c r="F35" i="1"/>
  <c r="F42" i="1" s="1"/>
  <c r="F21" i="1"/>
  <c r="F27" i="1" s="1"/>
  <c r="B45" i="1"/>
  <c r="B52" i="1" s="1"/>
  <c r="B26" i="1"/>
  <c r="B52" i="2" l="1"/>
  <c r="F41" i="2" s="1"/>
  <c r="B46" i="2"/>
  <c r="F41" i="1"/>
  <c r="B46" i="1"/>
  <c r="F51" i="2" l="1"/>
  <c r="F43" i="2"/>
  <c r="F45" i="2" s="1"/>
  <c r="F46" i="2" s="1"/>
  <c r="F40" i="2"/>
  <c r="F51" i="1"/>
  <c r="F40" i="1"/>
  <c r="F43" i="1"/>
  <c r="F45" i="1" s="1"/>
  <c r="F46" i="1" s="1"/>
  <c r="F47" i="2" l="1"/>
  <c r="F48" i="2" s="1"/>
  <c r="F47" i="1"/>
  <c r="F48" i="1"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<sst xmlns="http://schemas.openxmlformats.org/spreadsheetml/2006/main" count="200" uniqueCount="129">
  <si>
    <t>Item</t>
  </si>
  <si>
    <t>Input/Formula</t>
  </si>
  <si>
    <t>Purchase Costs</t>
  </si>
  <si>
    <t>Purchase Price</t>
  </si>
  <si>
    <t>Wholesale Fee</t>
  </si>
  <si>
    <t>ARV</t>
  </si>
  <si>
    <t>Broker Fee</t>
  </si>
  <si>
    <t>Closing Costs</t>
  </si>
  <si>
    <t>Inspection/Appraisal Fees</t>
  </si>
  <si>
    <t>ROI (%)</t>
  </si>
  <si>
    <t>Mortgage Fees</t>
  </si>
  <si>
    <t>Annualized ROI (%)</t>
  </si>
  <si>
    <t>Total Purchase Costs (Auto-sum)</t>
  </si>
  <si>
    <t>Construction Budget</t>
  </si>
  <si>
    <t>Interior Renovations</t>
  </si>
  <si>
    <t>Exterior Renovations</t>
  </si>
  <si>
    <t>Systems (HVAC/Plumbing/Electrical)</t>
  </si>
  <si>
    <t>Permits and Approvals</t>
  </si>
  <si>
    <t>Architect/Engineer Fees</t>
  </si>
  <si>
    <t>Demolition/Trash Removal</t>
  </si>
  <si>
    <t>Material Overages/Delays</t>
  </si>
  <si>
    <t>Miscellaneous</t>
  </si>
  <si>
    <t>Manual Overwrite Construction Total</t>
  </si>
  <si>
    <t>Total Construction Costs (Auto)</t>
  </si>
  <si>
    <t>Loan Amount</t>
  </si>
  <si>
    <t>Interest Rate (%)</t>
  </si>
  <si>
    <t>Projected Holding Period (Months)</t>
  </si>
  <si>
    <t>Interest Only Payment (Monthly)</t>
  </si>
  <si>
    <t>Total Interest Paid</t>
  </si>
  <si>
    <t>Property Taxes (Monthly)</t>
  </si>
  <si>
    <t>Insurance (Monthly)</t>
  </si>
  <si>
    <t>Utilities (Monthly)</t>
  </si>
  <si>
    <t>Maintenance (Monthly)</t>
  </si>
  <si>
    <t>HOA Fees (Monthly)</t>
  </si>
  <si>
    <t>Total Holding Costs (Auto)</t>
  </si>
  <si>
    <t>Selling Costs</t>
  </si>
  <si>
    <t>Attorney Fees</t>
  </si>
  <si>
    <t>Transfer Taxes</t>
  </si>
  <si>
    <t>Staging Costs</t>
  </si>
  <si>
    <t>Seller Concessions</t>
  </si>
  <si>
    <t>Total Selling Costs (Auto)</t>
  </si>
  <si>
    <t>Unexpected / Risk Costs</t>
  </si>
  <si>
    <t>Eviction Costs</t>
  </si>
  <si>
    <t>Vandalism/Theft Loss</t>
  </si>
  <si>
    <t>Extension Fees</t>
  </si>
  <si>
    <t>Hard Money Renewal Fee</t>
  </si>
  <si>
    <t>Permit Penalties/Fines</t>
  </si>
  <si>
    <t>Mold/Asbestos Remediation</t>
  </si>
  <si>
    <t>Flood Insurance/Special Assessments</t>
  </si>
  <si>
    <t>Lender Inspection Fees</t>
  </si>
  <si>
    <t>Total Unexpected Costs (Auto)</t>
  </si>
  <si>
    <t>Contingency Reserve</t>
  </si>
  <si>
    <t>Holding Costs</t>
  </si>
  <si>
    <t>Property address</t>
  </si>
  <si>
    <t>Realtor Commission (%) (0.02)</t>
  </si>
  <si>
    <t xml:space="preserve">    </t>
  </si>
  <si>
    <t>Total Project Cost</t>
  </si>
  <si>
    <t xml:space="preserve">Sale Proceeds after removing selling costs  </t>
  </si>
  <si>
    <t>Net Profit</t>
  </si>
  <si>
    <t>Annualized Return On Cash</t>
  </si>
  <si>
    <t>Return On Cash invested</t>
  </si>
  <si>
    <t xml:space="preserve">Banks LTC (Purchase price + construction)  </t>
  </si>
  <si>
    <t>LTC (All costs)</t>
  </si>
  <si>
    <t>Cash In Deal (Included Holdings )</t>
  </si>
  <si>
    <t>Loan To ARV</t>
  </si>
  <si>
    <t>Deal Results</t>
  </si>
  <si>
    <t>Prepared by: Yehuda Bochner</t>
  </si>
  <si>
    <t>YS Flip Analyzer (Fix &amp; Flip Calculator) - Powered by YS Capital Group The tool serious investors say YES to.</t>
  </si>
  <si>
    <t>YS Flip Analyzer Sample (Fix &amp; Flip Calculator) - Powered by YS Capital Group The tool serious investors say YES to.</t>
  </si>
  <si>
    <t>🏠 YS Flip Analyzer™ — Powered by YS Capital Group</t>
  </si>
  <si>
    <t>The tool serious investors say YES to.</t>
  </si>
  <si>
    <t>✅ Purpose of the Sheet</t>
  </si>
  <si>
    <t>This tool helps real estate investors like you quickly analyze the potential profit and risk of a fix &amp; flip project. Whether you're a first-timer or a seasoned pro, the YS Flip Analyzer™ shows you:</t>
  </si>
  <si>
    <t>Return on investment (ROI)</t>
  </si>
  <si>
    <t>And more — all calculated automatically</t>
  </si>
  <si>
    <t>📝 What You Need to Enter (Inputs)</t>
  </si>
  <si>
    <t>Fill in the light blue boxes only — the sheet does the rest!</t>
  </si>
  <si>
    <t>🔹 Purchase Section</t>
  </si>
  <si>
    <t>🔹 Renovation Budget</t>
  </si>
  <si>
    <t>Break down your rehab plan: interior, exterior, systems (HVAC/plumbing/electric), permits, architect, demo, materials, contingency, etc.</t>
  </si>
  <si>
    <t>🔹 Holding Details</t>
  </si>
  <si>
    <t>Loan amount</t>
  </si>
  <si>
    <t>🔹 Unexpected/Risk Costs</t>
  </si>
  <si>
    <t>Enter estimated extra costs like vandalism, permit fines, mold, lender fees, etc.</t>
  </si>
  <si>
    <t>🔹 Selling Costs</t>
  </si>
  <si>
    <t>Realtor commission (% of ARV), attorney fees, transfer taxes, staging, concessions</t>
  </si>
  <si>
    <t>📊 What You’ll See (Outputs)</t>
  </si>
  <si>
    <t>Once you enter your numbers, you’ll automatically get:</t>
  </si>
  <si>
    <t>💰 Total Project Cost</t>
  </si>
  <si>
    <t>Your full investment including purchase, rehab, holding, and risk costs</t>
  </si>
  <si>
    <t>📈 Profit &amp; ROI</t>
  </si>
  <si>
    <t>Return on Cash Invested</t>
  </si>
  <si>
    <t>🏦 Loan Metrics</t>
  </si>
  <si>
    <t>Loan to ARV</t>
  </si>
  <si>
    <t>Bank leverage metrics to guide financing decisions</t>
  </si>
  <si>
    <t>🎯 What the Sheet Tells You</t>
  </si>
  <si>
    <t>Call us at 718-831-2168 or visit www.yscapgroup.com</t>
  </si>
  <si>
    <t>YS Capital Group complies with all fair lending laws. We are proud to be an Equal Housing Lender.</t>
  </si>
  <si>
    <t>© 2025 YS Capital Group. All rights reserved.</t>
  </si>
  <si>
    <t>Licensed Mortgage Lender | NMLS Registered</t>
  </si>
  <si>
    <t>Designed by: YS Capital Group</t>
  </si>
  <si>
    <t>By using these tools, you acknowledge and accept the terms outlined in this disclaimer.</t>
  </si>
  <si>
    <t>Disclaimer &amp; Terms of Use</t>
  </si>
  <si>
    <t>🛡️ GENERAL DISCLAIMER</t>
  </si>
  <si>
    <t>Your true all-in costs</t>
  </si>
  <si>
    <t>Estimated net profit</t>
  </si>
  <si>
    <t>Loan-to-cost (LTC) and Loan-to-ARV metrics</t>
  </si>
  <si>
    <t>Purchase Price: What you’re paying for the property</t>
  </si>
  <si>
    <t>Fees: Include wholesale, broker, closing, appraisal, and mortgage costs</t>
  </si>
  <si>
    <t>Interest rate and holding period (months)</t>
  </si>
  <si>
    <t>Monthly costs: taxes, insurance, utilities, maintenance, HOA</t>
  </si>
  <si>
    <t>Net Profit after all costs</t>
  </si>
  <si>
    <t>ROI and Annualized ROI</t>
  </si>
  <si>
    <t>LTC (Loan to Cost)</t>
  </si>
  <si>
    <t>Is this deal worth doing?</t>
  </si>
  <si>
    <t>How much profit can you realistically expect?</t>
  </si>
  <si>
    <t>How much cash will you need to bring in?</t>
  </si>
  <si>
    <t>What’s your risk buffer?</t>
  </si>
  <si>
    <t>The sheet keeps it simple — no formulas to build, no guessing what to calculate. Just plug, play, and say YES to smarter flipping with YS Capital Group.</t>
  </si>
  <si>
    <t>📌 Need help or funding?</t>
  </si>
  <si>
    <t>Let YS Capital Group fund your next flip — fast and headache-free.</t>
  </si>
  <si>
    <r>
      <t xml:space="preserve">This Excel toolset was developed solely for educational and illustrative purposes. The calculations and outputs generated herein are intended to assist with preliminary real estate deal analysis and mortgage scenario planning only. This document does </t>
    </r>
    <r>
      <rPr>
        <b/>
        <sz val="11"/>
        <color theme="0"/>
        <rFont val="Courier New"/>
        <family val="3"/>
      </rPr>
      <t>not</t>
    </r>
    <r>
      <rPr>
        <sz val="11"/>
        <color theme="0"/>
        <rFont val="Courier New"/>
        <family val="3"/>
      </rPr>
      <t xml:space="preserve"> constitute financial, investment, legal, or tax advice.</t>
    </r>
  </si>
  <si>
    <r>
      <t xml:space="preserve">All values produced are </t>
    </r>
    <r>
      <rPr>
        <b/>
        <sz val="11"/>
        <color theme="0"/>
        <rFont val="Courier New"/>
        <family val="3"/>
      </rPr>
      <t>estimates</t>
    </r>
    <r>
      <rPr>
        <sz val="11"/>
        <color theme="0"/>
        <rFont val="Courier New"/>
        <family val="3"/>
      </rPr>
      <t xml:space="preserve"> based on user input and do not guarantee loan approvals, investment returns, or deal outcomes. Please consult with a licensed financial advisor, accountant, or attorney for professional guidance.</t>
    </r>
  </si>
  <si>
    <r>
      <t xml:space="preserve">YS Capital Group, a licensed mortgage lender registered with the </t>
    </r>
    <r>
      <rPr>
        <b/>
        <sz val="11"/>
        <color theme="0"/>
        <rFont val="Courier New"/>
        <family val="3"/>
      </rPr>
      <t>Nationwide Multistate Licensing System (NMLS)</t>
    </r>
    <r>
      <rPr>
        <sz val="11"/>
        <color theme="0"/>
        <rFont val="Courier New"/>
        <family val="3"/>
      </rPr>
      <t>, assumes no liability for errors, miscalculations, or losses incurred from the use of these tools. Use of this spreadsheet is at your own risk.</t>
    </r>
  </si>
  <si>
    <r>
      <t xml:space="preserve">This document may include visual indicators or deal “widgets” such as coloring systems to assist with comparison and basic modeling; these are illustrative only and </t>
    </r>
    <r>
      <rPr>
        <b/>
        <sz val="11"/>
        <color theme="0"/>
        <rFont val="Courier New"/>
        <family val="3"/>
      </rPr>
      <t>not recommendations</t>
    </r>
    <r>
      <rPr>
        <sz val="11"/>
        <color theme="0"/>
        <rFont val="Courier New"/>
        <family val="3"/>
      </rPr>
      <t xml:space="preserve"> to buy, sell, invest, or finance any property.</t>
    </r>
  </si>
  <si>
    <r>
      <t xml:space="preserve">🏠 </t>
    </r>
    <r>
      <rPr>
        <b/>
        <sz val="11"/>
        <color theme="0"/>
        <rFont val="Courier New"/>
        <family val="3"/>
      </rPr>
      <t>Equal Housing Lender</t>
    </r>
  </si>
  <si>
    <t>Cash In Deal (Included Holdings)</t>
  </si>
  <si>
    <t>YS Capital Group</t>
  </si>
  <si>
    <t xml:space="preserve">NMLS ID 2609746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</si>
</sst>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3" x14ac:knownFonts="1">
    <font>
      <sz val="11"/>
      <color theme="1"/>
      <name val="Calibri"/>
      <family val="2"/>
      <scheme val="minor"/>
    </font>
    <font>
      <sz val="11"/>
      <color theme="1"/>
      <name val="Calibri"/>
      <family val="2"/>
      <scheme val="minor"/>
    </font>
    <font>
      <b/>
      <sz val="18"/>
      <color theme="0"/>
      <name val="Courier New"/>
      <family val="3"/>
    </font>
    <font>
      <u/>
      <sz val="11"/>
      <color theme="10"/>
      <name val="Calibri"/>
      <family val="2"/>
      <scheme val="minor"/>
    </font>
    <font>
      <sz val="11"/>
      <color theme="1"/>
      <name val="Courier New"/>
      <family val="3"/>
    </font>
    <font>
      <sz val="12"/>
      <color theme="0"/>
      <name val="Courier New"/>
      <family val="3"/>
    </font>
    <font>
      <sz val="11"/>
      <color theme="0"/>
      <name val="Courier New"/>
      <family val="3"/>
    </font>
    <font>
      <sz val="14"/>
      <color theme="0"/>
      <name val="Courier New"/>
      <family val="3"/>
    </font>
    <font>
      <b/>
      <sz val="11"/>
      <color theme="0"/>
      <name val="Courier New"/>
      <family val="3"/>
    </font>
    <font>
      <sz val="11"/>
      <name val="Courier New"/>
      <family val="3"/>
    </font>
    <font>
      <b/>
      <sz val="13.5"/>
      <color theme="0"/>
      <name val="Courier New"/>
      <family val="3"/>
    </font>
    <font>
      <b/>
      <sz val="12"/>
      <color theme="0"/>
      <name val="Courier New"/>
      <family val="3"/>
    </font>
    <font>
      <u/>
      <sz val="11"/>
      <color theme="0"/>
      <name val="Courier New"/>
      <family val="3"/>
    </font>
  </fonts>
  <fills count="7">
    <fill>
      <patternFill patternType="none"/>
    </fill>
    <fill>
      <patternFill patternType="gray125"/>
    </fill>
    <fill>
      <patternFill patternType="solid">
        <fgColor rgb="FF222932"/>
        <bgColor indexed="64"/>
      </patternFill>
    </fill>
    <fill>
      <patternFill patternType="solid">
        <fgColor rgb="FF76AAAC"/>
        <bgColor indexed="64"/>
      </patternFill>
    </fill>
    <fill>
      <patternFill patternType="solid">
        <fgColor rgb="FFECEDEE"/>
        <bgColor indexed="64"/>
      </patternFill>
    </fill>
    <fill>
      <patternFill patternType="solid">
        <fgColor theme="4" tint="-0.499984740745262"/>
        <bgColor indexed="64"/>
      </patternFill>
    </fill>
    <fill>
      <patternFill patternType="solid">
        <fgColor rgb="FF222932"/>
        <bgColor rgb="FF222932"/>
      </patternFill>
    </fill>
  </fills>
  <borders count="28">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theme="0"/>
      </left>
      <right style="medium">
        <color indexed="64"/>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indexed="64"/>
      </left>
      <right style="medium">
        <color indexed="64"/>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medium">
        <color theme="0"/>
      </left>
      <right/>
      <top/>
      <bottom/>
      <diagonal/>
    </border>
    <border>
      <left style="thin">
        <color theme="0"/>
      </left>
      <right style="medium">
        <color indexed="64"/>
      </right>
      <top style="thin">
        <color theme="0"/>
      </top>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thin">
        <color theme="0"/>
      </right>
      <top style="medium">
        <color theme="0"/>
      </top>
      <bottom style="medium">
        <color theme="0"/>
      </bottom>
      <diagonal/>
    </border>
    <border>
      <left/>
      <right style="medium">
        <color theme="0"/>
      </right>
      <top style="medium">
        <color theme="0"/>
      </top>
      <bottom style="medium">
        <color theme="0"/>
      </bottom>
      <diagonal/>
    </border>
    <border>
      <left/>
      <right style="medium">
        <color theme="0"/>
      </right>
      <top/>
      <bottom style="medium">
        <color theme="0"/>
      </bottom>
      <diagonal/>
    </border>
    <border>
      <left style="medium">
        <color theme="0"/>
      </left>
      <right/>
      <top/>
      <bottom style="medium">
        <color theme="0"/>
      </bottom>
      <diagonal/>
    </border>
    <border>
      <left/>
      <right style="medium">
        <color theme="0"/>
      </right>
      <top/>
      <bottom/>
      <diagonal/>
    </border>
    <border>
      <left/>
      <right style="medium">
        <color theme="0"/>
      </right>
      <top style="medium">
        <color theme="0"/>
      </top>
      <bottom/>
      <diagonal/>
    </border>
    <border>
      <left style="medium">
        <color theme="0"/>
      </left>
      <right/>
      <top style="medium">
        <color theme="0"/>
      </top>
      <bottom/>
      <diagonal/>
    </border>
    <border>
      <left/>
      <right/>
      <top style="thin">
        <color theme="0"/>
      </top>
      <bottom/>
      <diagonal/>
    </border>
    <border>
      <left/>
      <right/>
      <top/>
      <bottom style="thin">
        <color theme="0"/>
      </bottom>
      <diagonal/>
    </border>
    <border>
      <left/>
      <right style="thin">
        <color theme="0"/>
      </right>
      <top/>
      <bottom style="thin">
        <color theme="0"/>
      </bottom>
      <diagonal/>
    </border>
  </borders>
  <cellStyleXfs count="4">
    <xf numFmtId="0" fontId="0" fillId="0" borderId="0"/>
    <xf numFmtId="44" fontId="1" fillId="0" borderId="0"/>
    <xf numFmtId="9" fontId="1" fillId="0" borderId="0" applyFont="0" applyFill="0" applyBorder="0" applyAlignment="0" applyProtection="0"/>
    <xf numFmtId="0" fontId="3" fillId="0" borderId="0" applyNumberFormat="0" applyFill="0" applyBorder="0" applyAlignment="0" applyProtection="0"/>
  </cellStyleXfs>
  <cellXfs count="75">
    <xf numFmtId="0" fontId="0" fillId="0" borderId="0" xfId="0"/>
    <xf numFmtId="0" fontId="2" fillId="2" borderId="16" xfId="0" applyFont="1" applyFill="1" applyBorder="1"/>
    <xf numFmtId="0" fontId="2" fillId="2" borderId="17" xfId="0" applyFont="1" applyFill="1" applyBorder="1"/>
    <xf numFmtId="0" fontId="4" fillId="2" borderId="0" xfId="0" applyFont="1" applyFill="1"/>
    <xf numFmtId="0" fontId="4" fillId="0" borderId="0" xfId="0" applyFont="1"/>
    <xf numFmtId="0" fontId="5" fillId="6" borderId="14" xfId="0" applyFont="1" applyFill="1" applyBorder="1"/>
    <xf numFmtId="0" fontId="6" fillId="2" borderId="22" xfId="0" applyFont="1" applyFill="1" applyBorder="1"/>
    <xf numFmtId="0" fontId="6" fillId="2" borderId="0" xfId="0" applyFont="1" applyFill="1"/>
    <xf numFmtId="0" fontId="7" fillId="6" borderId="0" xfId="0" applyFont="1" applyFill="1"/>
    <xf numFmtId="0" fontId="8" fillId="2" borderId="1" xfId="0" applyFont="1" applyFill="1" applyBorder="1" applyAlignment="1">
      <alignment horizontal="center" vertical="top"/>
    </xf>
    <xf numFmtId="0" fontId="8" fillId="2" borderId="8" xfId="0" applyFont="1" applyFill="1" applyBorder="1" applyAlignment="1">
      <alignment horizontal="center" vertical="top"/>
    </xf>
    <xf numFmtId="0" fontId="6" fillId="2" borderId="11" xfId="0" applyFont="1" applyFill="1" applyBorder="1"/>
    <xf numFmtId="44" fontId="6" fillId="3" borderId="11" xfId="1" applyFont="1" applyFill="1" applyBorder="1" applyProtection="1">
      <protection locked="0"/>
    </xf>
    <xf numFmtId="0" fontId="6" fillId="2" borderId="2" xfId="0" applyFont="1" applyFill="1" applyBorder="1"/>
    <xf numFmtId="0" fontId="6" fillId="2" borderId="12" xfId="0" applyFont="1" applyFill="1" applyBorder="1"/>
    <xf numFmtId="44" fontId="6" fillId="3" borderId="12" xfId="1" applyFont="1" applyFill="1" applyBorder="1" applyProtection="1">
      <protection locked="0"/>
    </xf>
    <xf numFmtId="0" fontId="6" fillId="2" borderId="4" xfId="0" applyFont="1" applyFill="1" applyBorder="1"/>
    <xf numFmtId="0" fontId="6" fillId="2" borderId="6" xfId="0" applyFont="1" applyFill="1" applyBorder="1"/>
    <xf numFmtId="44" fontId="9" fillId="4" borderId="13" xfId="0" applyNumberFormat="1" applyFont="1" applyFill="1" applyBorder="1"/>
    <xf numFmtId="0" fontId="6" fillId="2" borderId="13" xfId="0" applyFont="1" applyFill="1" applyBorder="1"/>
    <xf numFmtId="44" fontId="9" fillId="4" borderId="13" xfId="1" applyFont="1" applyFill="1" applyBorder="1"/>
    <xf numFmtId="0" fontId="6" fillId="3" borderId="11" xfId="0" applyFont="1" applyFill="1" applyBorder="1" applyProtection="1">
      <protection locked="0"/>
    </xf>
    <xf numFmtId="0" fontId="6" fillId="3" borderId="12" xfId="0" applyFont="1" applyFill="1" applyBorder="1" applyProtection="1">
      <protection locked="0"/>
    </xf>
    <xf numFmtId="0" fontId="6" fillId="2" borderId="5" xfId="0" applyFont="1" applyFill="1" applyBorder="1"/>
    <xf numFmtId="44" fontId="9" fillId="4" borderId="1" xfId="1" applyFont="1" applyFill="1" applyBorder="1"/>
    <xf numFmtId="44" fontId="6" fillId="5" borderId="12" xfId="0" applyNumberFormat="1" applyFont="1" applyFill="1" applyBorder="1"/>
    <xf numFmtId="44" fontId="6" fillId="3" borderId="11" xfId="1" applyFont="1" applyFill="1" applyBorder="1"/>
    <xf numFmtId="44" fontId="6" fillId="3" borderId="12" xfId="1" applyFont="1" applyFill="1" applyBorder="1"/>
    <xf numFmtId="44" fontId="6" fillId="5" borderId="13" xfId="0" applyNumberFormat="1" applyFont="1" applyFill="1" applyBorder="1"/>
    <xf numFmtId="0" fontId="6" fillId="3" borderId="12" xfId="1" applyNumberFormat="1" applyFont="1" applyFill="1" applyBorder="1"/>
    <xf numFmtId="44" fontId="6" fillId="2" borderId="12" xfId="1" applyFont="1" applyFill="1" applyBorder="1"/>
    <xf numFmtId="10" fontId="6" fillId="5" borderId="11" xfId="2" applyNumberFormat="1" applyFont="1" applyFill="1" applyBorder="1" applyProtection="1"/>
    <xf numFmtId="10" fontId="6" fillId="5" borderId="12" xfId="2" applyNumberFormat="1" applyFont="1" applyFill="1" applyBorder="1" applyProtection="1"/>
    <xf numFmtId="10" fontId="6" fillId="5" borderId="13" xfId="2" applyNumberFormat="1" applyFont="1" applyFill="1" applyBorder="1" applyProtection="1"/>
    <xf numFmtId="9" fontId="6" fillId="5" borderId="11" xfId="2" applyFont="1" applyFill="1" applyBorder="1" applyProtection="1"/>
    <xf numFmtId="9" fontId="6" fillId="5" borderId="12" xfId="0" applyNumberFormat="1" applyFont="1" applyFill="1" applyBorder="1"/>
    <xf numFmtId="9" fontId="6" fillId="5" borderId="13" xfId="0" applyNumberFormat="1" applyFont="1" applyFill="1" applyBorder="1"/>
    <xf numFmtId="0" fontId="4" fillId="2" borderId="17" xfId="0" applyFont="1" applyFill="1" applyBorder="1"/>
    <xf numFmtId="0" fontId="4" fillId="2" borderId="18" xfId="0" applyFont="1" applyFill="1" applyBorder="1"/>
    <xf numFmtId="0" fontId="4" fillId="2" borderId="19" xfId="0" applyFont="1" applyFill="1" applyBorder="1"/>
    <xf numFmtId="10" fontId="6" fillId="5" borderId="11" xfId="2" applyNumberFormat="1" applyFont="1" applyFill="1" applyBorder="1"/>
    <xf numFmtId="10" fontId="6" fillId="5" borderId="12" xfId="2" applyNumberFormat="1" applyFont="1" applyFill="1" applyBorder="1"/>
    <xf numFmtId="10" fontId="6" fillId="5" borderId="13" xfId="2" applyNumberFormat="1" applyFont="1" applyFill="1" applyBorder="1"/>
    <xf numFmtId="9" fontId="6" fillId="5" borderId="11" xfId="2" applyFont="1" applyFill="1" applyBorder="1"/>
    <xf numFmtId="0" fontId="6" fillId="0" borderId="0" xfId="0" applyFont="1"/>
    <xf numFmtId="0" fontId="6" fillId="2" borderId="24" xfId="0" applyFont="1" applyFill="1" applyBorder="1"/>
    <xf numFmtId="0" fontId="6" fillId="2" borderId="23" xfId="0" applyFont="1" applyFill="1" applyBorder="1"/>
    <xf numFmtId="0" fontId="6" fillId="2" borderId="14" xfId="0" applyFont="1" applyFill="1" applyBorder="1"/>
    <xf numFmtId="0" fontId="2" fillId="2" borderId="14" xfId="0" applyFont="1" applyFill="1" applyBorder="1" applyAlignment="1">
      <alignment vertical="center"/>
    </xf>
    <xf numFmtId="0" fontId="10" fillId="2" borderId="14" xfId="0" applyFont="1" applyFill="1" applyBorder="1" applyAlignment="1">
      <alignment vertical="center"/>
    </xf>
    <xf numFmtId="0" fontId="8" fillId="2" borderId="14" xfId="0" applyFont="1" applyFill="1" applyBorder="1" applyAlignment="1">
      <alignment horizontal="left" vertical="center" indent="1"/>
    </xf>
    <xf numFmtId="0" fontId="11" fillId="2" borderId="14" xfId="0" applyFont="1" applyFill="1" applyBorder="1" applyAlignment="1">
      <alignment vertical="center"/>
    </xf>
    <xf numFmtId="0" fontId="8" fillId="2" borderId="14"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8" fillId="2" borderId="14" xfId="0" applyFont="1" applyFill="1" applyBorder="1" applyAlignment="1">
      <alignment vertical="center" wrapText="1"/>
    </xf>
    <xf numFmtId="0" fontId="6" fillId="2" borderId="22" xfId="0" applyFont="1" applyFill="1" applyBorder="1" applyAlignment="1">
      <alignment vertical="center" wrapText="1"/>
    </xf>
    <xf numFmtId="0" fontId="6" fillId="2" borderId="14" xfId="0" applyFont="1" applyFill="1" applyBorder="1" applyAlignment="1">
      <alignment horizontal="left" vertical="center" indent="1"/>
    </xf>
    <xf numFmtId="0" fontId="8" fillId="2" borderId="14" xfId="0" applyFont="1" applyFill="1" applyBorder="1"/>
    <xf numFmtId="0" fontId="12" fillId="2" borderId="14" xfId="3" applyFont="1" applyFill="1" applyBorder="1"/>
    <xf numFmtId="0" fontId="6" fillId="2" borderId="21" xfId="0" applyFont="1" applyFill="1" applyBorder="1"/>
    <xf numFmtId="0" fontId="6" fillId="2" borderId="20" xfId="0" applyFont="1" applyFill="1" applyBorder="1"/>
    <xf numFmtId="0" fontId="6" fillId="2" borderId="3" xfId="0" applyFont="1" applyFill="1" applyBorder="1"/>
    <xf numFmtId="0" fontId="6" fillId="2" borderId="25" xfId="0" applyFont="1" applyFill="1" applyBorder="1"/>
    <xf numFmtId="0" fontId="6" fillId="2" borderId="26" xfId="0" applyFont="1" applyFill="1" applyBorder="1"/>
    <xf numFmtId="0" fontId="6" fillId="2" borderId="27" xfId="0" applyFont="1" applyFill="1" applyBorder="1"/>
    <xf numFmtId="0" fontId="6" fillId="2" borderId="10" xfId="0" applyFont="1" applyFill="1" applyBorder="1" applyAlignment="1">
      <alignment horizontal="center"/>
    </xf>
    <xf numFmtId="0" fontId="6" fillId="2" borderId="8" xfId="0" applyFont="1" applyFill="1" applyBorder="1"/>
    <xf numFmtId="0" fontId="6" fillId="2" borderId="15" xfId="0" applyFont="1" applyFill="1" applyBorder="1" applyAlignment="1">
      <alignment horizontal="center"/>
    </xf>
    <xf numFmtId="0" fontId="6" fillId="2" borderId="3" xfId="0" applyFont="1" applyFill="1" applyBorder="1"/>
    <xf numFmtId="0" fontId="6" fillId="2" borderId="9" xfId="0" applyFont="1" applyFill="1" applyBorder="1" applyAlignment="1">
      <alignment horizontal="center"/>
    </xf>
    <xf numFmtId="0" fontId="6" fillId="2" borderId="8" xfId="0" applyFont="1" applyFill="1" applyBorder="1" applyAlignment="1">
      <alignment horizontal="center"/>
    </xf>
    <xf numFmtId="0" fontId="6" fillId="2" borderId="7" xfId="0" applyFont="1" applyFill="1" applyBorder="1" applyAlignment="1">
      <alignment horizontal="center"/>
    </xf>
    <xf numFmtId="0" fontId="2" fillId="2" borderId="16" xfId="0" applyFont="1" applyFill="1" applyBorder="1" applyAlignment="1">
      <alignment horizontal="left"/>
    </xf>
    <xf numFmtId="0" fontId="2" fillId="2" borderId="17" xfId="0" applyFont="1" applyFill="1" applyBorder="1" applyAlignment="1">
      <alignment horizontal="left"/>
    </xf>
    <xf numFmtId="0" fontId="2" fillId="2" borderId="19" xfId="0" applyFont="1" applyFill="1" applyBorder="1" applyAlignment="1">
      <alignment horizontal="left"/>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colors>
    <mruColors>
      <color rgb="FF2229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10/relationships/person" Target="persons/person.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4</xdr:col>
      <xdr:colOff>1959428</xdr:colOff>
      <xdr:row>11</xdr:row>
      <xdr:rowOff>108858</xdr:rowOff>
    </xdr:to>
    <xdr:pic>
      <xdr:nvPicPr>
        <xdr:cNvPr id="2" name="image3.png" title="Image">
          <a:extLst>
            <a:ext uri="{FF2B5EF4-FFF2-40B4-BE49-F238E27FC236}">
              <a16:creationId xmlns:a16="http://schemas.microsoft.com/office/drawing/2014/main" id="{91F4B96B-9640-49AD-A6B9-5B90D39B6D69}"/>
            </a:ext>
          </a:extLst>
        </xdr:cNvPr>
        <xdr:cNvPicPr preferRelativeResize="0"/>
      </xdr:nvPicPr>
      <xdr:blipFill>
        <a:blip xmlns:r="http://schemas.openxmlformats.org/officeDocument/2006/relationships" r:embed="rId1" cstate="print"/>
        <a:stretch>
          <a:fillRect/>
        </a:stretch>
      </xdr:blipFill>
      <xdr:spPr>
        <a:xfrm>
          <a:off x="0" y="1"/>
          <a:ext cx="7761514" cy="2144486"/>
        </a:xfrm>
        <a:prstGeom prst="rect">
          <a:avLst/>
        </a:prstGeom>
        <a:noFill/>
      </xdr:spPr>
    </xdr:pic>
    <xdr:clientData/>
  </xdr:twoCellAnchor>
  <xdr:twoCellAnchor editAs="absolute">
    <xdr:from>
      <xdr:col>4</xdr:col>
      <xdr:colOff>1719943</xdr:colOff>
      <xdr:row>0</xdr:row>
      <xdr:rowOff>0</xdr:rowOff>
    </xdr:from>
    <xdr:to>
      <xdr:col>7</xdr:col>
      <xdr:colOff>2917371</xdr:colOff>
      <xdr:row>11</xdr:row>
      <xdr:rowOff>108857</xdr:rowOff>
    </xdr:to>
    <xdr:pic>
      <xdr:nvPicPr>
        <xdr:cNvPr id="3" name="image1.png" title="Image">
          <a:extLst>
            <a:ext uri="{FF2B5EF4-FFF2-40B4-BE49-F238E27FC236}">
              <a16:creationId xmlns:a16="http://schemas.microsoft.com/office/drawing/2014/main" id="{24D97ED2-C290-414A-BBCF-25F8AA5AE797}"/>
            </a:ext>
          </a:extLst>
        </xdr:cNvPr>
        <xdr:cNvPicPr preferRelativeResize="0"/>
      </xdr:nvPicPr>
      <xdr:blipFill>
        <a:blip xmlns:r="http://schemas.openxmlformats.org/officeDocument/2006/relationships" r:embed="rId2" cstate="print"/>
        <a:stretch>
          <a:fillRect/>
        </a:stretch>
      </xdr:blipFill>
      <xdr:spPr>
        <a:xfrm>
          <a:off x="7522029" y="0"/>
          <a:ext cx="7032171" cy="2144486"/>
        </a:xfrm>
        <a:prstGeom prst="rect">
          <a:avLst/>
        </a:prstGeom>
        <a:noFill/>
      </xdr:spPr>
    </xdr:pic>
    <xdr:clientData/>
  </xdr:twoCellAnchor>
  <xdr:twoCellAnchor editAs="absolute">
    <xdr:from>
      <xdr:col>7</xdr:col>
      <xdr:colOff>1937656</xdr:colOff>
      <xdr:row>0</xdr:row>
      <xdr:rowOff>0</xdr:rowOff>
    </xdr:from>
    <xdr:to>
      <xdr:col>16</xdr:col>
      <xdr:colOff>489855</xdr:colOff>
      <xdr:row>11</xdr:row>
      <xdr:rowOff>108857</xdr:rowOff>
    </xdr:to>
    <xdr:pic>
      <xdr:nvPicPr>
        <xdr:cNvPr id="4" name="image1.png" title="Image">
          <a:extLst>
            <a:ext uri="{FF2B5EF4-FFF2-40B4-BE49-F238E27FC236}">
              <a16:creationId xmlns:a16="http://schemas.microsoft.com/office/drawing/2014/main" id="{10F166F6-E028-4092-B4C3-A00E0F64F4B9}"/>
            </a:ext>
          </a:extLst>
        </xdr:cNvPr>
        <xdr:cNvPicPr preferRelativeResize="0"/>
      </xdr:nvPicPr>
      <xdr:blipFill>
        <a:blip xmlns:r="http://schemas.openxmlformats.org/officeDocument/2006/relationships" r:embed="rId2" cstate="print"/>
        <a:stretch>
          <a:fillRect/>
        </a:stretch>
      </xdr:blipFill>
      <xdr:spPr>
        <a:xfrm>
          <a:off x="13628913" y="0"/>
          <a:ext cx="7130142" cy="2144486"/>
        </a:xfrm>
        <a:prstGeom prst="rect">
          <a:avLst/>
        </a:prstGeom>
        <a:noFill/>
      </xdr:spPr>
    </xdr:pic>
    <xdr:clientData/>
  </xdr:twoCellAnchor>
  <xdr:twoCellAnchor editAs="absolute">
    <xdr:from>
      <xdr:col>0</xdr:col>
      <xdr:colOff>0</xdr:colOff>
      <xdr:row>67</xdr:row>
      <xdr:rowOff>167369</xdr:rowOff>
    </xdr:from>
    <xdr:to>
      <xdr:col>4</xdr:col>
      <xdr:colOff>1230085</xdr:colOff>
      <xdr:row>79</xdr:row>
      <xdr:rowOff>80283</xdr:rowOff>
    </xdr:to>
    <xdr:pic>
      <xdr:nvPicPr>
        <xdr:cNvPr id="5" name="image1.png" title="Image">
          <a:extLst>
            <a:ext uri="{FF2B5EF4-FFF2-40B4-BE49-F238E27FC236}">
              <a16:creationId xmlns:a16="http://schemas.microsoft.com/office/drawing/2014/main" id="{193CD0AF-BE79-4CAD-B0FB-0BACFD2BCA3E}"/>
            </a:ext>
          </a:extLst>
        </xdr:cNvPr>
        <xdr:cNvPicPr preferRelativeResize="0"/>
      </xdr:nvPicPr>
      <xdr:blipFill>
        <a:blip xmlns:r="http://schemas.openxmlformats.org/officeDocument/2006/relationships" r:embed="rId2" cstate="print"/>
        <a:stretch>
          <a:fillRect/>
        </a:stretch>
      </xdr:blipFill>
      <xdr:spPr>
        <a:xfrm>
          <a:off x="0" y="12964886"/>
          <a:ext cx="7032171" cy="2144486"/>
        </a:xfrm>
        <a:prstGeom prst="rect">
          <a:avLst/>
        </a:prstGeom>
        <a:noFill/>
      </xdr:spPr>
    </xdr:pic>
    <xdr:clientData/>
  </xdr:twoCellAnchor>
  <xdr:twoCellAnchor editAs="absolute">
    <xdr:from>
      <xdr:col>4</xdr:col>
      <xdr:colOff>979714</xdr:colOff>
      <xdr:row>67</xdr:row>
      <xdr:rowOff>167370</xdr:rowOff>
    </xdr:from>
    <xdr:to>
      <xdr:col>7</xdr:col>
      <xdr:colOff>2166257</xdr:colOff>
      <xdr:row>79</xdr:row>
      <xdr:rowOff>80284</xdr:rowOff>
    </xdr:to>
    <xdr:pic>
      <xdr:nvPicPr>
        <xdr:cNvPr id="6" name="image1.png" title="Image">
          <a:extLst>
            <a:ext uri="{FF2B5EF4-FFF2-40B4-BE49-F238E27FC236}">
              <a16:creationId xmlns:a16="http://schemas.microsoft.com/office/drawing/2014/main" id="{9B08948B-EDFC-4BEA-81D6-BAC4012D1A66}"/>
            </a:ext>
          </a:extLst>
        </xdr:cNvPr>
        <xdr:cNvPicPr preferRelativeResize="0"/>
      </xdr:nvPicPr>
      <xdr:blipFill>
        <a:blip xmlns:r="http://schemas.openxmlformats.org/officeDocument/2006/relationships" r:embed="rId2" cstate="print"/>
        <a:stretch>
          <a:fillRect/>
        </a:stretch>
      </xdr:blipFill>
      <xdr:spPr>
        <a:xfrm>
          <a:off x="6781800" y="12964887"/>
          <a:ext cx="7032171" cy="2144486"/>
        </a:xfrm>
        <a:prstGeom prst="rect">
          <a:avLst/>
        </a:prstGeom>
        <a:noFill/>
      </xdr:spPr>
    </xdr:pic>
    <xdr:clientData/>
  </xdr:twoCellAnchor>
  <xdr:twoCellAnchor editAs="absolute">
    <xdr:from>
      <xdr:col>7</xdr:col>
      <xdr:colOff>1915886</xdr:colOff>
      <xdr:row>67</xdr:row>
      <xdr:rowOff>167368</xdr:rowOff>
    </xdr:from>
    <xdr:to>
      <xdr:col>16</xdr:col>
      <xdr:colOff>468085</xdr:colOff>
      <xdr:row>79</xdr:row>
      <xdr:rowOff>80282</xdr:rowOff>
    </xdr:to>
    <xdr:pic>
      <xdr:nvPicPr>
        <xdr:cNvPr id="7" name="image1.png" title="Image">
          <a:extLst>
            <a:ext uri="{FF2B5EF4-FFF2-40B4-BE49-F238E27FC236}">
              <a16:creationId xmlns:a16="http://schemas.microsoft.com/office/drawing/2014/main" id="{ECC06488-553B-46C7-9F00-AC4C3FEF1408}"/>
            </a:ext>
          </a:extLst>
        </xdr:cNvPr>
        <xdr:cNvPicPr preferRelativeResize="0"/>
      </xdr:nvPicPr>
      <xdr:blipFill>
        <a:blip xmlns:r="http://schemas.openxmlformats.org/officeDocument/2006/relationships" r:embed="rId2" cstate="print"/>
        <a:stretch>
          <a:fillRect/>
        </a:stretch>
      </xdr:blipFill>
      <xdr:spPr>
        <a:xfrm>
          <a:off x="13607143" y="12979854"/>
          <a:ext cx="7130142" cy="2144485"/>
        </a:xfrm>
        <a:prstGeom prst="rect">
          <a:avLst/>
        </a:prstGeom>
        <a:noFill/>
      </xdr:spPr>
    </xdr:pic>
    <xdr:clientData/>
  </xdr:twoCellAnchor>
  <xdr:twoCellAnchor editAs="oneCell">
    <xdr:from>
      <xdr:col>0</xdr:col>
      <xdr:colOff>250376</xdr:colOff>
      <xdr:row>67</xdr:row>
      <xdr:rowOff>141515</xdr:rowOff>
    </xdr:from>
    <xdr:to>
      <xdr:col>0</xdr:col>
      <xdr:colOff>1088572</xdr:colOff>
      <xdr:row>72</xdr:row>
      <xdr:rowOff>145998</xdr:rowOff>
    </xdr:to>
    <xdr:pic>
      <xdr:nvPicPr>
        <xdr:cNvPr id="9" name="Picture 8">
          <a:extLst>
            <a:ext uri="{FF2B5EF4-FFF2-40B4-BE49-F238E27FC236}">
              <a16:creationId xmlns:a16="http://schemas.microsoft.com/office/drawing/2014/main" id="{69F967D6-2C8E-7BD7-504E-07967633E0A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0376" y="12954001"/>
          <a:ext cx="838196" cy="940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4</xdr:col>
      <xdr:colOff>2196192</xdr:colOff>
      <xdr:row>11</xdr:row>
      <xdr:rowOff>108858</xdr:rowOff>
    </xdr:to>
    <xdr:pic>
      <xdr:nvPicPr>
        <xdr:cNvPr id="2" name="image3.png" title="Image">
          <a:extLst>
            <a:ext uri="{FF2B5EF4-FFF2-40B4-BE49-F238E27FC236}">
              <a16:creationId xmlns:a16="http://schemas.microsoft.com/office/drawing/2014/main" id="{137C1B6D-987D-4B3A-AE25-4208D509ECFD}"/>
            </a:ext>
          </a:extLst>
        </xdr:cNvPr>
        <xdr:cNvPicPr preferRelativeResize="0"/>
      </xdr:nvPicPr>
      <xdr:blipFill>
        <a:blip xmlns:r="http://schemas.openxmlformats.org/officeDocument/2006/relationships" r:embed="rId1" cstate="print"/>
        <a:stretch>
          <a:fillRect/>
        </a:stretch>
      </xdr:blipFill>
      <xdr:spPr>
        <a:xfrm>
          <a:off x="0" y="1"/>
          <a:ext cx="7760425" cy="2120537"/>
        </a:xfrm>
        <a:prstGeom prst="rect">
          <a:avLst/>
        </a:prstGeom>
        <a:noFill/>
      </xdr:spPr>
    </xdr:pic>
    <xdr:clientData/>
  </xdr:twoCellAnchor>
  <xdr:twoCellAnchor editAs="absolute">
    <xdr:from>
      <xdr:col>4</xdr:col>
      <xdr:colOff>1956707</xdr:colOff>
      <xdr:row>0</xdr:row>
      <xdr:rowOff>0</xdr:rowOff>
    </xdr:from>
    <xdr:to>
      <xdr:col>7</xdr:col>
      <xdr:colOff>2664278</xdr:colOff>
      <xdr:row>11</xdr:row>
      <xdr:rowOff>108857</xdr:rowOff>
    </xdr:to>
    <xdr:pic>
      <xdr:nvPicPr>
        <xdr:cNvPr id="3" name="image1.png" title="Image">
          <a:extLst>
            <a:ext uri="{FF2B5EF4-FFF2-40B4-BE49-F238E27FC236}">
              <a16:creationId xmlns:a16="http://schemas.microsoft.com/office/drawing/2014/main" id="{885942A4-929A-4F74-A262-6A2043D1E2BA}"/>
            </a:ext>
          </a:extLst>
        </xdr:cNvPr>
        <xdr:cNvPicPr preferRelativeResize="0"/>
      </xdr:nvPicPr>
      <xdr:blipFill>
        <a:blip xmlns:r="http://schemas.openxmlformats.org/officeDocument/2006/relationships" r:embed="rId2" cstate="print"/>
        <a:stretch>
          <a:fillRect/>
        </a:stretch>
      </xdr:blipFill>
      <xdr:spPr>
        <a:xfrm>
          <a:off x="7520940" y="0"/>
          <a:ext cx="7027817" cy="2120537"/>
        </a:xfrm>
        <a:prstGeom prst="rect">
          <a:avLst/>
        </a:prstGeom>
        <a:noFill/>
      </xdr:spPr>
    </xdr:pic>
    <xdr:clientData/>
  </xdr:twoCellAnchor>
  <xdr:twoCellAnchor editAs="absolute">
    <xdr:from>
      <xdr:col>7</xdr:col>
      <xdr:colOff>617764</xdr:colOff>
      <xdr:row>0</xdr:row>
      <xdr:rowOff>0</xdr:rowOff>
    </xdr:from>
    <xdr:to>
      <xdr:col>14</xdr:col>
      <xdr:colOff>410935</xdr:colOff>
      <xdr:row>11</xdr:row>
      <xdr:rowOff>108857</xdr:rowOff>
    </xdr:to>
    <xdr:pic>
      <xdr:nvPicPr>
        <xdr:cNvPr id="4" name="image1.png" title="Image">
          <a:extLst>
            <a:ext uri="{FF2B5EF4-FFF2-40B4-BE49-F238E27FC236}">
              <a16:creationId xmlns:a16="http://schemas.microsoft.com/office/drawing/2014/main" id="{34C5C463-DC1F-4998-B2B0-FC523D8B6E89}"/>
            </a:ext>
          </a:extLst>
        </xdr:cNvPr>
        <xdr:cNvPicPr preferRelativeResize="0"/>
      </xdr:nvPicPr>
      <xdr:blipFill>
        <a:blip xmlns:r="http://schemas.openxmlformats.org/officeDocument/2006/relationships" r:embed="rId2" cstate="print"/>
        <a:stretch>
          <a:fillRect/>
        </a:stretch>
      </xdr:blipFill>
      <xdr:spPr>
        <a:xfrm>
          <a:off x="12527280" y="0"/>
          <a:ext cx="7028905" cy="2120537"/>
        </a:xfrm>
        <a:prstGeom prst="rect">
          <a:avLst/>
        </a:prstGeom>
        <a:noFill/>
      </xdr:spPr>
    </xdr:pic>
    <xdr:clientData/>
  </xdr:twoCellAnchor>
  <xdr:twoCellAnchor editAs="absolute">
    <xdr:from>
      <xdr:col>0</xdr:col>
      <xdr:colOff>0</xdr:colOff>
      <xdr:row>67</xdr:row>
      <xdr:rowOff>167369</xdr:rowOff>
    </xdr:from>
    <xdr:to>
      <xdr:col>4</xdr:col>
      <xdr:colOff>1466849</xdr:colOff>
      <xdr:row>79</xdr:row>
      <xdr:rowOff>80283</xdr:rowOff>
    </xdr:to>
    <xdr:pic>
      <xdr:nvPicPr>
        <xdr:cNvPr id="5" name="image1.png" title="Image">
          <a:extLst>
            <a:ext uri="{FF2B5EF4-FFF2-40B4-BE49-F238E27FC236}">
              <a16:creationId xmlns:a16="http://schemas.microsoft.com/office/drawing/2014/main" id="{FB09D4EC-940E-4459-A5DC-5D607352FF93}"/>
            </a:ext>
          </a:extLst>
        </xdr:cNvPr>
        <xdr:cNvPicPr preferRelativeResize="0"/>
      </xdr:nvPicPr>
      <xdr:blipFill>
        <a:blip xmlns:r="http://schemas.openxmlformats.org/officeDocument/2006/relationships" r:embed="rId2" cstate="print"/>
        <a:stretch>
          <a:fillRect/>
        </a:stretch>
      </xdr:blipFill>
      <xdr:spPr>
        <a:xfrm>
          <a:off x="0" y="12914812"/>
          <a:ext cx="7032171" cy="2122714"/>
        </a:xfrm>
        <a:prstGeom prst="rect">
          <a:avLst/>
        </a:prstGeom>
        <a:noFill/>
      </xdr:spPr>
    </xdr:pic>
    <xdr:clientData/>
  </xdr:twoCellAnchor>
  <xdr:twoCellAnchor editAs="absolute">
    <xdr:from>
      <xdr:col>4</xdr:col>
      <xdr:colOff>1216478</xdr:colOff>
      <xdr:row>67</xdr:row>
      <xdr:rowOff>167370</xdr:rowOff>
    </xdr:from>
    <xdr:to>
      <xdr:col>7</xdr:col>
      <xdr:colOff>1939017</xdr:colOff>
      <xdr:row>79</xdr:row>
      <xdr:rowOff>80284</xdr:rowOff>
    </xdr:to>
    <xdr:pic>
      <xdr:nvPicPr>
        <xdr:cNvPr id="6" name="image1.png" title="Image">
          <a:extLst>
            <a:ext uri="{FF2B5EF4-FFF2-40B4-BE49-F238E27FC236}">
              <a16:creationId xmlns:a16="http://schemas.microsoft.com/office/drawing/2014/main" id="{EC7F46E6-1A8D-4063-B1C0-C775AB526917}"/>
            </a:ext>
          </a:extLst>
        </xdr:cNvPr>
        <xdr:cNvPicPr preferRelativeResize="0"/>
      </xdr:nvPicPr>
      <xdr:blipFill>
        <a:blip xmlns:r="http://schemas.openxmlformats.org/officeDocument/2006/relationships" r:embed="rId2" cstate="print"/>
        <a:stretch>
          <a:fillRect/>
        </a:stretch>
      </xdr:blipFill>
      <xdr:spPr>
        <a:xfrm>
          <a:off x="6781800" y="12914813"/>
          <a:ext cx="7026728" cy="2122714"/>
        </a:xfrm>
        <a:prstGeom prst="rect">
          <a:avLst/>
        </a:prstGeom>
        <a:noFill/>
      </xdr:spPr>
    </xdr:pic>
    <xdr:clientData/>
  </xdr:twoCellAnchor>
  <xdr:twoCellAnchor editAs="absolute">
    <xdr:from>
      <xdr:col>7</xdr:col>
      <xdr:colOff>595993</xdr:colOff>
      <xdr:row>67</xdr:row>
      <xdr:rowOff>167368</xdr:rowOff>
    </xdr:from>
    <xdr:to>
      <xdr:col>14</xdr:col>
      <xdr:colOff>389164</xdr:colOff>
      <xdr:row>79</xdr:row>
      <xdr:rowOff>80282</xdr:rowOff>
    </xdr:to>
    <xdr:pic>
      <xdr:nvPicPr>
        <xdr:cNvPr id="7" name="image1.png" title="Image">
          <a:extLst>
            <a:ext uri="{FF2B5EF4-FFF2-40B4-BE49-F238E27FC236}">
              <a16:creationId xmlns:a16="http://schemas.microsoft.com/office/drawing/2014/main" id="{65FFB10A-4D5B-46FC-85B6-B35FBB6CC147}"/>
            </a:ext>
          </a:extLst>
        </xdr:cNvPr>
        <xdr:cNvPicPr preferRelativeResize="0"/>
      </xdr:nvPicPr>
      <xdr:blipFill>
        <a:blip xmlns:r="http://schemas.openxmlformats.org/officeDocument/2006/relationships" r:embed="rId2" cstate="print"/>
        <a:stretch>
          <a:fillRect/>
        </a:stretch>
      </xdr:blipFill>
      <xdr:spPr>
        <a:xfrm>
          <a:off x="12505509" y="12914811"/>
          <a:ext cx="7028905" cy="2122714"/>
        </a:xfrm>
        <a:prstGeom prst="rect">
          <a:avLst/>
        </a:prstGeom>
        <a:noFill/>
      </xdr:spPr>
    </xdr:pic>
    <xdr:clientData/>
  </xdr:twoCellAnchor>
  <xdr:twoCellAnchor editAs="absolute">
    <xdr:from>
      <xdr:col>8</xdr:col>
      <xdr:colOff>108857</xdr:colOff>
      <xdr:row>67</xdr:row>
      <xdr:rowOff>163286</xdr:rowOff>
    </xdr:from>
    <xdr:to>
      <xdr:col>19</xdr:col>
      <xdr:colOff>-1</xdr:colOff>
      <xdr:row>79</xdr:row>
      <xdr:rowOff>76200</xdr:rowOff>
    </xdr:to>
    <xdr:pic>
      <xdr:nvPicPr>
        <xdr:cNvPr id="9" name="image1.png" title="Image">
          <a:extLst>
            <a:ext uri="{FF2B5EF4-FFF2-40B4-BE49-F238E27FC236}">
              <a16:creationId xmlns:a16="http://schemas.microsoft.com/office/drawing/2014/main" id="{AE8C4E1A-6241-4AF4-81E7-7E14318AF22C}"/>
            </a:ext>
          </a:extLst>
        </xdr:cNvPr>
        <xdr:cNvPicPr preferRelativeResize="0"/>
      </xdr:nvPicPr>
      <xdr:blipFill>
        <a:blip xmlns:r="http://schemas.openxmlformats.org/officeDocument/2006/relationships" r:embed="rId2" cstate="print"/>
        <a:stretch>
          <a:fillRect/>
        </a:stretch>
      </xdr:blipFill>
      <xdr:spPr>
        <a:xfrm>
          <a:off x="15435943" y="12975772"/>
          <a:ext cx="7130142" cy="2144485"/>
        </a:xfrm>
        <a:prstGeom prst="rect">
          <a:avLst/>
        </a:prstGeom>
        <a:noFill/>
      </xdr:spPr>
    </xdr:pic>
    <xdr:clientData/>
  </xdr:twoCellAnchor>
  <xdr:twoCellAnchor editAs="absolute">
    <xdr:from>
      <xdr:col>8</xdr:col>
      <xdr:colOff>117566</xdr:colOff>
      <xdr:row>0</xdr:row>
      <xdr:rowOff>0</xdr:rowOff>
    </xdr:from>
    <xdr:to>
      <xdr:col>19</xdr:col>
      <xdr:colOff>8708</xdr:colOff>
      <xdr:row>11</xdr:row>
      <xdr:rowOff>108857</xdr:rowOff>
    </xdr:to>
    <xdr:pic>
      <xdr:nvPicPr>
        <xdr:cNvPr id="10" name="image1.png" title="Image">
          <a:extLst>
            <a:ext uri="{FF2B5EF4-FFF2-40B4-BE49-F238E27FC236}">
              <a16:creationId xmlns:a16="http://schemas.microsoft.com/office/drawing/2014/main" id="{D49001F0-D8D0-43D8-B134-2AE1EE731221}"/>
            </a:ext>
          </a:extLst>
        </xdr:cNvPr>
        <xdr:cNvPicPr preferRelativeResize="0"/>
      </xdr:nvPicPr>
      <xdr:blipFill>
        <a:blip xmlns:r="http://schemas.openxmlformats.org/officeDocument/2006/relationships" r:embed="rId2" cstate="print"/>
        <a:stretch>
          <a:fillRect/>
        </a:stretch>
      </xdr:blipFill>
      <xdr:spPr>
        <a:xfrm>
          <a:off x="15444652" y="0"/>
          <a:ext cx="7130142" cy="2144486"/>
        </a:xfrm>
        <a:prstGeom prst="rect">
          <a:avLst/>
        </a:prstGeom>
        <a:noFill/>
      </xdr:spPr>
    </xdr:pic>
    <xdr:clientData/>
  </xdr:twoCellAnchor>
  <xdr:twoCellAnchor editAs="oneCell">
    <xdr:from>
      <xdr:col>0</xdr:col>
      <xdr:colOff>195943</xdr:colOff>
      <xdr:row>67</xdr:row>
      <xdr:rowOff>145869</xdr:rowOff>
    </xdr:from>
    <xdr:to>
      <xdr:col>0</xdr:col>
      <xdr:colOff>1034139</xdr:colOff>
      <xdr:row>72</xdr:row>
      <xdr:rowOff>150352</xdr:rowOff>
    </xdr:to>
    <xdr:pic>
      <xdr:nvPicPr>
        <xdr:cNvPr id="11" name="Picture 10">
          <a:extLst>
            <a:ext uri="{FF2B5EF4-FFF2-40B4-BE49-F238E27FC236}">
              <a16:creationId xmlns:a16="http://schemas.microsoft.com/office/drawing/2014/main" id="{BEEBCAD6-4B64-49C3-819C-E1A5601F331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5943" y="12958355"/>
          <a:ext cx="838196" cy="940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absoluteAnchor>
    <xdr:pos x="0" y="0"/>
    <xdr:ext cx="6876098" cy="1524000"/>
    <xdr:pic>
      <xdr:nvPicPr>
        <xdr:cNvPr id="2" name="image3.png" title="Image">
          <a:extLst>
            <a:ext uri="{FF2B5EF4-FFF2-40B4-BE49-F238E27FC236}">
              <a16:creationId xmlns:a16="http://schemas.microsoft.com/office/drawing/2014/main" id="{B2B86541-FB11-44F4-8ED4-BC549CE302CC}"/>
            </a:ext>
          </a:extLst>
        </xdr:cNvPr>
        <xdr:cNvPicPr preferRelativeResize="0"/>
      </xdr:nvPicPr>
      <xdr:blipFill>
        <a:blip xmlns:r="http://schemas.openxmlformats.org/officeDocument/2006/relationships" r:embed="rId1" cstate="print"/>
        <a:stretch>
          <a:fillRect/>
        </a:stretch>
      </xdr:blipFill>
      <xdr:spPr>
        <a:xfrm>
          <a:off x="0" y="0"/>
          <a:ext cx="6876098" cy="1524000"/>
        </a:xfrm>
        <a:prstGeom prst="rect">
          <a:avLst/>
        </a:prstGeom>
        <a:noFill/>
      </xdr:spPr>
    </xdr:pic>
    <xdr:clientData/>
  </xdr:absoluteAnchor>
  <xdr:absoluteAnchor>
    <xdr:pos x="6629400" y="0"/>
    <xdr:ext cx="7780020" cy="1486852"/>
    <xdr:pic>
      <xdr:nvPicPr>
        <xdr:cNvPr id="3" name="image1.png" title="Image">
          <a:extLst>
            <a:ext uri="{FF2B5EF4-FFF2-40B4-BE49-F238E27FC236}">
              <a16:creationId xmlns:a16="http://schemas.microsoft.com/office/drawing/2014/main" id="{6FA32B08-BAA2-4391-9985-9E63E75DA450}"/>
            </a:ext>
          </a:extLst>
        </xdr:cNvPr>
        <xdr:cNvPicPr preferRelativeResize="0"/>
      </xdr:nvPicPr>
      <xdr:blipFill>
        <a:blip xmlns:r="http://schemas.openxmlformats.org/officeDocument/2006/relationships" r:embed="rId2" cstate="print"/>
        <a:stretch>
          <a:fillRect/>
        </a:stretch>
      </xdr:blipFill>
      <xdr:spPr>
        <a:xfrm>
          <a:off x="6629400" y="0"/>
          <a:ext cx="7780020" cy="1486852"/>
        </a:xfrm>
        <a:prstGeom prst="rect">
          <a:avLst/>
        </a:prstGeom>
        <a:noFill/>
      </xdr:spPr>
    </xdr:pic>
    <xdr:clientData/>
  </xdr:absoluteAnchor>
  <xdr:twoCellAnchor editAs="oneCell">
    <xdr:from>
      <xdr:col>0</xdr:col>
      <xdr:colOff>114300</xdr:colOff>
      <xdr:row>135</xdr:row>
      <xdr:rowOff>11766</xdr:rowOff>
    </xdr:from>
    <xdr:to>
      <xdr:col>0</xdr:col>
      <xdr:colOff>731520</xdr:colOff>
      <xdr:row>138</xdr:row>
      <xdr:rowOff>155793</xdr:rowOff>
    </xdr:to>
    <xdr:pic>
      <xdr:nvPicPr>
        <xdr:cNvPr id="5" name="Picture 4">
          <a:extLst>
            <a:ext uri="{FF2B5EF4-FFF2-40B4-BE49-F238E27FC236}">
              <a16:creationId xmlns:a16="http://schemas.microsoft.com/office/drawing/2014/main" id="{6BC4836B-C729-4743-8EDF-DFBF38BAB61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25614966"/>
          <a:ext cx="617220" cy="692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absoluteAnchor>
    <xdr:pos x="14135100" y="0"/>
    <xdr:ext cx="7780020" cy="1486852"/>
    <xdr:pic>
      <xdr:nvPicPr>
        <xdr:cNvPr id="7" name="image1.png" title="Image">
          <a:extLst>
            <a:ext uri="{FF2B5EF4-FFF2-40B4-BE49-F238E27FC236}">
              <a16:creationId xmlns:a16="http://schemas.microsoft.com/office/drawing/2014/main" id="{65EBDC91-9073-420D-9E75-09CF2870DDAD}"/>
            </a:ext>
          </a:extLst>
        </xdr:cNvPr>
        <xdr:cNvPicPr preferRelativeResize="0"/>
      </xdr:nvPicPr>
      <xdr:blipFill>
        <a:blip xmlns:r="http://schemas.openxmlformats.org/officeDocument/2006/relationships" r:embed="rId2" cstate="print"/>
        <a:stretch>
          <a:fillRect/>
        </a:stretch>
      </xdr:blipFill>
      <xdr:spPr>
        <a:xfrm>
          <a:off x="14135100" y="0"/>
          <a:ext cx="7780020" cy="1486852"/>
        </a:xfrm>
        <a:prstGeom prst="rect">
          <a:avLst/>
        </a:prstGeom>
        <a:noFill/>
      </xdr:spPr>
    </xdr:pic>
    <xdr:clientData/>
  </xdr:absoluteAnchor>
  <xdr:absoluteAnchor>
    <xdr:pos x="21648420" y="0"/>
    <xdr:ext cx="7780020" cy="1486852"/>
    <xdr:pic>
      <xdr:nvPicPr>
        <xdr:cNvPr id="8" name="image1.png" title="Image">
          <a:extLst>
            <a:ext uri="{FF2B5EF4-FFF2-40B4-BE49-F238E27FC236}">
              <a16:creationId xmlns:a16="http://schemas.microsoft.com/office/drawing/2014/main" id="{3563FE90-4559-4C13-A701-DFF7E1D19F8A}"/>
            </a:ext>
          </a:extLst>
        </xdr:cNvPr>
        <xdr:cNvPicPr preferRelativeResize="0"/>
      </xdr:nvPicPr>
      <xdr:blipFill>
        <a:blip xmlns:r="http://schemas.openxmlformats.org/officeDocument/2006/relationships" r:embed="rId2" cstate="print"/>
        <a:stretch>
          <a:fillRect/>
        </a:stretch>
      </xdr:blipFill>
      <xdr:spPr>
        <a:xfrm>
          <a:off x="21648420" y="0"/>
          <a:ext cx="7780020" cy="1486852"/>
        </a:xfrm>
        <a:prstGeom prst="rect">
          <a:avLst/>
        </a:prstGeom>
        <a:noFill/>
      </xdr:spPr>
    </xdr:pic>
    <xdr:clientData/>
  </xdr:absoluteAnchor>
  <xdr:absoluteAnchor>
    <xdr:pos x="29161740" y="0"/>
    <xdr:ext cx="7780020" cy="1486852"/>
    <xdr:pic>
      <xdr:nvPicPr>
        <xdr:cNvPr id="9" name="image1.png" title="Image">
          <a:extLst>
            <a:ext uri="{FF2B5EF4-FFF2-40B4-BE49-F238E27FC236}">
              <a16:creationId xmlns:a16="http://schemas.microsoft.com/office/drawing/2014/main" id="{8989A1AB-B03E-442E-A0DF-0DF3EC18B62C}"/>
            </a:ext>
          </a:extLst>
        </xdr:cNvPr>
        <xdr:cNvPicPr preferRelativeResize="0"/>
      </xdr:nvPicPr>
      <xdr:blipFill>
        <a:blip xmlns:r="http://schemas.openxmlformats.org/officeDocument/2006/relationships" r:embed="rId2" cstate="print"/>
        <a:stretch>
          <a:fillRect/>
        </a:stretch>
      </xdr:blipFill>
      <xdr:spPr>
        <a:xfrm>
          <a:off x="29161740" y="0"/>
          <a:ext cx="7780020" cy="1486852"/>
        </a:xfrm>
        <a:prstGeom prst="rect">
          <a:avLst/>
        </a:prstGeom>
        <a:noFill/>
      </xdr:spPr>
    </xdr:pic>
    <xdr:clientData/>
  </xdr:absoluteAnchor>
  <xdr:absoluteAnchor>
    <xdr:pos x="34686240" y="0"/>
    <xdr:ext cx="7780020" cy="1486852"/>
    <xdr:pic>
      <xdr:nvPicPr>
        <xdr:cNvPr id="10" name="image1.png" title="Image">
          <a:extLst>
            <a:ext uri="{FF2B5EF4-FFF2-40B4-BE49-F238E27FC236}">
              <a16:creationId xmlns:a16="http://schemas.microsoft.com/office/drawing/2014/main" id="{1E5D6E40-7CB4-4A91-B3B2-A6732622321C}"/>
            </a:ext>
          </a:extLst>
        </xdr:cNvPr>
        <xdr:cNvPicPr preferRelativeResize="0"/>
      </xdr:nvPicPr>
      <xdr:blipFill>
        <a:blip xmlns:r="http://schemas.openxmlformats.org/officeDocument/2006/relationships" r:embed="rId2" cstate="print"/>
        <a:stretch>
          <a:fillRect/>
        </a:stretch>
      </xdr:blipFill>
      <xdr:spPr>
        <a:xfrm>
          <a:off x="34686240" y="0"/>
          <a:ext cx="7780020" cy="1486852"/>
        </a:xfrm>
        <a:prstGeom prst="rect">
          <a:avLst/>
        </a:prstGeom>
        <a:noFill/>
      </xdr:spPr>
    </xdr:pic>
    <xdr:clientData/>
  </xdr:absolute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
    <v>2</v>
    <v>5</v>
    <v>5</v>
  </rv>
</rvData>
</file>

<file path=xl/richData/rdrichvaluestructure.xml><?xml version="1.0" encoding="utf-8"?>
<rvStructures xmlns="http://schemas.microsoft.com/office/spreadsheetml/2017/richdata" count="1">
  <s t="_error">
    <k n="argument" t="s"/>
    <k n="errorType" t="i"/>
    <k n="ptg" t="i"/>
    <k n="subType" t="i"/>
  </s>
</rvStructur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yscap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3"/>
  <sheetViews>
    <sheetView tabSelected="1" zoomScale="70" zoomScaleNormal="70" workbookViewId="0">
      <selection activeCell="F19" sqref="F19"/>
    </sheetView>
  </sheetViews>
  <sheetFormatPr defaultColWidth="9.109375" defaultRowHeight="14.4" x14ac:dyDescent="0.3"/>
  <cols>
    <col min="1" max="1" width="45.6640625" style="4" customWidth="1"/>
    <col min="2" max="2" width="21.109375" style="4" customWidth="1"/>
    <col min="3" max="4" width="9.109375" style="4"/>
    <col min="5" max="5" width="54.77734375" style="4" customWidth="1"/>
    <col min="6" max="6" width="21.6640625" style="4" customWidth="1"/>
    <col min="7" max="7" width="9.109375" style="4"/>
    <col min="8" max="8" width="49.33203125" style="4" bestFit="1" customWidth="1"/>
    <col min="9" max="9" width="12.33203125" style="4" bestFit="1" customWidth="1"/>
    <col min="10" max="16" width="9.109375" style="4"/>
    <col min="17" max="17" width="7.21875" style="4" customWidth="1"/>
    <col min="18" max="16384" width="9.109375" style="4"/>
  </cols>
  <sheetData>
    <row r="1" spans="1:17" x14ac:dyDescent="0.3">
      <c r="A1" s="3"/>
      <c r="B1" s="3"/>
      <c r="C1" s="3"/>
      <c r="D1" s="3"/>
      <c r="E1" s="3"/>
      <c r="F1" s="3"/>
      <c r="G1" s="3"/>
      <c r="H1" s="3"/>
      <c r="I1" s="3"/>
      <c r="J1" s="3"/>
      <c r="K1" s="3"/>
      <c r="L1" s="3"/>
      <c r="M1" s="3"/>
      <c r="N1" s="3"/>
      <c r="O1" s="3"/>
      <c r="P1" s="3"/>
      <c r="Q1" s="3"/>
    </row>
    <row r="2" spans="1:17" x14ac:dyDescent="0.3">
      <c r="A2" s="3"/>
      <c r="B2" s="3"/>
      <c r="C2" s="3"/>
      <c r="D2" s="3"/>
      <c r="E2" s="3"/>
      <c r="F2" s="3"/>
      <c r="G2" s="3"/>
      <c r="H2" s="3"/>
      <c r="I2" s="3"/>
      <c r="J2" s="3"/>
      <c r="K2" s="3"/>
      <c r="L2" s="3"/>
      <c r="M2" s="3"/>
      <c r="N2" s="3"/>
      <c r="O2" s="3"/>
      <c r="P2" s="3"/>
      <c r="Q2" s="3"/>
    </row>
    <row r="3" spans="1:17" x14ac:dyDescent="0.3">
      <c r="A3" s="3"/>
      <c r="B3" s="3"/>
      <c r="C3" s="3"/>
      <c r="D3" s="3"/>
      <c r="E3" s="3"/>
      <c r="F3" s="3"/>
      <c r="G3" s="3"/>
      <c r="H3" s="3"/>
      <c r="I3" s="3"/>
      <c r="J3" s="3"/>
      <c r="K3" s="3"/>
      <c r="L3" s="3"/>
      <c r="M3" s="3"/>
      <c r="N3" s="3"/>
      <c r="O3" s="3"/>
      <c r="P3" s="3"/>
      <c r="Q3" s="3"/>
    </row>
    <row r="4" spans="1:17" x14ac:dyDescent="0.3">
      <c r="A4" s="3"/>
      <c r="B4" s="3"/>
      <c r="C4" s="3"/>
      <c r="D4" s="3"/>
      <c r="E4" s="3"/>
      <c r="F4" s="3"/>
      <c r="G4" s="3"/>
      <c r="H4" s="3"/>
      <c r="I4" s="3"/>
      <c r="J4" s="3"/>
      <c r="K4" s="3"/>
      <c r="L4" s="3"/>
      <c r="M4" s="3"/>
      <c r="N4" s="3"/>
      <c r="O4" s="3"/>
      <c r="P4" s="3"/>
      <c r="Q4" s="3"/>
    </row>
    <row r="5" spans="1:17" x14ac:dyDescent="0.3">
      <c r="A5" s="3"/>
      <c r="B5" s="3"/>
      <c r="C5" s="3"/>
      <c r="D5" s="3"/>
      <c r="E5" s="3"/>
      <c r="F5" s="3"/>
      <c r="G5" s="3"/>
      <c r="H5" s="3"/>
      <c r="I5" s="3"/>
      <c r="J5" s="3"/>
      <c r="K5" s="3"/>
      <c r="L5" s="3"/>
      <c r="M5" s="3"/>
      <c r="N5" s="3"/>
      <c r="O5" s="3"/>
      <c r="P5" s="3"/>
      <c r="Q5" s="3"/>
    </row>
    <row r="6" spans="1:17" x14ac:dyDescent="0.3">
      <c r="A6" s="3"/>
      <c r="B6" s="3"/>
      <c r="C6" s="3"/>
      <c r="D6" s="3"/>
      <c r="E6" s="3"/>
      <c r="F6" s="3"/>
      <c r="G6" s="3"/>
      <c r="H6" s="3"/>
      <c r="I6" s="3"/>
      <c r="J6" s="3"/>
      <c r="K6" s="3"/>
      <c r="L6" s="3"/>
      <c r="M6" s="3"/>
      <c r="N6" s="3"/>
      <c r="O6" s="3"/>
      <c r="P6" s="3"/>
      <c r="Q6" s="3"/>
    </row>
    <row r="7" spans="1:17" x14ac:dyDescent="0.3">
      <c r="A7" s="3"/>
      <c r="B7" s="3"/>
      <c r="C7" s="3"/>
      <c r="D7" s="3"/>
      <c r="E7" s="3"/>
      <c r="F7" s="3"/>
      <c r="G7" s="3"/>
      <c r="H7" s="3"/>
      <c r="I7" s="3"/>
      <c r="J7" s="3"/>
      <c r="K7" s="3"/>
      <c r="L7" s="3"/>
      <c r="M7" s="3"/>
      <c r="N7" s="3"/>
      <c r="O7" s="3"/>
      <c r="P7" s="3"/>
      <c r="Q7" s="3"/>
    </row>
    <row r="8" spans="1:17" x14ac:dyDescent="0.3">
      <c r="A8" s="3"/>
      <c r="B8" s="3"/>
      <c r="C8" s="3"/>
      <c r="D8" s="3"/>
      <c r="E8" s="3"/>
      <c r="F8" s="3"/>
      <c r="G8" s="3"/>
      <c r="H8" s="3"/>
      <c r="I8" s="3"/>
      <c r="J8" s="3"/>
      <c r="K8" s="3"/>
      <c r="L8" s="3"/>
      <c r="M8" s="3"/>
      <c r="N8" s="3"/>
      <c r="O8" s="3"/>
      <c r="P8" s="3"/>
      <c r="Q8" s="3"/>
    </row>
    <row r="9" spans="1:17" x14ac:dyDescent="0.3">
      <c r="A9" s="3"/>
      <c r="B9" s="3"/>
      <c r="C9" s="3"/>
      <c r="D9" s="3"/>
      <c r="E9" s="3"/>
      <c r="F9" s="3"/>
      <c r="G9" s="3"/>
      <c r="H9" s="3"/>
      <c r="I9" s="3"/>
      <c r="J9" s="3"/>
      <c r="K9" s="3"/>
      <c r="L9" s="3"/>
      <c r="M9" s="3"/>
      <c r="N9" s="3"/>
      <c r="O9" s="3"/>
      <c r="P9" s="3"/>
      <c r="Q9" s="3"/>
    </row>
    <row r="10" spans="1:17" x14ac:dyDescent="0.3">
      <c r="A10" s="3"/>
      <c r="B10" s="3"/>
      <c r="C10" s="3"/>
      <c r="D10" s="3"/>
      <c r="E10" s="3"/>
      <c r="F10" s="3"/>
      <c r="G10" s="3"/>
      <c r="H10" s="3"/>
      <c r="I10" s="3"/>
      <c r="J10" s="3"/>
      <c r="K10" s="3"/>
      <c r="L10" s="3"/>
      <c r="M10" s="3"/>
      <c r="N10" s="3"/>
      <c r="O10" s="3"/>
      <c r="P10" s="3"/>
      <c r="Q10" s="3"/>
    </row>
    <row r="11" spans="1:17" x14ac:dyDescent="0.3">
      <c r="A11" s="3"/>
      <c r="B11" s="3"/>
      <c r="C11" s="3"/>
      <c r="D11" s="3"/>
      <c r="E11" s="3"/>
      <c r="F11" s="3"/>
      <c r="G11" s="3"/>
      <c r="H11" s="3"/>
      <c r="I11" s="3"/>
      <c r="J11" s="3"/>
      <c r="K11" s="3"/>
      <c r="L11" s="3"/>
      <c r="M11" s="3"/>
      <c r="N11" s="3"/>
      <c r="O11" s="3"/>
      <c r="P11" s="3"/>
      <c r="Q11" s="3"/>
    </row>
    <row r="12" spans="1:17" x14ac:dyDescent="0.3">
      <c r="A12" s="3"/>
      <c r="B12" s="3"/>
      <c r="C12" s="3"/>
      <c r="D12" s="3"/>
      <c r="E12" s="3"/>
      <c r="F12" s="3"/>
      <c r="G12" s="3"/>
      <c r="H12" s="3"/>
      <c r="I12" s="3"/>
      <c r="J12" s="3"/>
      <c r="K12" s="3"/>
      <c r="L12" s="3"/>
      <c r="M12" s="3"/>
      <c r="N12" s="3"/>
      <c r="O12" s="3"/>
      <c r="P12" s="3"/>
      <c r="Q12" s="3"/>
    </row>
    <row r="13" spans="1:17" ht="15.6" x14ac:dyDescent="0.3">
      <c r="A13" s="5" t="s">
        <v>66</v>
      </c>
      <c r="B13" s="7"/>
      <c r="C13" s="7"/>
      <c r="D13" s="3"/>
      <c r="E13" s="3"/>
      <c r="F13" s="3"/>
      <c r="G13" s="3"/>
      <c r="H13" s="3"/>
      <c r="I13" s="3"/>
      <c r="J13" s="3"/>
      <c r="K13" s="3"/>
      <c r="L13" s="3"/>
      <c r="M13" s="3"/>
      <c r="N13" s="3"/>
      <c r="O13" s="3"/>
      <c r="P13" s="3"/>
      <c r="Q13" s="3"/>
    </row>
    <row r="14" spans="1:17" ht="18.600000000000001" thickBot="1" x14ac:dyDescent="0.4">
      <c r="A14" s="8"/>
      <c r="B14" s="7"/>
      <c r="C14" s="7"/>
      <c r="D14" s="3"/>
      <c r="E14" s="3"/>
      <c r="F14" s="3"/>
      <c r="G14" s="3"/>
      <c r="H14" s="3"/>
      <c r="I14" s="3"/>
      <c r="J14" s="3"/>
      <c r="K14" s="3"/>
      <c r="L14" s="3"/>
      <c r="M14" s="3"/>
      <c r="N14" s="3"/>
      <c r="O14" s="3"/>
      <c r="P14" s="3"/>
      <c r="Q14" s="3"/>
    </row>
    <row r="15" spans="1:17" ht="24.6" thickBot="1" x14ac:dyDescent="0.55000000000000004">
      <c r="A15" s="1" t="s">
        <v>67</v>
      </c>
      <c r="B15" s="2"/>
      <c r="C15" s="2"/>
      <c r="D15" s="37"/>
      <c r="E15" s="37"/>
      <c r="F15" s="38"/>
      <c r="G15" s="37"/>
      <c r="H15" s="37"/>
      <c r="I15" s="37"/>
      <c r="J15" s="37"/>
      <c r="K15" s="39"/>
      <c r="L15" s="3"/>
      <c r="M15" s="3"/>
      <c r="N15" s="3"/>
      <c r="O15" s="3"/>
      <c r="P15" s="3"/>
      <c r="Q15" s="3"/>
    </row>
    <row r="16" spans="1:17" x14ac:dyDescent="0.3">
      <c r="A16" s="3"/>
      <c r="B16" s="3"/>
      <c r="C16" s="3"/>
      <c r="D16" s="3"/>
      <c r="E16" s="3"/>
      <c r="F16" s="3"/>
      <c r="G16" s="3"/>
      <c r="H16" s="3"/>
      <c r="I16" s="3"/>
      <c r="J16" s="3"/>
      <c r="K16" s="3"/>
      <c r="L16" s="3"/>
      <c r="M16" s="3"/>
      <c r="N16" s="3"/>
      <c r="O16" s="3"/>
      <c r="P16" s="3"/>
      <c r="Q16" s="3"/>
    </row>
    <row r="17" spans="1:17" x14ac:dyDescent="0.3">
      <c r="A17" s="3"/>
      <c r="B17" s="3"/>
      <c r="C17" s="3"/>
      <c r="D17" s="3"/>
      <c r="E17" s="3"/>
      <c r="F17" s="3"/>
      <c r="G17" s="3"/>
      <c r="H17" s="3"/>
      <c r="I17" s="3"/>
      <c r="J17" s="3"/>
      <c r="K17" s="3"/>
      <c r="L17" s="3"/>
      <c r="M17" s="3"/>
      <c r="N17" s="3"/>
      <c r="O17" s="3"/>
      <c r="P17" s="3"/>
      <c r="Q17" s="3"/>
    </row>
    <row r="18" spans="1:17" ht="15.75" customHeight="1" x14ac:dyDescent="0.3">
      <c r="A18" s="9" t="s">
        <v>0</v>
      </c>
      <c r="B18" s="10" t="s">
        <v>1</v>
      </c>
      <c r="C18" s="7"/>
      <c r="D18" s="7"/>
      <c r="E18" s="69" t="s">
        <v>41</v>
      </c>
      <c r="F18" s="70"/>
      <c r="G18" s="7"/>
      <c r="H18" s="7"/>
      <c r="I18" s="7"/>
      <c r="J18" s="7"/>
      <c r="K18" s="7"/>
      <c r="L18" s="7"/>
      <c r="M18" s="7"/>
      <c r="N18" s="7"/>
      <c r="O18" s="7"/>
      <c r="P18" s="7"/>
      <c r="Q18" s="7"/>
    </row>
    <row r="19" spans="1:17" x14ac:dyDescent="0.3">
      <c r="A19" s="71" t="s">
        <v>2</v>
      </c>
      <c r="B19" s="66"/>
      <c r="C19" s="7"/>
      <c r="D19" s="7"/>
      <c r="E19" s="11" t="s">
        <v>42</v>
      </c>
      <c r="F19" s="12"/>
      <c r="G19" s="7"/>
      <c r="H19" s="7"/>
      <c r="I19" s="7"/>
      <c r="J19" s="7"/>
      <c r="K19" s="7"/>
      <c r="L19" s="7"/>
      <c r="M19" s="7"/>
      <c r="N19" s="7"/>
      <c r="O19" s="7"/>
      <c r="P19" s="7"/>
      <c r="Q19" s="7"/>
    </row>
    <row r="20" spans="1:17" x14ac:dyDescent="0.3">
      <c r="A20" s="13" t="s">
        <v>3</v>
      </c>
      <c r="B20" s="12"/>
      <c r="C20" s="7"/>
      <c r="D20" s="7"/>
      <c r="E20" s="14" t="s">
        <v>43</v>
      </c>
      <c r="F20" s="15"/>
      <c r="G20" s="7"/>
      <c r="H20" s="7"/>
      <c r="I20" s="7"/>
      <c r="J20" s="7"/>
      <c r="K20" s="7"/>
      <c r="L20" s="7"/>
      <c r="M20" s="7"/>
      <c r="N20" s="7"/>
      <c r="O20" s="7"/>
      <c r="P20" s="7"/>
      <c r="Q20" s="7"/>
    </row>
    <row r="21" spans="1:17" x14ac:dyDescent="0.3">
      <c r="A21" s="16" t="s">
        <v>4</v>
      </c>
      <c r="B21" s="15"/>
      <c r="C21" s="7"/>
      <c r="D21" s="7"/>
      <c r="E21" s="14" t="s">
        <v>44</v>
      </c>
      <c r="F21" s="30">
        <f>SUM(B73:B73)</f>
        <v>0</v>
      </c>
      <c r="G21" s="7"/>
      <c r="H21" s="7"/>
      <c r="I21" s="7"/>
      <c r="J21" s="7"/>
      <c r="K21" s="7"/>
      <c r="L21" s="7"/>
      <c r="M21" s="7"/>
      <c r="N21" s="7"/>
      <c r="O21" s="7"/>
      <c r="P21" s="7"/>
      <c r="Q21" s="7"/>
    </row>
    <row r="22" spans="1:17" x14ac:dyDescent="0.3">
      <c r="A22" s="16" t="s">
        <v>6</v>
      </c>
      <c r="B22" s="15"/>
      <c r="C22" s="7"/>
      <c r="D22" s="7"/>
      <c r="E22" s="14" t="s">
        <v>45</v>
      </c>
      <c r="F22" s="15"/>
      <c r="G22" s="7"/>
      <c r="H22" s="7"/>
      <c r="I22" s="7"/>
      <c r="J22" s="7"/>
      <c r="K22" s="7"/>
      <c r="L22" s="7"/>
      <c r="M22" s="7"/>
      <c r="N22" s="7"/>
      <c r="O22" s="7"/>
      <c r="P22" s="7"/>
      <c r="Q22" s="7"/>
    </row>
    <row r="23" spans="1:17" x14ac:dyDescent="0.3">
      <c r="A23" s="16" t="s">
        <v>7</v>
      </c>
      <c r="B23" s="15"/>
      <c r="C23" s="7"/>
      <c r="D23" s="7"/>
      <c r="E23" s="14" t="s">
        <v>46</v>
      </c>
      <c r="F23" s="15"/>
      <c r="G23" s="7"/>
      <c r="H23" s="7"/>
      <c r="I23" s="7"/>
      <c r="J23" s="7"/>
      <c r="K23" s="7"/>
      <c r="L23" s="7"/>
      <c r="M23" s="7"/>
      <c r="N23" s="7"/>
      <c r="O23" s="7"/>
      <c r="P23" s="7"/>
      <c r="Q23" s="7"/>
    </row>
    <row r="24" spans="1:17" x14ac:dyDescent="0.3">
      <c r="A24" s="16" t="s">
        <v>8</v>
      </c>
      <c r="B24" s="15"/>
      <c r="C24" s="7"/>
      <c r="D24" s="7"/>
      <c r="E24" s="14" t="s">
        <v>47</v>
      </c>
      <c r="F24" s="15"/>
      <c r="G24" s="7"/>
      <c r="H24" s="7"/>
      <c r="I24" s="7"/>
      <c r="J24" s="7"/>
      <c r="K24" s="7"/>
      <c r="L24" s="7"/>
      <c r="M24" s="7"/>
      <c r="N24" s="7"/>
      <c r="O24" s="7"/>
      <c r="P24" s="7"/>
      <c r="Q24" s="7"/>
    </row>
    <row r="25" spans="1:17" x14ac:dyDescent="0.3">
      <c r="A25" s="16" t="s">
        <v>10</v>
      </c>
      <c r="B25" s="15"/>
      <c r="C25" s="7"/>
      <c r="D25" s="7"/>
      <c r="E25" s="14" t="s">
        <v>48</v>
      </c>
      <c r="F25" s="15"/>
      <c r="G25" s="7"/>
      <c r="H25" s="7"/>
      <c r="I25" s="7"/>
      <c r="J25" s="7"/>
      <c r="K25" s="7"/>
      <c r="L25" s="7"/>
      <c r="M25" s="7"/>
      <c r="N25" s="7"/>
      <c r="O25" s="7"/>
      <c r="P25" s="7"/>
      <c r="Q25" s="7"/>
    </row>
    <row r="26" spans="1:17" ht="15.75" customHeight="1" x14ac:dyDescent="0.3">
      <c r="A26" s="17" t="s">
        <v>12</v>
      </c>
      <c r="B26" s="18">
        <f>SUM(B20:B25)</f>
        <v>0</v>
      </c>
      <c r="C26" s="7"/>
      <c r="D26" s="7"/>
      <c r="E26" s="14" t="s">
        <v>49</v>
      </c>
      <c r="F26" s="15"/>
      <c r="G26" s="7"/>
      <c r="H26" s="7"/>
      <c r="I26" s="7"/>
      <c r="J26" s="7"/>
      <c r="K26" s="7"/>
      <c r="L26" s="7"/>
      <c r="M26" s="7"/>
      <c r="N26" s="7"/>
      <c r="O26" s="7"/>
      <c r="P26" s="7"/>
      <c r="Q26" s="7"/>
    </row>
    <row r="27" spans="1:17" ht="15.75" customHeight="1" x14ac:dyDescent="0.3">
      <c r="A27" s="7"/>
      <c r="B27" s="7"/>
      <c r="C27" s="7"/>
      <c r="D27" s="7"/>
      <c r="E27" s="19" t="s">
        <v>50</v>
      </c>
      <c r="F27" s="20">
        <f>SUM(F19:F26)</f>
        <v>0</v>
      </c>
      <c r="G27" s="7"/>
      <c r="H27" s="7"/>
      <c r="I27" s="7"/>
      <c r="J27" s="7"/>
      <c r="K27" s="7"/>
      <c r="L27" s="7"/>
      <c r="M27" s="7"/>
      <c r="N27" s="7"/>
      <c r="O27" s="7"/>
      <c r="P27" s="7"/>
      <c r="Q27" s="7"/>
    </row>
    <row r="28" spans="1:17" ht="15.75" customHeight="1" x14ac:dyDescent="0.3">
      <c r="A28" s="69" t="s">
        <v>13</v>
      </c>
      <c r="B28" s="70"/>
      <c r="C28" s="7"/>
      <c r="D28" s="7"/>
      <c r="E28" s="7"/>
      <c r="F28" s="7"/>
      <c r="G28" s="7"/>
      <c r="H28" s="7"/>
      <c r="I28" s="7"/>
      <c r="J28" s="7"/>
      <c r="K28" s="7"/>
      <c r="L28" s="7"/>
      <c r="M28" s="7"/>
      <c r="N28" s="7"/>
      <c r="O28" s="7"/>
      <c r="P28" s="7"/>
      <c r="Q28" s="7"/>
    </row>
    <row r="29" spans="1:17" ht="15.75" customHeight="1" x14ac:dyDescent="0.3">
      <c r="A29" s="13" t="s">
        <v>14</v>
      </c>
      <c r="B29" s="12"/>
      <c r="C29" s="7"/>
      <c r="D29" s="7"/>
      <c r="E29" s="67" t="s">
        <v>35</v>
      </c>
      <c r="F29" s="68"/>
      <c r="G29" s="7"/>
      <c r="H29" s="7"/>
      <c r="I29" s="7"/>
      <c r="J29" s="7"/>
      <c r="K29" s="7"/>
      <c r="L29" s="7"/>
      <c r="M29" s="7"/>
      <c r="N29" s="7"/>
      <c r="O29" s="7"/>
      <c r="P29" s="7"/>
      <c r="Q29" s="7"/>
    </row>
    <row r="30" spans="1:17" ht="15.75" customHeight="1" x14ac:dyDescent="0.3">
      <c r="A30" s="16" t="s">
        <v>15</v>
      </c>
      <c r="B30" s="15"/>
      <c r="C30" s="7"/>
      <c r="D30" s="7"/>
      <c r="E30" s="13" t="s">
        <v>54</v>
      </c>
      <c r="F30" s="21"/>
      <c r="G30" s="7"/>
      <c r="H30" s="7"/>
      <c r="I30" s="7"/>
      <c r="J30" s="7"/>
      <c r="K30" s="7"/>
      <c r="L30" s="7"/>
      <c r="M30" s="7"/>
      <c r="N30" s="7"/>
      <c r="O30" s="7"/>
      <c r="P30" s="7"/>
      <c r="Q30" s="7"/>
    </row>
    <row r="31" spans="1:17" ht="15.75" customHeight="1" x14ac:dyDescent="0.3">
      <c r="A31" s="16" t="s">
        <v>16</v>
      </c>
      <c r="B31" s="15"/>
      <c r="C31" s="7"/>
      <c r="D31" s="7"/>
      <c r="E31" s="16" t="s">
        <v>36</v>
      </c>
      <c r="F31" s="15"/>
      <c r="G31" s="7"/>
      <c r="H31" s="7"/>
      <c r="I31" s="7"/>
      <c r="J31" s="7"/>
      <c r="K31" s="7"/>
      <c r="L31" s="7"/>
      <c r="M31" s="7"/>
      <c r="N31" s="7"/>
      <c r="O31" s="7"/>
      <c r="P31" s="7"/>
      <c r="Q31" s="7"/>
    </row>
    <row r="32" spans="1:17" ht="15.75" customHeight="1" x14ac:dyDescent="0.3">
      <c r="A32" s="16" t="s">
        <v>17</v>
      </c>
      <c r="B32" s="15"/>
      <c r="C32" s="7"/>
      <c r="D32" s="7"/>
      <c r="E32" s="16" t="s">
        <v>37</v>
      </c>
      <c r="F32" s="15"/>
      <c r="G32" s="7"/>
      <c r="H32" s="7"/>
      <c r="I32" s="7"/>
      <c r="J32" s="7"/>
      <c r="K32" s="7"/>
      <c r="L32" s="7"/>
      <c r="M32" s="7"/>
      <c r="N32" s="7"/>
      <c r="O32" s="7"/>
      <c r="P32" s="7"/>
      <c r="Q32" s="7"/>
    </row>
    <row r="33" spans="1:17" ht="15.75" customHeight="1" x14ac:dyDescent="0.3">
      <c r="A33" s="16" t="s">
        <v>18</v>
      </c>
      <c r="B33" s="15"/>
      <c r="C33" s="7"/>
      <c r="D33" s="7"/>
      <c r="E33" s="16" t="s">
        <v>38</v>
      </c>
      <c r="F33" s="15"/>
      <c r="G33" s="7"/>
      <c r="H33" s="7"/>
      <c r="I33" s="7"/>
      <c r="J33" s="7"/>
      <c r="K33" s="7"/>
      <c r="L33" s="7"/>
      <c r="M33" s="7"/>
      <c r="N33" s="7"/>
      <c r="O33" s="7"/>
      <c r="P33" s="7"/>
      <c r="Q33" s="7"/>
    </row>
    <row r="34" spans="1:17" ht="15.75" customHeight="1" x14ac:dyDescent="0.3">
      <c r="A34" s="16" t="s">
        <v>19</v>
      </c>
      <c r="B34" s="15"/>
      <c r="C34" s="7"/>
      <c r="D34" s="7"/>
      <c r="E34" s="16" t="s">
        <v>39</v>
      </c>
      <c r="F34" s="15"/>
      <c r="G34" s="7"/>
      <c r="H34" s="7"/>
      <c r="I34" s="7"/>
      <c r="J34" s="7"/>
      <c r="K34" s="7"/>
      <c r="L34" s="7"/>
      <c r="M34" s="7"/>
      <c r="N34" s="7"/>
      <c r="O34" s="7"/>
      <c r="P34" s="7"/>
      <c r="Q34" s="7"/>
    </row>
    <row r="35" spans="1:17" ht="15.75" customHeight="1" x14ac:dyDescent="0.3">
      <c r="A35" s="16" t="s">
        <v>20</v>
      </c>
      <c r="B35" s="15"/>
      <c r="C35" s="7"/>
      <c r="D35" s="7"/>
      <c r="E35" s="17" t="s">
        <v>40</v>
      </c>
      <c r="F35" s="18">
        <f>SUM(F39*F30,F31:F34)</f>
        <v>0</v>
      </c>
      <c r="G35" s="7"/>
      <c r="H35" s="7"/>
      <c r="I35" s="7"/>
      <c r="J35" s="7"/>
      <c r="K35" s="7"/>
      <c r="L35" s="7"/>
      <c r="M35" s="7"/>
      <c r="N35" s="7"/>
      <c r="O35" s="7"/>
      <c r="P35" s="7"/>
      <c r="Q35" s="7"/>
    </row>
    <row r="36" spans="1:17" x14ac:dyDescent="0.3">
      <c r="A36" s="16" t="s">
        <v>21</v>
      </c>
      <c r="B36" s="15"/>
      <c r="C36" s="7"/>
      <c r="D36" s="7"/>
      <c r="E36" s="7"/>
      <c r="F36" s="7"/>
      <c r="G36" s="7"/>
      <c r="H36" s="7"/>
      <c r="I36" s="7"/>
      <c r="J36" s="7"/>
      <c r="K36" s="7"/>
      <c r="L36" s="7"/>
      <c r="M36" s="7"/>
      <c r="N36" s="7"/>
      <c r="O36" s="7"/>
      <c r="P36" s="7"/>
      <c r="Q36" s="7"/>
    </row>
    <row r="37" spans="1:17" x14ac:dyDescent="0.3">
      <c r="A37" s="16" t="s">
        <v>51</v>
      </c>
      <c r="B37" s="22"/>
      <c r="C37" s="7"/>
      <c r="D37" s="7"/>
      <c r="E37" s="69" t="s">
        <v>65</v>
      </c>
      <c r="F37" s="70"/>
      <c r="G37" s="7"/>
      <c r="H37" s="7"/>
      <c r="I37" s="7"/>
      <c r="J37" s="7"/>
      <c r="K37" s="7"/>
      <c r="L37" s="7"/>
      <c r="M37" s="7"/>
      <c r="N37" s="7"/>
      <c r="O37" s="7"/>
      <c r="P37" s="7"/>
      <c r="Q37" s="7"/>
    </row>
    <row r="38" spans="1:17" x14ac:dyDescent="0.3">
      <c r="A38" s="16" t="s">
        <v>22</v>
      </c>
      <c r="B38" s="15"/>
      <c r="C38" s="7"/>
      <c r="D38" s="7"/>
      <c r="E38" s="16" t="s">
        <v>53</v>
      </c>
      <c r="F38" s="23"/>
      <c r="G38" s="7"/>
      <c r="H38" s="7"/>
      <c r="I38" s="7"/>
      <c r="J38" s="7"/>
      <c r="K38" s="7"/>
      <c r="L38" s="7"/>
      <c r="M38" s="7"/>
      <c r="N38" s="7"/>
      <c r="O38" s="7"/>
      <c r="P38" s="7"/>
      <c r="Q38" s="7"/>
    </row>
    <row r="39" spans="1:17" ht="15.75" customHeight="1" x14ac:dyDescent="0.3">
      <c r="A39" s="17" t="s">
        <v>23</v>
      </c>
      <c r="B39" s="24">
        <f>IF(B38="",SUM(B29:B37),B38)</f>
        <v>0</v>
      </c>
      <c r="C39" s="7"/>
      <c r="D39" s="7"/>
      <c r="E39" s="13" t="s">
        <v>5</v>
      </c>
      <c r="F39" s="12"/>
      <c r="G39" s="7"/>
      <c r="H39" s="7"/>
      <c r="I39" s="7"/>
      <c r="J39" s="7"/>
      <c r="K39" s="7"/>
      <c r="L39" s="7"/>
      <c r="M39" s="7"/>
      <c r="N39" s="7"/>
      <c r="O39" s="7"/>
      <c r="P39" s="7"/>
      <c r="Q39" s="7"/>
    </row>
    <row r="40" spans="1:17" ht="15.75" customHeight="1" x14ac:dyDescent="0.3">
      <c r="A40" s="7"/>
      <c r="B40" s="7"/>
      <c r="C40" s="7"/>
      <c r="D40" s="7"/>
      <c r="E40" s="16" t="s">
        <v>126</v>
      </c>
      <c r="F40" s="25">
        <f>F41-B42</f>
        <v>0</v>
      </c>
      <c r="G40" s="7"/>
      <c r="H40" s="7"/>
      <c r="I40" s="7"/>
      <c r="J40" s="7"/>
      <c r="K40" s="7"/>
      <c r="L40" s="7"/>
      <c r="M40" s="7"/>
      <c r="N40" s="7"/>
      <c r="O40" s="7"/>
      <c r="P40" s="7"/>
      <c r="Q40" s="7"/>
    </row>
    <row r="41" spans="1:17" ht="15.75" customHeight="1" x14ac:dyDescent="0.3">
      <c r="A41" s="65" t="s">
        <v>52</v>
      </c>
      <c r="B41" s="66"/>
      <c r="C41" s="16"/>
      <c r="D41" s="7"/>
      <c r="E41" s="16" t="s">
        <v>56</v>
      </c>
      <c r="F41" s="25">
        <f>B26+B39+B52+F27</f>
        <v>0</v>
      </c>
      <c r="G41" s="7"/>
      <c r="H41" s="7"/>
      <c r="I41" s="7"/>
      <c r="J41" s="7"/>
      <c r="K41" s="7"/>
      <c r="L41" s="7"/>
      <c r="M41" s="7"/>
      <c r="N41" s="7"/>
      <c r="O41" s="7"/>
      <c r="P41" s="7"/>
      <c r="Q41" s="7"/>
    </row>
    <row r="42" spans="1:17" x14ac:dyDescent="0.3">
      <c r="A42" s="13" t="s">
        <v>24</v>
      </c>
      <c r="B42" s="26"/>
      <c r="C42" s="7"/>
      <c r="D42" s="7"/>
      <c r="E42" s="16" t="s">
        <v>57</v>
      </c>
      <c r="F42" s="25">
        <f>F39-F35</f>
        <v>0</v>
      </c>
      <c r="G42" s="7"/>
      <c r="H42" s="7"/>
      <c r="I42" s="7"/>
      <c r="J42" s="7"/>
      <c r="K42" s="7"/>
      <c r="L42" s="7"/>
      <c r="M42" s="7"/>
      <c r="N42" s="7"/>
      <c r="O42" s="7"/>
      <c r="P42" s="7"/>
      <c r="Q42" s="7"/>
    </row>
    <row r="43" spans="1:17" x14ac:dyDescent="0.3">
      <c r="A43" s="16" t="s">
        <v>25</v>
      </c>
      <c r="B43" s="27"/>
      <c r="C43" s="7"/>
      <c r="D43" s="7"/>
      <c r="E43" s="17" t="s">
        <v>58</v>
      </c>
      <c r="F43" s="28">
        <f>F42-F41</f>
        <v>0</v>
      </c>
      <c r="G43" s="7"/>
      <c r="H43" s="7"/>
      <c r="I43" s="7"/>
      <c r="J43" s="7"/>
      <c r="K43" s="7"/>
      <c r="L43" s="7"/>
      <c r="M43" s="7"/>
      <c r="N43" s="7"/>
      <c r="O43" s="7"/>
      <c r="P43" s="7"/>
      <c r="Q43" s="7"/>
    </row>
    <row r="44" spans="1:17" x14ac:dyDescent="0.3">
      <c r="A44" s="16" t="s">
        <v>26</v>
      </c>
      <c r="B44" s="29"/>
      <c r="C44" s="7"/>
      <c r="D44" s="7"/>
      <c r="E44" s="3"/>
      <c r="F44" s="3"/>
      <c r="G44" s="7"/>
      <c r="H44" s="7"/>
      <c r="I44" s="7"/>
      <c r="J44" s="7"/>
      <c r="K44" s="7"/>
      <c r="L44" s="7"/>
      <c r="M44" s="7"/>
      <c r="N44" s="7"/>
      <c r="O44" s="7"/>
      <c r="P44" s="7"/>
      <c r="Q44" s="7"/>
    </row>
    <row r="45" spans="1:17" x14ac:dyDescent="0.3">
      <c r="A45" s="16" t="s">
        <v>27</v>
      </c>
      <c r="B45" s="30" t="str">
        <f>IF(AND(ISNUMBER(B43),ISNUMBER(B44)),(B43/100/12)*B42,"")</f>
        <v/>
      </c>
      <c r="C45" s="7"/>
      <c r="D45" s="7"/>
      <c r="E45" s="13" t="s">
        <v>9</v>
      </c>
      <c r="F45" s="40">
        <f>IF(F41=0,0,F43/F41)</f>
        <v>0</v>
      </c>
      <c r="G45" s="7"/>
      <c r="H45" s="7"/>
      <c r="I45" s="7"/>
      <c r="J45" s="7"/>
      <c r="K45" s="7"/>
      <c r="L45" s="7"/>
      <c r="M45" s="7"/>
      <c r="N45" s="7"/>
      <c r="O45" s="7"/>
      <c r="P45" s="7"/>
      <c r="Q45" s="7"/>
    </row>
    <row r="46" spans="1:17" x14ac:dyDescent="0.3">
      <c r="A46" s="16" t="s">
        <v>28</v>
      </c>
      <c r="B46" s="30" t="e" vm="1">
        <f>B45*B44</f>
        <v>#VALUE!</v>
      </c>
      <c r="C46" s="7"/>
      <c r="D46" s="7"/>
      <c r="E46" s="16" t="s">
        <v>11</v>
      </c>
      <c r="F46" s="41">
        <f>F45/12*B44</f>
        <v>0</v>
      </c>
      <c r="G46" s="7"/>
      <c r="H46" s="7"/>
      <c r="I46" s="7"/>
      <c r="J46" s="7"/>
      <c r="K46" s="7"/>
      <c r="L46" s="7"/>
      <c r="M46" s="7"/>
      <c r="N46" s="7"/>
      <c r="O46" s="7"/>
      <c r="P46" s="7"/>
      <c r="Q46" s="7"/>
    </row>
    <row r="47" spans="1:17" x14ac:dyDescent="0.3">
      <c r="A47" s="16" t="s">
        <v>29</v>
      </c>
      <c r="B47" s="15"/>
      <c r="C47" s="7"/>
      <c r="D47" s="7"/>
      <c r="E47" s="16" t="s">
        <v>60</v>
      </c>
      <c r="F47" s="41">
        <f>IF(F40=0,0,F43/F40)</f>
        <v>0</v>
      </c>
      <c r="G47" s="7"/>
      <c r="H47" s="7"/>
      <c r="I47" s="7"/>
      <c r="J47" s="7"/>
      <c r="K47" s="7"/>
      <c r="L47" s="7"/>
      <c r="M47" s="7"/>
      <c r="N47" s="7"/>
      <c r="O47" s="7"/>
      <c r="P47" s="7"/>
      <c r="Q47" s="7"/>
    </row>
    <row r="48" spans="1:17" x14ac:dyDescent="0.3">
      <c r="A48" s="16" t="s">
        <v>30</v>
      </c>
      <c r="B48" s="15"/>
      <c r="C48" s="7"/>
      <c r="D48" s="7"/>
      <c r="E48" s="17" t="s">
        <v>59</v>
      </c>
      <c r="F48" s="42">
        <f>F47/12*B44</f>
        <v>0</v>
      </c>
      <c r="G48" s="7"/>
      <c r="H48" s="7"/>
      <c r="I48" s="7"/>
      <c r="J48" s="7"/>
      <c r="K48" s="7"/>
      <c r="L48" s="7"/>
      <c r="M48" s="7"/>
      <c r="N48" s="7"/>
      <c r="O48" s="7"/>
      <c r="P48" s="7"/>
      <c r="Q48" s="7"/>
    </row>
    <row r="49" spans="1:17" x14ac:dyDescent="0.3">
      <c r="A49" s="16" t="s">
        <v>31</v>
      </c>
      <c r="B49" s="15"/>
      <c r="C49" s="7"/>
      <c r="D49" s="7"/>
      <c r="E49" s="3"/>
      <c r="F49" s="3"/>
      <c r="G49" s="7"/>
      <c r="H49" s="7"/>
      <c r="I49" s="7"/>
      <c r="J49" s="7"/>
      <c r="K49" s="7"/>
      <c r="L49" s="7"/>
      <c r="M49" s="7"/>
      <c r="N49" s="7"/>
      <c r="O49" s="7"/>
      <c r="P49" s="7"/>
      <c r="Q49" s="7"/>
    </row>
    <row r="50" spans="1:17" x14ac:dyDescent="0.3">
      <c r="A50" s="16" t="s">
        <v>32</v>
      </c>
      <c r="B50" s="15"/>
      <c r="C50" s="7"/>
      <c r="D50" s="7"/>
      <c r="E50" s="13" t="s">
        <v>61</v>
      </c>
      <c r="F50" s="43" t="e">
        <f>B42/(B20+B39)</f>
        <v>#DIV/0!</v>
      </c>
      <c r="G50" s="7"/>
      <c r="H50" s="7"/>
      <c r="I50" s="7"/>
      <c r="J50" s="7"/>
      <c r="K50" s="7"/>
      <c r="L50" s="7"/>
      <c r="M50" s="7"/>
      <c r="N50" s="7"/>
      <c r="O50" s="7"/>
      <c r="P50" s="7"/>
      <c r="Q50" s="7"/>
    </row>
    <row r="51" spans="1:17" x14ac:dyDescent="0.3">
      <c r="A51" s="16" t="s">
        <v>33</v>
      </c>
      <c r="B51" s="15"/>
      <c r="C51" s="7"/>
      <c r="D51" s="7"/>
      <c r="E51" s="16" t="s">
        <v>62</v>
      </c>
      <c r="F51" s="35" t="e">
        <f>B42/F41</f>
        <v>#DIV/0!</v>
      </c>
      <c r="G51" s="7"/>
      <c r="H51" s="7"/>
      <c r="I51" s="7"/>
      <c r="J51" s="7"/>
      <c r="K51" s="7"/>
      <c r="L51" s="7"/>
      <c r="M51" s="7"/>
      <c r="N51" s="7"/>
      <c r="O51" s="7"/>
      <c r="P51" s="7"/>
      <c r="Q51" s="7"/>
    </row>
    <row r="52" spans="1:17" ht="15.75" customHeight="1" x14ac:dyDescent="0.3">
      <c r="A52" s="17" t="s">
        <v>34</v>
      </c>
      <c r="B52" s="20">
        <f>SUM(B45,B47:B51)*B44</f>
        <v>0</v>
      </c>
      <c r="C52" s="7"/>
      <c r="D52" s="7"/>
      <c r="E52" s="17" t="s">
        <v>64</v>
      </c>
      <c r="F52" s="36" t="e">
        <f>B42/F39</f>
        <v>#DIV/0!</v>
      </c>
      <c r="G52" s="7"/>
      <c r="H52" s="7"/>
      <c r="I52" s="7"/>
      <c r="J52" s="7"/>
      <c r="K52" s="7"/>
      <c r="L52" s="7"/>
      <c r="M52" s="7"/>
      <c r="N52" s="7"/>
      <c r="O52" s="7"/>
      <c r="P52" s="7"/>
      <c r="Q52" s="7"/>
    </row>
    <row r="53" spans="1:17" ht="15.75" customHeight="1" x14ac:dyDescent="0.3">
      <c r="A53" s="7"/>
      <c r="B53" s="7"/>
      <c r="C53" s="7"/>
      <c r="D53" s="7"/>
      <c r="E53" s="7"/>
      <c r="F53" s="7"/>
      <c r="G53" s="7"/>
      <c r="H53" s="7"/>
      <c r="I53" s="7"/>
      <c r="J53" s="7"/>
      <c r="K53" s="7"/>
      <c r="L53" s="7"/>
      <c r="M53" s="7"/>
      <c r="N53" s="7"/>
      <c r="O53" s="7"/>
      <c r="P53" s="7"/>
      <c r="Q53" s="7"/>
    </row>
    <row r="54" spans="1:17" ht="15.75" customHeight="1" x14ac:dyDescent="0.3">
      <c r="A54" s="7"/>
      <c r="B54" s="7"/>
      <c r="C54" s="7"/>
      <c r="D54" s="7"/>
      <c r="E54" s="7"/>
      <c r="F54" s="7"/>
      <c r="G54" s="7"/>
      <c r="H54" s="7"/>
      <c r="I54" s="7"/>
      <c r="J54" s="7"/>
      <c r="K54" s="7"/>
      <c r="L54" s="7"/>
      <c r="M54" s="7"/>
      <c r="N54" s="7"/>
      <c r="O54" s="7"/>
      <c r="P54" s="7"/>
      <c r="Q54" s="7"/>
    </row>
    <row r="55" spans="1:17" x14ac:dyDescent="0.3">
      <c r="A55" s="7"/>
      <c r="B55" s="7"/>
      <c r="C55" s="7"/>
      <c r="D55" s="7"/>
      <c r="E55" s="7"/>
      <c r="F55" s="7"/>
      <c r="G55" s="7"/>
      <c r="H55" s="7"/>
      <c r="I55" s="7"/>
      <c r="J55" s="7"/>
      <c r="K55" s="7"/>
      <c r="L55" s="7"/>
      <c r="M55" s="7"/>
      <c r="N55" s="7"/>
      <c r="O55" s="7"/>
      <c r="P55" s="7"/>
      <c r="Q55" s="7"/>
    </row>
    <row r="56" spans="1:17" x14ac:dyDescent="0.3">
      <c r="A56" s="7"/>
      <c r="B56" s="7"/>
      <c r="C56" s="7"/>
      <c r="D56" s="7"/>
      <c r="E56" s="7"/>
      <c r="F56" s="7"/>
      <c r="G56" s="7"/>
      <c r="H56" s="7"/>
      <c r="I56" s="7"/>
      <c r="J56" s="7"/>
      <c r="K56" s="7"/>
      <c r="L56" s="7"/>
      <c r="M56" s="7"/>
      <c r="N56" s="7"/>
      <c r="O56" s="7"/>
      <c r="P56" s="7"/>
      <c r="Q56" s="7"/>
    </row>
    <row r="57" spans="1:17" x14ac:dyDescent="0.3">
      <c r="A57" s="7"/>
      <c r="B57" s="7"/>
      <c r="C57" s="7"/>
      <c r="D57" s="7"/>
      <c r="E57" s="7"/>
      <c r="F57" s="7"/>
      <c r="G57" s="7"/>
      <c r="H57" s="7"/>
      <c r="I57" s="7"/>
      <c r="J57" s="7"/>
      <c r="K57" s="7"/>
      <c r="L57" s="7"/>
      <c r="M57" s="7"/>
      <c r="N57" s="7"/>
      <c r="O57" s="7"/>
      <c r="P57" s="7"/>
      <c r="Q57" s="7"/>
    </row>
    <row r="58" spans="1:17" x14ac:dyDescent="0.3">
      <c r="A58"/>
      <c r="B58" s="7"/>
      <c r="C58" s="7"/>
      <c r="D58" s="7"/>
      <c r="E58" s="7"/>
      <c r="F58" s="7"/>
      <c r="G58" s="7"/>
      <c r="H58" s="7"/>
      <c r="I58" s="7"/>
      <c r="J58" s="7"/>
      <c r="K58" s="7"/>
      <c r="L58" s="7"/>
      <c r="M58" s="7"/>
      <c r="N58" s="7"/>
      <c r="O58" s="7"/>
      <c r="P58" s="7"/>
      <c r="Q58" s="7"/>
    </row>
    <row r="59" spans="1:17" x14ac:dyDescent="0.3">
      <c r="A59" s="7"/>
      <c r="B59" s="7"/>
      <c r="C59" s="7"/>
      <c r="D59" s="7"/>
      <c r="E59" s="7"/>
      <c r="F59" s="7"/>
      <c r="G59" s="7"/>
      <c r="H59" s="7"/>
      <c r="I59" s="7"/>
      <c r="J59" s="7"/>
      <c r="K59" s="7"/>
      <c r="L59" s="7"/>
      <c r="M59" s="7"/>
      <c r="N59" s="7"/>
      <c r="O59" s="7"/>
      <c r="P59" s="7"/>
      <c r="Q59" s="7"/>
    </row>
    <row r="60" spans="1:17" ht="15.75" customHeight="1" x14ac:dyDescent="0.3">
      <c r="A60" s="7"/>
      <c r="B60" s="7"/>
      <c r="C60" s="7"/>
      <c r="D60" s="7"/>
      <c r="E60" s="7"/>
      <c r="F60" s="7"/>
      <c r="G60" s="7"/>
      <c r="H60" s="7"/>
      <c r="I60" s="7"/>
      <c r="J60" s="7"/>
      <c r="K60" s="7"/>
      <c r="L60" s="7"/>
      <c r="M60" s="7"/>
      <c r="N60" s="7"/>
      <c r="O60" s="7"/>
      <c r="P60" s="7"/>
      <c r="Q60" s="7"/>
    </row>
    <row r="61" spans="1:17" ht="15.75" customHeight="1" x14ac:dyDescent="0.3">
      <c r="A61" s="7"/>
      <c r="B61" s="7"/>
      <c r="C61" s="7"/>
      <c r="D61" s="7"/>
      <c r="E61" s="7"/>
      <c r="F61" s="7"/>
      <c r="G61" s="7"/>
      <c r="H61" s="7"/>
      <c r="I61" s="7"/>
      <c r="J61" s="7"/>
      <c r="K61" s="7"/>
      <c r="L61" s="7"/>
      <c r="M61" s="7"/>
      <c r="N61" s="7"/>
      <c r="O61" s="7"/>
      <c r="P61" s="7"/>
      <c r="Q61" s="7"/>
    </row>
    <row r="62" spans="1:17" ht="15.75" customHeight="1" x14ac:dyDescent="0.3">
      <c r="A62" s="7"/>
      <c r="B62" s="7"/>
      <c r="C62" s="7"/>
      <c r="D62" s="7"/>
      <c r="E62" s="7"/>
      <c r="F62" s="7"/>
      <c r="G62" s="7"/>
      <c r="H62" s="7"/>
      <c r="I62" s="7"/>
      <c r="J62" s="7"/>
      <c r="K62" s="7"/>
      <c r="L62" s="7"/>
      <c r="M62" s="7"/>
      <c r="N62" s="7"/>
      <c r="O62" s="7"/>
      <c r="P62" s="7"/>
      <c r="Q62" s="7"/>
    </row>
    <row r="63" spans="1:17" x14ac:dyDescent="0.3">
      <c r="A63" s="7"/>
      <c r="B63" s="7"/>
      <c r="C63" s="7"/>
      <c r="D63" s="7"/>
      <c r="E63" s="7"/>
      <c r="F63" s="7"/>
      <c r="G63" s="7"/>
      <c r="H63" s="7"/>
      <c r="I63" s="7"/>
      <c r="J63" s="7"/>
      <c r="K63" s="7"/>
      <c r="L63" s="7"/>
      <c r="M63" s="7"/>
      <c r="N63" s="7"/>
      <c r="O63" s="7"/>
      <c r="P63" s="7"/>
      <c r="Q63" s="7"/>
    </row>
    <row r="64" spans="1:17" x14ac:dyDescent="0.3">
      <c r="A64" s="7"/>
      <c r="B64" s="7"/>
      <c r="C64" s="7"/>
      <c r="D64" s="7"/>
      <c r="E64" s="7"/>
      <c r="F64" s="7"/>
      <c r="G64" s="7"/>
      <c r="H64" s="7"/>
      <c r="I64" s="7"/>
      <c r="J64" s="7"/>
      <c r="K64" s="7"/>
      <c r="L64" s="7"/>
      <c r="M64" s="7"/>
      <c r="N64" s="7"/>
      <c r="O64" s="7"/>
      <c r="P64" s="7"/>
      <c r="Q64" s="7"/>
    </row>
    <row r="65" spans="1:17" x14ac:dyDescent="0.3">
      <c r="A65" s="7"/>
      <c r="B65" s="7"/>
      <c r="C65" s="7"/>
      <c r="D65" s="7"/>
      <c r="E65" s="7"/>
      <c r="F65" s="7"/>
      <c r="G65" s="7"/>
      <c r="H65" s="7"/>
      <c r="I65" s="7"/>
      <c r="J65" s="7"/>
      <c r="K65" s="7"/>
      <c r="L65" s="7"/>
      <c r="M65" s="7"/>
      <c r="N65" s="7"/>
      <c r="O65" s="7"/>
      <c r="P65" s="7"/>
      <c r="Q65" s="7"/>
    </row>
    <row r="66" spans="1:17" x14ac:dyDescent="0.3">
      <c r="A66" s="7" t="s">
        <v>127</v>
      </c>
      <c r="B66" s="7"/>
      <c r="C66" s="7"/>
      <c r="D66" s="7"/>
      <c r="E66" s="7"/>
      <c r="F66" s="7"/>
      <c r="G66" s="7"/>
      <c r="H66" s="7"/>
      <c r="I66" s="7"/>
      <c r="J66" s="7"/>
      <c r="K66" s="7"/>
      <c r="L66" s="7"/>
      <c r="M66" s="7"/>
      <c r="N66" s="7"/>
      <c r="O66" s="7"/>
      <c r="P66" s="7"/>
      <c r="Q66" s="7"/>
    </row>
    <row r="67" spans="1:17" x14ac:dyDescent="0.3">
      <c r="A67" s="7" t="s">
        <v>128</v>
      </c>
      <c r="B67" s="7"/>
      <c r="C67" s="7"/>
      <c r="D67" s="7"/>
      <c r="E67" s="7"/>
      <c r="F67" s="7"/>
      <c r="G67" s="7"/>
      <c r="H67" s="7"/>
      <c r="I67" s="7"/>
      <c r="J67" s="7"/>
      <c r="K67" s="7"/>
      <c r="L67" s="7"/>
      <c r="M67" s="7"/>
      <c r="N67" s="7"/>
      <c r="O67" s="7"/>
      <c r="P67" s="7"/>
      <c r="Q67" s="7"/>
    </row>
    <row r="68" spans="1:17" x14ac:dyDescent="0.3">
      <c r="A68" s="7"/>
      <c r="B68" s="7"/>
      <c r="C68" s="7"/>
      <c r="D68" s="7"/>
      <c r="E68" s="7"/>
      <c r="F68" s="7"/>
      <c r="G68" s="7"/>
      <c r="H68" s="7"/>
      <c r="I68" s="7"/>
      <c r="J68" s="7"/>
      <c r="K68" s="7"/>
      <c r="L68" s="7"/>
      <c r="M68" s="7"/>
      <c r="N68" s="7"/>
      <c r="O68" s="7"/>
      <c r="P68" s="7"/>
      <c r="Q68" s="7"/>
    </row>
    <row r="69" spans="1:17" x14ac:dyDescent="0.3">
      <c r="A69" s="7"/>
      <c r="B69" s="7"/>
      <c r="C69" s="7"/>
      <c r="D69" s="7"/>
      <c r="E69" s="7"/>
      <c r="F69" s="7"/>
      <c r="G69" s="7"/>
      <c r="H69" s="7"/>
      <c r="I69" s="7"/>
      <c r="J69" s="7"/>
      <c r="K69" s="7"/>
      <c r="L69" s="7"/>
      <c r="M69" s="7"/>
      <c r="N69" s="7"/>
      <c r="O69" s="7"/>
      <c r="P69" s="7"/>
      <c r="Q69" s="7"/>
    </row>
    <row r="70" spans="1:17" x14ac:dyDescent="0.3">
      <c r="A70" s="7"/>
      <c r="B70" s="7"/>
      <c r="C70" s="7"/>
      <c r="D70" s="7"/>
      <c r="E70" s="7"/>
      <c r="F70" s="7"/>
      <c r="G70" s="7"/>
      <c r="H70" s="7"/>
      <c r="I70" s="7"/>
      <c r="J70" s="7"/>
      <c r="K70" s="7"/>
      <c r="L70" s="7"/>
      <c r="M70" s="7"/>
      <c r="N70" s="7"/>
      <c r="O70" s="7"/>
      <c r="P70" s="7"/>
      <c r="Q70" s="7"/>
    </row>
    <row r="71" spans="1:17" ht="15.75" customHeight="1" x14ac:dyDescent="0.3">
      <c r="A71" s="7"/>
      <c r="B71" s="7"/>
      <c r="C71" s="7"/>
      <c r="D71" s="7"/>
      <c r="E71" s="7"/>
      <c r="F71" s="7"/>
      <c r="G71" s="7"/>
      <c r="H71" s="7"/>
      <c r="I71" s="7"/>
      <c r="J71" s="7"/>
      <c r="K71" s="7"/>
      <c r="L71" s="7"/>
      <c r="M71" s="7"/>
      <c r="N71" s="7"/>
      <c r="O71" s="7"/>
      <c r="P71" s="7"/>
      <c r="Q71" s="7"/>
    </row>
    <row r="72" spans="1:17" x14ac:dyDescent="0.3">
      <c r="A72" s="7" t="s">
        <v>55</v>
      </c>
      <c r="B72" s="7"/>
      <c r="C72" s="7"/>
      <c r="D72" s="7"/>
      <c r="E72" s="3"/>
      <c r="F72" s="3"/>
      <c r="G72" s="7"/>
      <c r="H72" s="7"/>
      <c r="I72" s="7"/>
      <c r="J72" s="7"/>
      <c r="K72" s="7"/>
      <c r="L72" s="7"/>
      <c r="M72" s="7"/>
      <c r="N72" s="7"/>
      <c r="O72" s="7"/>
      <c r="P72" s="7"/>
      <c r="Q72" s="7"/>
    </row>
    <row r="73" spans="1:17" x14ac:dyDescent="0.3">
      <c r="A73" s="7"/>
      <c r="B73" s="7"/>
      <c r="C73" s="7"/>
      <c r="D73" s="7"/>
      <c r="E73" s="3"/>
      <c r="F73" s="3"/>
      <c r="G73" s="7"/>
      <c r="H73" s="7"/>
      <c r="I73" s="7"/>
      <c r="J73" s="7"/>
      <c r="K73" s="7"/>
      <c r="L73" s="7"/>
      <c r="M73" s="7"/>
      <c r="N73" s="7"/>
      <c r="O73" s="7"/>
      <c r="P73" s="7"/>
      <c r="Q73" s="7"/>
    </row>
  </sheetData>
  <sheetProtection algorithmName="SHA-512" hashValue="WGNjMBBhqapQ6/gPsXm75Tcrcfqdt3pk0czFwE8WH74elSMfjP6q5I2Auc102KlnucllPldNxZyyxG1zMxnG/w==" saltValue="UChCmkgxO0ofY1Ga2jJ7Bw==" spinCount="100000" sheet="1" objects="1" scenarios="1" selectLockedCells="1"/>
  <mergeCells count="6">
    <mergeCell ref="A41:B41"/>
    <mergeCell ref="E29:F29"/>
    <mergeCell ref="E18:F18"/>
    <mergeCell ref="E37:F37"/>
    <mergeCell ref="A19:B19"/>
    <mergeCell ref="A28:B2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86EF-DEB4-4912-9887-128DFD01F886}">
  <dimension ref="A1:S73"/>
  <sheetViews>
    <sheetView zoomScale="70" zoomScaleNormal="70" workbookViewId="0">
      <selection activeCell="A65" sqref="A65:A66"/>
    </sheetView>
  </sheetViews>
  <sheetFormatPr defaultColWidth="9.109375" defaultRowHeight="14.4" x14ac:dyDescent="0.3"/>
  <cols>
    <col min="1" max="1" width="46" style="4" customWidth="1"/>
    <col min="2" max="2" width="17.21875" style="4" bestFit="1" customWidth="1"/>
    <col min="3" max="4" width="9.109375" style="4"/>
    <col min="5" max="5" width="57.77734375" style="4" customWidth="1"/>
    <col min="6" max="6" width="25.88671875" style="4" customWidth="1"/>
    <col min="7" max="7" width="9.109375" style="4"/>
    <col min="8" max="8" width="49.33203125" style="4" bestFit="1" customWidth="1"/>
    <col min="9" max="9" width="12.33203125" style="4" bestFit="1" customWidth="1"/>
    <col min="10" max="18" width="9.109375" style="4"/>
    <col min="19" max="19" width="11.77734375" style="4" customWidth="1"/>
    <col min="20" max="16384" width="9.109375" style="4"/>
  </cols>
  <sheetData>
    <row r="1" spans="1:19" x14ac:dyDescent="0.3">
      <c r="A1" s="3"/>
      <c r="B1" s="3"/>
      <c r="C1" s="3"/>
      <c r="D1" s="3"/>
      <c r="E1" s="3"/>
      <c r="F1" s="3"/>
      <c r="G1" s="3"/>
      <c r="H1" s="3"/>
      <c r="I1" s="3"/>
      <c r="J1" s="3"/>
      <c r="K1" s="3"/>
      <c r="L1" s="3"/>
      <c r="M1" s="3"/>
      <c r="N1" s="3"/>
      <c r="O1" s="3"/>
      <c r="P1" s="3"/>
      <c r="Q1" s="3"/>
      <c r="R1" s="3"/>
      <c r="S1" s="3"/>
    </row>
    <row r="2" spans="1:19" x14ac:dyDescent="0.3">
      <c r="A2" s="3"/>
      <c r="B2" s="3"/>
      <c r="C2" s="3"/>
      <c r="D2" s="3"/>
      <c r="E2" s="3"/>
      <c r="F2" s="3"/>
      <c r="G2" s="3"/>
      <c r="H2" s="3"/>
      <c r="I2" s="3"/>
      <c r="J2" s="3"/>
      <c r="K2" s="3"/>
      <c r="L2" s="3"/>
      <c r="M2" s="3"/>
      <c r="N2" s="3"/>
      <c r="O2" s="3"/>
      <c r="P2" s="3"/>
      <c r="Q2" s="3"/>
      <c r="R2" s="3"/>
      <c r="S2" s="3"/>
    </row>
    <row r="3" spans="1:19" x14ac:dyDescent="0.3">
      <c r="A3" s="3"/>
      <c r="B3" s="3"/>
      <c r="C3" s="3"/>
      <c r="D3" s="3"/>
      <c r="E3" s="3"/>
      <c r="F3" s="3"/>
      <c r="G3" s="3"/>
      <c r="H3" s="3"/>
      <c r="I3" s="3"/>
      <c r="J3" s="3"/>
      <c r="K3" s="3"/>
      <c r="L3" s="3"/>
      <c r="M3" s="3"/>
      <c r="N3" s="3"/>
      <c r="O3" s="3"/>
      <c r="P3" s="3"/>
      <c r="Q3" s="3"/>
      <c r="R3" s="3"/>
      <c r="S3" s="3"/>
    </row>
    <row r="4" spans="1:19" x14ac:dyDescent="0.3">
      <c r="A4" s="3"/>
      <c r="B4" s="3"/>
      <c r="C4" s="3"/>
      <c r="D4" s="3"/>
      <c r="E4" s="3"/>
      <c r="F4" s="3"/>
      <c r="G4" s="3"/>
      <c r="H4" s="3"/>
      <c r="I4" s="3"/>
      <c r="J4" s="3"/>
      <c r="K4" s="3"/>
      <c r="L4" s="3"/>
      <c r="M4" s="3"/>
      <c r="N4" s="3"/>
      <c r="O4" s="3"/>
      <c r="P4" s="3"/>
      <c r="Q4" s="3"/>
      <c r="R4" s="3"/>
      <c r="S4" s="3"/>
    </row>
    <row r="5" spans="1:19" x14ac:dyDescent="0.3">
      <c r="A5" s="3"/>
      <c r="B5" s="3"/>
      <c r="C5" s="3"/>
      <c r="D5" s="3"/>
      <c r="E5" s="3"/>
      <c r="F5" s="3"/>
      <c r="G5" s="3"/>
      <c r="H5" s="3"/>
      <c r="I5" s="3"/>
      <c r="J5" s="3"/>
      <c r="K5" s="3"/>
      <c r="L5" s="3"/>
      <c r="M5" s="3"/>
      <c r="N5" s="3"/>
      <c r="O5" s="3"/>
      <c r="P5" s="3"/>
      <c r="Q5" s="3"/>
      <c r="R5" s="3"/>
      <c r="S5" s="3"/>
    </row>
    <row r="6" spans="1:19" x14ac:dyDescent="0.3">
      <c r="A6" s="3"/>
      <c r="B6" s="3"/>
      <c r="C6" s="3"/>
      <c r="D6" s="3"/>
      <c r="E6" s="3"/>
      <c r="F6" s="3"/>
      <c r="G6" s="3"/>
      <c r="H6" s="3"/>
      <c r="I6" s="3"/>
      <c r="J6" s="3"/>
      <c r="K6" s="3"/>
      <c r="L6" s="3"/>
      <c r="M6" s="3"/>
      <c r="N6" s="3"/>
      <c r="O6" s="3"/>
      <c r="P6" s="3"/>
      <c r="Q6" s="3"/>
      <c r="R6" s="3"/>
      <c r="S6" s="3"/>
    </row>
    <row r="7" spans="1:19" x14ac:dyDescent="0.3">
      <c r="A7" s="3"/>
      <c r="B7" s="3"/>
      <c r="C7" s="3"/>
      <c r="D7" s="3"/>
      <c r="E7" s="3"/>
      <c r="F7" s="3"/>
      <c r="G7" s="3"/>
      <c r="H7" s="3"/>
      <c r="I7" s="3"/>
      <c r="J7" s="3"/>
      <c r="K7" s="3"/>
      <c r="L7" s="3"/>
      <c r="M7" s="3"/>
      <c r="N7" s="3"/>
      <c r="O7" s="3"/>
      <c r="P7" s="3"/>
      <c r="Q7" s="3"/>
      <c r="R7" s="3"/>
      <c r="S7" s="3"/>
    </row>
    <row r="8" spans="1:19" x14ac:dyDescent="0.3">
      <c r="A8" s="3"/>
      <c r="B8" s="3"/>
      <c r="C8" s="3"/>
      <c r="D8" s="3"/>
      <c r="E8" s="3"/>
      <c r="F8" s="3"/>
      <c r="G8" s="3"/>
      <c r="H8" s="3"/>
      <c r="I8" s="3"/>
      <c r="J8" s="3"/>
      <c r="K8" s="3"/>
      <c r="L8" s="3"/>
      <c r="M8" s="3"/>
      <c r="N8" s="3"/>
      <c r="O8" s="3"/>
      <c r="P8" s="3"/>
      <c r="Q8" s="3"/>
      <c r="R8" s="3"/>
      <c r="S8" s="3"/>
    </row>
    <row r="9" spans="1:19" x14ac:dyDescent="0.3">
      <c r="A9" s="3"/>
      <c r="B9" s="3"/>
      <c r="C9" s="3"/>
      <c r="D9" s="3"/>
      <c r="E9" s="3"/>
      <c r="F9" s="3"/>
      <c r="G9" s="3"/>
      <c r="H9" s="3"/>
      <c r="I9" s="3"/>
      <c r="J9" s="3"/>
      <c r="K9" s="3"/>
      <c r="L9" s="3"/>
      <c r="M9" s="3"/>
      <c r="N9" s="3"/>
      <c r="O9" s="3"/>
      <c r="P9" s="3"/>
      <c r="Q9" s="3"/>
      <c r="R9" s="3"/>
      <c r="S9" s="3"/>
    </row>
    <row r="10" spans="1:19" x14ac:dyDescent="0.3">
      <c r="A10" s="3"/>
      <c r="B10" s="3"/>
      <c r="C10" s="3"/>
      <c r="D10" s="3"/>
      <c r="E10" s="3"/>
      <c r="F10" s="3"/>
      <c r="G10" s="3"/>
      <c r="H10" s="3"/>
      <c r="I10" s="3"/>
      <c r="J10" s="3"/>
      <c r="K10" s="3"/>
      <c r="L10" s="3"/>
      <c r="M10" s="3"/>
      <c r="N10" s="3"/>
      <c r="O10" s="3"/>
      <c r="P10" s="3"/>
      <c r="Q10" s="3"/>
      <c r="R10" s="3"/>
      <c r="S10" s="3"/>
    </row>
    <row r="11" spans="1:19" x14ac:dyDescent="0.3">
      <c r="A11" s="3"/>
      <c r="B11" s="3"/>
      <c r="C11" s="3"/>
      <c r="D11" s="3"/>
      <c r="E11" s="3"/>
      <c r="F11" s="3"/>
      <c r="G11" s="3"/>
      <c r="H11" s="3"/>
      <c r="I11" s="3"/>
      <c r="J11" s="3"/>
      <c r="K11" s="3"/>
      <c r="L11" s="3"/>
      <c r="M11" s="3"/>
      <c r="N11" s="3"/>
      <c r="O11" s="3"/>
      <c r="P11" s="3"/>
      <c r="Q11" s="3"/>
      <c r="R11" s="3"/>
      <c r="S11" s="3"/>
    </row>
    <row r="12" spans="1:19" x14ac:dyDescent="0.3">
      <c r="A12" s="3"/>
      <c r="B12" s="3"/>
      <c r="C12" s="3"/>
      <c r="D12" s="3"/>
      <c r="E12" s="3"/>
      <c r="F12" s="3"/>
      <c r="G12" s="3"/>
      <c r="H12" s="3"/>
      <c r="I12" s="3"/>
      <c r="J12" s="3"/>
      <c r="K12" s="3"/>
      <c r="L12" s="3"/>
      <c r="M12" s="3"/>
      <c r="N12" s="3"/>
      <c r="O12" s="3"/>
      <c r="P12" s="3"/>
      <c r="Q12" s="3"/>
      <c r="R12" s="3"/>
      <c r="S12" s="3"/>
    </row>
    <row r="13" spans="1:19" ht="15.6" x14ac:dyDescent="0.3">
      <c r="A13" s="5" t="s">
        <v>66</v>
      </c>
      <c r="B13" s="7"/>
      <c r="C13" s="7"/>
      <c r="D13" s="3"/>
      <c r="E13" s="3"/>
      <c r="F13" s="3"/>
      <c r="G13" s="3"/>
      <c r="H13" s="3"/>
      <c r="I13" s="3"/>
      <c r="J13" s="3"/>
      <c r="K13" s="3"/>
      <c r="L13" s="3"/>
      <c r="M13" s="3"/>
      <c r="N13" s="3"/>
      <c r="O13" s="3"/>
      <c r="P13" s="3"/>
      <c r="Q13" s="3"/>
      <c r="R13" s="3"/>
      <c r="S13" s="3"/>
    </row>
    <row r="14" spans="1:19" ht="18.600000000000001" thickBot="1" x14ac:dyDescent="0.4">
      <c r="A14" s="8"/>
      <c r="B14" s="7"/>
      <c r="C14" s="7"/>
      <c r="D14" s="3"/>
      <c r="E14" s="3"/>
      <c r="F14" s="3"/>
      <c r="G14" s="3"/>
      <c r="H14" s="3"/>
      <c r="I14" s="3"/>
      <c r="J14" s="3"/>
      <c r="K14" s="3"/>
      <c r="L14" s="3"/>
      <c r="M14" s="3"/>
      <c r="N14" s="3"/>
      <c r="O14" s="3"/>
      <c r="P14" s="3"/>
      <c r="Q14" s="3"/>
      <c r="R14" s="3"/>
      <c r="S14" s="3"/>
    </row>
    <row r="15" spans="1:19" ht="24.6" thickBot="1" x14ac:dyDescent="0.55000000000000004">
      <c r="A15" s="72" t="s">
        <v>68</v>
      </c>
      <c r="B15" s="73"/>
      <c r="C15" s="73"/>
      <c r="D15" s="73"/>
      <c r="E15" s="73"/>
      <c r="F15" s="73"/>
      <c r="G15" s="73"/>
      <c r="H15" s="73"/>
      <c r="I15" s="73"/>
      <c r="J15" s="73"/>
      <c r="K15" s="73"/>
      <c r="L15" s="73"/>
      <c r="M15" s="74"/>
      <c r="N15" s="3"/>
      <c r="O15" s="3"/>
      <c r="P15" s="3"/>
      <c r="Q15" s="3"/>
      <c r="R15" s="3"/>
      <c r="S15" s="3"/>
    </row>
    <row r="16" spans="1:19" x14ac:dyDescent="0.3">
      <c r="A16" s="3"/>
      <c r="B16" s="3"/>
      <c r="C16" s="3"/>
      <c r="D16" s="3"/>
      <c r="E16" s="3"/>
      <c r="F16" s="3"/>
      <c r="G16" s="3"/>
      <c r="H16" s="3"/>
      <c r="I16" s="3"/>
      <c r="J16" s="3"/>
      <c r="K16" s="3"/>
      <c r="L16" s="3"/>
      <c r="M16" s="3"/>
      <c r="N16" s="3"/>
      <c r="O16" s="3"/>
      <c r="P16" s="3"/>
      <c r="Q16" s="3"/>
      <c r="R16" s="3"/>
      <c r="S16" s="3"/>
    </row>
    <row r="17" spans="1:19" x14ac:dyDescent="0.3">
      <c r="A17" s="3"/>
      <c r="B17" s="3"/>
      <c r="C17" s="3"/>
      <c r="D17" s="3"/>
      <c r="E17" s="3"/>
      <c r="F17" s="3"/>
      <c r="G17" s="3"/>
      <c r="H17" s="3"/>
      <c r="I17" s="3"/>
      <c r="J17" s="3"/>
      <c r="K17" s="3"/>
      <c r="L17" s="3"/>
      <c r="M17" s="3"/>
      <c r="N17" s="3"/>
      <c r="O17" s="3"/>
      <c r="P17" s="3"/>
      <c r="Q17" s="3"/>
      <c r="R17" s="3"/>
      <c r="S17" s="3"/>
    </row>
    <row r="18" spans="1:19" ht="15.75" customHeight="1" x14ac:dyDescent="0.3">
      <c r="A18" s="9" t="s">
        <v>0</v>
      </c>
      <c r="B18" s="10" t="s">
        <v>1</v>
      </c>
      <c r="C18" s="7"/>
      <c r="D18" s="7"/>
      <c r="E18" s="69" t="s">
        <v>41</v>
      </c>
      <c r="F18" s="70"/>
      <c r="G18" s="7"/>
      <c r="H18" s="7"/>
      <c r="I18" s="7"/>
      <c r="J18" s="7"/>
      <c r="K18" s="7"/>
      <c r="L18" s="7"/>
      <c r="M18" s="7"/>
      <c r="N18" s="7"/>
      <c r="O18" s="7"/>
      <c r="P18" s="7"/>
      <c r="Q18" s="7"/>
      <c r="R18" s="7"/>
      <c r="S18" s="7"/>
    </row>
    <row r="19" spans="1:19" x14ac:dyDescent="0.3">
      <c r="A19" s="71" t="s">
        <v>2</v>
      </c>
      <c r="B19" s="66"/>
      <c r="C19" s="7"/>
      <c r="D19" s="7"/>
      <c r="E19" s="11" t="s">
        <v>42</v>
      </c>
      <c r="F19" s="12">
        <v>190</v>
      </c>
      <c r="G19" s="7"/>
      <c r="H19" s="7"/>
      <c r="I19" s="7"/>
      <c r="J19" s="7"/>
      <c r="K19" s="7"/>
      <c r="L19" s="7"/>
      <c r="M19" s="7"/>
      <c r="N19" s="7"/>
      <c r="O19" s="7"/>
      <c r="P19" s="7"/>
      <c r="Q19" s="7"/>
      <c r="R19" s="7"/>
      <c r="S19" s="7"/>
    </row>
    <row r="20" spans="1:19" x14ac:dyDescent="0.3">
      <c r="A20" s="13" t="s">
        <v>3</v>
      </c>
      <c r="B20" s="12">
        <v>361333.33</v>
      </c>
      <c r="C20" s="7"/>
      <c r="D20" s="7"/>
      <c r="E20" s="14" t="s">
        <v>43</v>
      </c>
      <c r="F20" s="15">
        <v>1000</v>
      </c>
      <c r="G20" s="7"/>
      <c r="H20" s="7"/>
      <c r="I20" s="7"/>
      <c r="J20" s="7"/>
      <c r="K20" s="7"/>
      <c r="L20" s="7"/>
      <c r="M20" s="7"/>
      <c r="N20" s="7"/>
      <c r="O20" s="7"/>
      <c r="P20" s="7"/>
      <c r="Q20" s="7"/>
      <c r="R20" s="7"/>
      <c r="S20" s="7"/>
    </row>
    <row r="21" spans="1:19" x14ac:dyDescent="0.3">
      <c r="A21" s="16" t="s">
        <v>4</v>
      </c>
      <c r="B21" s="15">
        <v>10000</v>
      </c>
      <c r="C21" s="7"/>
      <c r="D21" s="7"/>
      <c r="E21" s="14" t="s">
        <v>44</v>
      </c>
      <c r="F21" s="12">
        <v>100</v>
      </c>
      <c r="G21" s="7"/>
      <c r="H21" s="7"/>
      <c r="I21" s="7"/>
      <c r="J21" s="7"/>
      <c r="K21" s="7"/>
      <c r="L21" s="7"/>
      <c r="M21" s="7"/>
      <c r="N21" s="7"/>
      <c r="O21" s="7"/>
      <c r="P21" s="7"/>
      <c r="Q21" s="7"/>
      <c r="R21" s="7"/>
      <c r="S21" s="7"/>
    </row>
    <row r="22" spans="1:19" x14ac:dyDescent="0.3">
      <c r="A22" s="16" t="s">
        <v>6</v>
      </c>
      <c r="B22" s="15">
        <v>5000</v>
      </c>
      <c r="C22" s="7"/>
      <c r="D22" s="7"/>
      <c r="E22" s="14" t="s">
        <v>45</v>
      </c>
      <c r="F22" s="15">
        <v>1000</v>
      </c>
      <c r="G22" s="7"/>
      <c r="H22" s="7"/>
      <c r="I22" s="7"/>
      <c r="J22" s="7"/>
      <c r="K22" s="7"/>
      <c r="L22" s="7"/>
      <c r="M22" s="7"/>
      <c r="N22" s="7"/>
      <c r="O22" s="7"/>
      <c r="P22" s="7"/>
      <c r="Q22" s="7"/>
      <c r="R22" s="7"/>
      <c r="S22" s="7"/>
    </row>
    <row r="23" spans="1:19" x14ac:dyDescent="0.3">
      <c r="A23" s="16" t="s">
        <v>7</v>
      </c>
      <c r="B23" s="15">
        <v>15000</v>
      </c>
      <c r="C23" s="7"/>
      <c r="D23" s="7"/>
      <c r="E23" s="14" t="s">
        <v>46</v>
      </c>
      <c r="F23" s="15">
        <v>1000</v>
      </c>
      <c r="G23" s="7"/>
      <c r="H23" s="7"/>
      <c r="I23" s="7"/>
      <c r="J23" s="7"/>
      <c r="K23" s="7"/>
      <c r="L23" s="7"/>
      <c r="M23" s="7"/>
      <c r="N23" s="7"/>
      <c r="O23" s="7"/>
      <c r="P23" s="7"/>
      <c r="Q23" s="7"/>
      <c r="R23" s="7"/>
      <c r="S23" s="7"/>
    </row>
    <row r="24" spans="1:19" x14ac:dyDescent="0.3">
      <c r="A24" s="16" t="s">
        <v>8</v>
      </c>
      <c r="B24" s="15"/>
      <c r="C24" s="7"/>
      <c r="D24" s="7"/>
      <c r="E24" s="14" t="s">
        <v>47</v>
      </c>
      <c r="F24" s="15">
        <v>1000</v>
      </c>
      <c r="G24" s="7"/>
      <c r="H24" s="7"/>
      <c r="I24" s="7"/>
      <c r="J24" s="7"/>
      <c r="K24" s="7"/>
      <c r="L24" s="7"/>
      <c r="M24" s="7"/>
      <c r="N24" s="7"/>
      <c r="O24" s="7"/>
      <c r="P24" s="7"/>
      <c r="Q24" s="7"/>
      <c r="R24" s="7"/>
      <c r="S24" s="7"/>
    </row>
    <row r="25" spans="1:19" x14ac:dyDescent="0.3">
      <c r="A25" s="16" t="s">
        <v>10</v>
      </c>
      <c r="B25" s="15">
        <v>150000</v>
      </c>
      <c r="C25" s="7"/>
      <c r="D25" s="7"/>
      <c r="E25" s="14" t="s">
        <v>48</v>
      </c>
      <c r="F25" s="15">
        <v>100</v>
      </c>
      <c r="G25" s="7"/>
      <c r="H25" s="7"/>
      <c r="I25" s="7"/>
      <c r="J25" s="7"/>
      <c r="K25" s="7"/>
      <c r="L25" s="7"/>
      <c r="M25" s="7"/>
      <c r="N25" s="7"/>
      <c r="O25" s="7"/>
      <c r="P25" s="7"/>
      <c r="Q25" s="7"/>
      <c r="R25" s="7"/>
      <c r="S25" s="7"/>
    </row>
    <row r="26" spans="1:19" ht="15.75" customHeight="1" x14ac:dyDescent="0.3">
      <c r="A26" s="17" t="s">
        <v>12</v>
      </c>
      <c r="B26" s="18">
        <f>SUM(B20:B25)</f>
        <v>541333.33000000007</v>
      </c>
      <c r="C26" s="7"/>
      <c r="D26" s="7"/>
      <c r="E26" s="14" t="s">
        <v>49</v>
      </c>
      <c r="F26" s="15">
        <v>1000</v>
      </c>
      <c r="G26" s="7"/>
      <c r="H26" s="7"/>
      <c r="I26" s="7"/>
      <c r="J26" s="7"/>
      <c r="K26" s="7"/>
      <c r="L26" s="7"/>
      <c r="M26" s="7"/>
      <c r="N26" s="7"/>
      <c r="O26" s="7"/>
      <c r="P26" s="7"/>
      <c r="Q26" s="7"/>
      <c r="R26" s="7"/>
      <c r="S26" s="7"/>
    </row>
    <row r="27" spans="1:19" ht="15.75" customHeight="1" x14ac:dyDescent="0.3">
      <c r="A27" s="7"/>
      <c r="B27" s="7"/>
      <c r="C27" s="7"/>
      <c r="D27" s="7"/>
      <c r="E27" s="19" t="s">
        <v>50</v>
      </c>
      <c r="F27" s="20">
        <f>SUM(F19:F26)</f>
        <v>5390</v>
      </c>
      <c r="G27" s="7"/>
      <c r="H27" s="7"/>
      <c r="I27" s="7"/>
      <c r="J27" s="7"/>
      <c r="K27" s="7"/>
      <c r="L27" s="7"/>
      <c r="M27" s="7"/>
      <c r="N27" s="7"/>
      <c r="O27" s="7"/>
      <c r="P27" s="7"/>
      <c r="Q27" s="7"/>
      <c r="R27" s="7"/>
      <c r="S27" s="7"/>
    </row>
    <row r="28" spans="1:19" ht="15.75" customHeight="1" x14ac:dyDescent="0.3">
      <c r="A28" s="69" t="s">
        <v>13</v>
      </c>
      <c r="B28" s="70"/>
      <c r="C28" s="7"/>
      <c r="D28" s="7"/>
      <c r="E28" s="7"/>
      <c r="F28" s="7"/>
      <c r="G28" s="7"/>
      <c r="H28" s="7"/>
      <c r="I28" s="7"/>
      <c r="J28" s="7"/>
      <c r="K28" s="7"/>
      <c r="L28" s="7"/>
      <c r="M28" s="7"/>
      <c r="N28" s="7"/>
      <c r="O28" s="7"/>
      <c r="P28" s="7"/>
      <c r="Q28" s="7"/>
      <c r="R28" s="7"/>
      <c r="S28" s="7"/>
    </row>
    <row r="29" spans="1:19" ht="15.75" customHeight="1" x14ac:dyDescent="0.3">
      <c r="A29" s="13" t="s">
        <v>14</v>
      </c>
      <c r="B29" s="12">
        <v>5000</v>
      </c>
      <c r="C29" s="7"/>
      <c r="D29" s="7"/>
      <c r="E29" s="67" t="s">
        <v>35</v>
      </c>
      <c r="F29" s="68"/>
      <c r="G29" s="7"/>
      <c r="H29" s="7"/>
      <c r="I29" s="7"/>
      <c r="J29" s="7"/>
      <c r="K29" s="7"/>
      <c r="L29" s="7"/>
      <c r="M29" s="7"/>
      <c r="N29" s="7"/>
      <c r="O29" s="7"/>
      <c r="P29" s="7"/>
      <c r="Q29" s="7"/>
      <c r="R29" s="7"/>
      <c r="S29" s="7"/>
    </row>
    <row r="30" spans="1:19" ht="15.75" customHeight="1" x14ac:dyDescent="0.3">
      <c r="A30" s="16" t="s">
        <v>15</v>
      </c>
      <c r="B30" s="15">
        <v>5000</v>
      </c>
      <c r="C30" s="7"/>
      <c r="D30" s="7"/>
      <c r="E30" s="13" t="s">
        <v>54</v>
      </c>
      <c r="F30" s="21">
        <v>0.02</v>
      </c>
      <c r="G30" s="7"/>
      <c r="H30" s="7"/>
      <c r="I30" s="7"/>
      <c r="J30" s="7"/>
      <c r="K30" s="7"/>
      <c r="L30" s="7"/>
      <c r="M30" s="7"/>
      <c r="N30" s="7"/>
      <c r="O30" s="7"/>
      <c r="P30" s="7"/>
      <c r="Q30" s="7"/>
      <c r="R30" s="7"/>
      <c r="S30" s="7"/>
    </row>
    <row r="31" spans="1:19" ht="15.75" customHeight="1" x14ac:dyDescent="0.3">
      <c r="A31" s="16" t="s">
        <v>16</v>
      </c>
      <c r="B31" s="15">
        <v>5000</v>
      </c>
      <c r="C31" s="7"/>
      <c r="D31" s="7"/>
      <c r="E31" s="16" t="s">
        <v>36</v>
      </c>
      <c r="F31" s="15">
        <v>1000</v>
      </c>
      <c r="G31" s="7"/>
      <c r="H31" s="7"/>
      <c r="I31" s="7"/>
      <c r="J31" s="7"/>
      <c r="K31" s="7"/>
      <c r="L31" s="7"/>
      <c r="M31" s="7"/>
      <c r="N31" s="7"/>
      <c r="O31" s="7"/>
      <c r="P31" s="7"/>
      <c r="Q31" s="7"/>
      <c r="R31" s="7"/>
      <c r="S31" s="7"/>
    </row>
    <row r="32" spans="1:19" ht="15.75" customHeight="1" x14ac:dyDescent="0.3">
      <c r="A32" s="16" t="s">
        <v>17</v>
      </c>
      <c r="B32" s="15">
        <v>5000</v>
      </c>
      <c r="C32" s="7"/>
      <c r="D32" s="7"/>
      <c r="E32" s="16" t="s">
        <v>37</v>
      </c>
      <c r="F32" s="15">
        <v>2000</v>
      </c>
      <c r="G32" s="7"/>
      <c r="H32" s="7"/>
      <c r="I32" s="7"/>
      <c r="J32" s="7"/>
      <c r="K32" s="7"/>
      <c r="L32" s="7"/>
      <c r="M32" s="7"/>
      <c r="N32" s="7"/>
      <c r="O32" s="7"/>
      <c r="P32" s="7"/>
      <c r="Q32" s="7"/>
      <c r="R32" s="7"/>
      <c r="S32" s="7"/>
    </row>
    <row r="33" spans="1:19" ht="15.75" customHeight="1" x14ac:dyDescent="0.3">
      <c r="A33" s="16" t="s">
        <v>18</v>
      </c>
      <c r="B33" s="15">
        <v>5000</v>
      </c>
      <c r="C33" s="7"/>
      <c r="D33" s="7"/>
      <c r="E33" s="16" t="s">
        <v>38</v>
      </c>
      <c r="F33" s="15">
        <v>100</v>
      </c>
      <c r="G33" s="7"/>
      <c r="H33" s="7"/>
      <c r="I33" s="7"/>
      <c r="J33" s="7"/>
      <c r="K33" s="7"/>
      <c r="L33" s="7"/>
      <c r="M33" s="7"/>
      <c r="N33" s="7"/>
      <c r="O33" s="7"/>
      <c r="P33" s="7"/>
      <c r="Q33" s="7"/>
      <c r="R33" s="7"/>
      <c r="S33" s="7"/>
    </row>
    <row r="34" spans="1:19" ht="15.75" customHeight="1" x14ac:dyDescent="0.3">
      <c r="A34" s="16" t="s">
        <v>19</v>
      </c>
      <c r="B34" s="15">
        <v>5000</v>
      </c>
      <c r="C34" s="7"/>
      <c r="D34" s="7"/>
      <c r="E34" s="16" t="s">
        <v>39</v>
      </c>
      <c r="F34" s="15">
        <v>10000</v>
      </c>
      <c r="G34" s="7"/>
      <c r="H34" s="7"/>
      <c r="I34" s="7"/>
      <c r="J34" s="7"/>
      <c r="K34" s="7"/>
      <c r="L34" s="7"/>
      <c r="M34" s="7"/>
      <c r="N34" s="7"/>
      <c r="O34" s="7"/>
      <c r="P34" s="7"/>
      <c r="Q34" s="7"/>
      <c r="R34" s="7"/>
      <c r="S34" s="7"/>
    </row>
    <row r="35" spans="1:19" ht="15.75" customHeight="1" x14ac:dyDescent="0.3">
      <c r="A35" s="16" t="s">
        <v>20</v>
      </c>
      <c r="B35" s="15">
        <v>5000</v>
      </c>
      <c r="C35" s="7"/>
      <c r="D35" s="7"/>
      <c r="E35" s="17" t="s">
        <v>40</v>
      </c>
      <c r="F35" s="18">
        <f>SUM(F39*F30,F31:F34)</f>
        <v>26836.7346</v>
      </c>
      <c r="G35" s="7"/>
      <c r="H35" s="7"/>
      <c r="I35" s="7"/>
      <c r="J35" s="7"/>
      <c r="K35" s="7"/>
      <c r="L35" s="7"/>
      <c r="M35" s="7"/>
      <c r="N35" s="7"/>
      <c r="O35" s="7"/>
      <c r="P35" s="7"/>
      <c r="Q35" s="7"/>
      <c r="R35" s="7"/>
      <c r="S35" s="7"/>
    </row>
    <row r="36" spans="1:19" x14ac:dyDescent="0.3">
      <c r="A36" s="16" t="s">
        <v>21</v>
      </c>
      <c r="B36" s="15">
        <v>5000</v>
      </c>
      <c r="C36" s="7"/>
      <c r="D36" s="7"/>
      <c r="E36" s="7"/>
      <c r="F36" s="7"/>
      <c r="G36" s="7"/>
      <c r="H36" s="7"/>
      <c r="I36" s="7"/>
      <c r="J36" s="7"/>
      <c r="K36" s="7"/>
      <c r="L36" s="7"/>
      <c r="M36" s="7"/>
      <c r="N36" s="7"/>
      <c r="O36" s="7"/>
      <c r="P36" s="7"/>
      <c r="Q36" s="7"/>
      <c r="R36" s="7"/>
      <c r="S36" s="7"/>
    </row>
    <row r="37" spans="1:19" x14ac:dyDescent="0.3">
      <c r="A37" s="16" t="s">
        <v>51</v>
      </c>
      <c r="B37" s="22">
        <v>10000</v>
      </c>
      <c r="C37" s="7"/>
      <c r="D37" s="7"/>
      <c r="E37" s="69" t="s">
        <v>65</v>
      </c>
      <c r="F37" s="70"/>
      <c r="G37" s="7"/>
      <c r="H37" s="7"/>
      <c r="I37" s="7"/>
      <c r="J37" s="7"/>
      <c r="K37" s="7"/>
      <c r="L37" s="7"/>
      <c r="M37" s="7"/>
      <c r="N37" s="7"/>
      <c r="O37" s="7"/>
      <c r="P37" s="7"/>
      <c r="Q37" s="7"/>
      <c r="R37" s="7"/>
      <c r="S37" s="7"/>
    </row>
    <row r="38" spans="1:19" x14ac:dyDescent="0.3">
      <c r="A38" s="16" t="s">
        <v>22</v>
      </c>
      <c r="B38" s="15"/>
      <c r="C38" s="7"/>
      <c r="D38" s="7"/>
      <c r="E38" s="16" t="s">
        <v>53</v>
      </c>
      <c r="F38" s="23"/>
      <c r="G38" s="7"/>
      <c r="H38" s="7"/>
      <c r="I38" s="7"/>
      <c r="J38" s="7"/>
      <c r="K38" s="7"/>
      <c r="L38" s="7"/>
      <c r="M38" s="7"/>
      <c r="N38" s="7"/>
      <c r="O38" s="7"/>
      <c r="P38" s="7"/>
      <c r="Q38" s="7"/>
      <c r="R38" s="7"/>
      <c r="S38" s="7"/>
    </row>
    <row r="39" spans="1:19" ht="15.75" customHeight="1" x14ac:dyDescent="0.3">
      <c r="A39" s="17" t="s">
        <v>23</v>
      </c>
      <c r="B39" s="24">
        <f>IF(B38="",SUM(B29:B37),B38)</f>
        <v>50000</v>
      </c>
      <c r="C39" s="7"/>
      <c r="D39" s="7"/>
      <c r="E39" s="13" t="s">
        <v>5</v>
      </c>
      <c r="F39" s="12">
        <v>686836.73</v>
      </c>
      <c r="G39" s="7"/>
      <c r="H39" s="7"/>
      <c r="I39" s="7"/>
      <c r="J39" s="7"/>
      <c r="K39" s="7"/>
      <c r="L39" s="7"/>
      <c r="M39" s="7"/>
      <c r="N39" s="7"/>
      <c r="O39" s="7"/>
      <c r="P39" s="7"/>
      <c r="Q39" s="7"/>
      <c r="R39" s="7"/>
      <c r="S39" s="7"/>
    </row>
    <row r="40" spans="1:19" ht="15.75" customHeight="1" x14ac:dyDescent="0.3">
      <c r="A40" s="7"/>
      <c r="B40" s="7"/>
      <c r="C40" s="7"/>
      <c r="D40" s="7"/>
      <c r="E40" s="16" t="s">
        <v>63</v>
      </c>
      <c r="F40" s="25">
        <f>F41-B42</f>
        <v>209389.9966666667</v>
      </c>
      <c r="G40" s="7"/>
      <c r="H40" s="7"/>
      <c r="I40" s="7"/>
      <c r="J40" s="7"/>
      <c r="K40" s="7"/>
      <c r="L40" s="7"/>
      <c r="M40" s="7"/>
      <c r="N40" s="7"/>
      <c r="O40" s="7"/>
      <c r="P40" s="7"/>
      <c r="Q40" s="7"/>
      <c r="R40" s="7"/>
      <c r="S40" s="7"/>
    </row>
    <row r="41" spans="1:19" ht="15.75" customHeight="1" x14ac:dyDescent="0.3">
      <c r="A41" s="65" t="s">
        <v>52</v>
      </c>
      <c r="B41" s="66"/>
      <c r="C41" s="16"/>
      <c r="D41" s="7"/>
      <c r="E41" s="16" t="s">
        <v>56</v>
      </c>
      <c r="F41" s="25">
        <f>B26+B39+B52+F27</f>
        <v>609389.9966666667</v>
      </c>
      <c r="G41" s="7"/>
      <c r="H41" s="7"/>
      <c r="I41" s="7"/>
      <c r="J41" s="7"/>
      <c r="K41" s="7"/>
      <c r="L41" s="7"/>
      <c r="M41" s="7"/>
      <c r="N41" s="7"/>
      <c r="O41" s="7"/>
      <c r="P41" s="7"/>
      <c r="Q41" s="7"/>
      <c r="R41" s="7"/>
      <c r="S41" s="7"/>
    </row>
    <row r="42" spans="1:19" x14ac:dyDescent="0.3">
      <c r="A42" s="13" t="s">
        <v>24</v>
      </c>
      <c r="B42" s="26">
        <v>400000</v>
      </c>
      <c r="C42" s="7"/>
      <c r="D42" s="7"/>
      <c r="E42" s="16" t="s">
        <v>57</v>
      </c>
      <c r="F42" s="25">
        <f>F39-F35</f>
        <v>659999.99540000001</v>
      </c>
      <c r="G42" s="7"/>
      <c r="H42" s="7"/>
      <c r="I42" s="7"/>
      <c r="J42" s="7"/>
      <c r="K42" s="7"/>
      <c r="L42" s="7"/>
      <c r="M42" s="7"/>
      <c r="N42" s="7"/>
      <c r="O42" s="7"/>
      <c r="P42" s="7"/>
      <c r="Q42" s="7"/>
      <c r="R42" s="7"/>
      <c r="S42" s="7"/>
    </row>
    <row r="43" spans="1:19" x14ac:dyDescent="0.3">
      <c r="A43" s="16" t="s">
        <v>25</v>
      </c>
      <c r="B43" s="27">
        <v>7</v>
      </c>
      <c r="C43" s="7"/>
      <c r="D43" s="7"/>
      <c r="E43" s="17" t="s">
        <v>58</v>
      </c>
      <c r="F43" s="28">
        <f>F42-F41</f>
        <v>50609.998733333312</v>
      </c>
      <c r="G43" s="7"/>
      <c r="H43" s="7"/>
      <c r="I43" s="7"/>
      <c r="J43" s="7"/>
      <c r="K43" s="7"/>
      <c r="L43" s="7"/>
      <c r="M43" s="7"/>
      <c r="N43" s="7"/>
      <c r="O43" s="7"/>
      <c r="P43" s="7"/>
      <c r="Q43" s="7"/>
      <c r="R43" s="7"/>
      <c r="S43" s="7"/>
    </row>
    <row r="44" spans="1:19" x14ac:dyDescent="0.3">
      <c r="A44" s="16" t="s">
        <v>26</v>
      </c>
      <c r="B44" s="29">
        <v>2</v>
      </c>
      <c r="C44" s="7"/>
      <c r="D44" s="7"/>
      <c r="E44" s="3"/>
      <c r="F44" s="3"/>
      <c r="G44" s="7"/>
      <c r="H44" s="7"/>
      <c r="I44" s="7"/>
      <c r="J44" s="7"/>
      <c r="K44" s="7"/>
      <c r="L44" s="7"/>
      <c r="M44" s="7"/>
      <c r="N44" s="7"/>
      <c r="O44" s="7"/>
      <c r="P44" s="7"/>
      <c r="Q44" s="7"/>
      <c r="R44" s="7"/>
      <c r="S44" s="7"/>
    </row>
    <row r="45" spans="1:19" x14ac:dyDescent="0.3">
      <c r="A45" s="16" t="s">
        <v>27</v>
      </c>
      <c r="B45" s="30">
        <f>IF(AND(ISNUMBER(B43),ISNUMBER(B44)),(B43/100/12)*B42,"")</f>
        <v>2333.3333333333335</v>
      </c>
      <c r="C45" s="7"/>
      <c r="D45" s="7"/>
      <c r="E45" s="13" t="s">
        <v>9</v>
      </c>
      <c r="F45" s="31">
        <f>IF(F41=0,0,F43/F41)</f>
        <v>8.3050261753831719E-2</v>
      </c>
      <c r="G45" s="7"/>
      <c r="H45" s="7"/>
      <c r="I45" s="7"/>
      <c r="J45" s="7"/>
      <c r="K45" s="7"/>
      <c r="L45" s="7"/>
      <c r="M45" s="7"/>
      <c r="N45" s="7"/>
      <c r="O45" s="7"/>
      <c r="P45" s="7"/>
      <c r="Q45" s="7"/>
      <c r="R45" s="7"/>
      <c r="S45" s="7"/>
    </row>
    <row r="46" spans="1:19" x14ac:dyDescent="0.3">
      <c r="A46" s="16" t="s">
        <v>28</v>
      </c>
      <c r="B46" s="30">
        <f>B45*B44</f>
        <v>4666.666666666667</v>
      </c>
      <c r="C46" s="7"/>
      <c r="D46" s="7"/>
      <c r="E46" s="16" t="s">
        <v>11</v>
      </c>
      <c r="F46" s="32">
        <f>F45/12*B44</f>
        <v>1.3841710292305286E-2</v>
      </c>
      <c r="G46" s="7"/>
      <c r="H46" s="7"/>
      <c r="I46" s="7"/>
      <c r="J46" s="7"/>
      <c r="K46" s="7"/>
      <c r="L46" s="7"/>
      <c r="M46" s="7"/>
      <c r="N46" s="7"/>
      <c r="O46" s="7"/>
      <c r="P46" s="7"/>
      <c r="Q46" s="7"/>
      <c r="R46" s="7"/>
      <c r="S46" s="7"/>
    </row>
    <row r="47" spans="1:19" x14ac:dyDescent="0.3">
      <c r="A47" s="16" t="s">
        <v>29</v>
      </c>
      <c r="B47" s="15">
        <v>800</v>
      </c>
      <c r="C47" s="7"/>
      <c r="D47" s="7"/>
      <c r="E47" s="16" t="s">
        <v>60</v>
      </c>
      <c r="F47" s="32">
        <f>IF(F40=0,0,F43/F40)</f>
        <v>0.24170208481306135</v>
      </c>
      <c r="G47" s="7"/>
      <c r="H47" s="7"/>
      <c r="I47" s="7"/>
      <c r="J47" s="7"/>
      <c r="K47" s="7"/>
      <c r="L47" s="7"/>
      <c r="M47" s="7"/>
      <c r="N47" s="7"/>
      <c r="O47" s="7"/>
      <c r="P47" s="7"/>
      <c r="Q47" s="7"/>
      <c r="R47" s="7"/>
      <c r="S47" s="7"/>
    </row>
    <row r="48" spans="1:19" x14ac:dyDescent="0.3">
      <c r="A48" s="16" t="s">
        <v>30</v>
      </c>
      <c r="B48" s="15">
        <v>800</v>
      </c>
      <c r="C48" s="7"/>
      <c r="D48" s="7"/>
      <c r="E48" s="17" t="s">
        <v>59</v>
      </c>
      <c r="F48" s="33">
        <f>F47/12*B44</f>
        <v>4.028368080217689E-2</v>
      </c>
      <c r="G48" s="7"/>
      <c r="H48" s="7"/>
      <c r="I48" s="7"/>
      <c r="J48" s="7"/>
      <c r="K48" s="7"/>
      <c r="L48" s="7"/>
      <c r="M48" s="7"/>
      <c r="N48" s="7"/>
      <c r="O48" s="7"/>
      <c r="P48" s="7"/>
      <c r="Q48" s="7"/>
      <c r="R48" s="7"/>
      <c r="S48" s="7"/>
    </row>
    <row r="49" spans="1:19" x14ac:dyDescent="0.3">
      <c r="A49" s="16" t="s">
        <v>31</v>
      </c>
      <c r="B49" s="15">
        <v>800</v>
      </c>
      <c r="C49" s="7"/>
      <c r="D49" s="7"/>
      <c r="E49" s="3"/>
      <c r="F49" s="3"/>
      <c r="G49" s="7"/>
      <c r="H49" s="7"/>
      <c r="I49" s="7"/>
      <c r="J49" s="7"/>
      <c r="K49" s="7"/>
      <c r="L49" s="7"/>
      <c r="M49" s="7"/>
      <c r="N49" s="7"/>
      <c r="O49" s="7"/>
      <c r="P49" s="7"/>
      <c r="Q49" s="7"/>
      <c r="R49" s="7"/>
      <c r="S49" s="7"/>
    </row>
    <row r="50" spans="1:19" x14ac:dyDescent="0.3">
      <c r="A50" s="16" t="s">
        <v>32</v>
      </c>
      <c r="B50" s="15">
        <v>800</v>
      </c>
      <c r="C50" s="7"/>
      <c r="D50" s="7"/>
      <c r="E50" s="13" t="s">
        <v>61</v>
      </c>
      <c r="F50" s="34">
        <f>B42/(B20+B39)</f>
        <v>0.97244733365030245</v>
      </c>
      <c r="G50" s="7"/>
      <c r="H50" s="7"/>
      <c r="I50" s="7"/>
      <c r="J50" s="7"/>
      <c r="K50" s="7"/>
      <c r="L50" s="7"/>
      <c r="M50" s="7"/>
      <c r="N50" s="7"/>
      <c r="O50" s="7"/>
      <c r="P50" s="7"/>
      <c r="Q50" s="7"/>
      <c r="R50" s="7"/>
      <c r="S50" s="7"/>
    </row>
    <row r="51" spans="1:19" x14ac:dyDescent="0.3">
      <c r="A51" s="16" t="s">
        <v>33</v>
      </c>
      <c r="B51" s="15">
        <v>800</v>
      </c>
      <c r="C51" s="7"/>
      <c r="D51" s="7"/>
      <c r="E51" s="16" t="s">
        <v>62</v>
      </c>
      <c r="F51" s="35">
        <f>B42/F41</f>
        <v>0.65639410260749331</v>
      </c>
      <c r="G51" s="7"/>
      <c r="H51" s="7"/>
      <c r="I51" s="7"/>
      <c r="J51" s="7"/>
      <c r="K51" s="7"/>
      <c r="L51" s="7"/>
      <c r="M51" s="7"/>
      <c r="N51" s="7"/>
      <c r="O51" s="7"/>
      <c r="P51" s="7"/>
      <c r="Q51" s="7"/>
      <c r="R51" s="7"/>
      <c r="S51" s="7"/>
    </row>
    <row r="52" spans="1:19" ht="15.75" customHeight="1" x14ac:dyDescent="0.3">
      <c r="A52" s="17" t="s">
        <v>34</v>
      </c>
      <c r="B52" s="20">
        <f>SUM(B45,B47:B51)*B44</f>
        <v>12666.666666666668</v>
      </c>
      <c r="C52" s="7"/>
      <c r="D52" s="7"/>
      <c r="E52" s="17" t="s">
        <v>64</v>
      </c>
      <c r="F52" s="36">
        <f>B42/F39</f>
        <v>0.5823800366646088</v>
      </c>
      <c r="G52" s="7"/>
      <c r="H52" s="7"/>
      <c r="I52" s="7"/>
      <c r="J52" s="7"/>
      <c r="K52" s="7"/>
      <c r="L52" s="7"/>
      <c r="M52" s="7"/>
      <c r="N52" s="7"/>
      <c r="O52" s="7"/>
      <c r="P52" s="7"/>
      <c r="Q52" s="7"/>
      <c r="R52" s="7"/>
      <c r="S52" s="7"/>
    </row>
    <row r="53" spans="1:19" ht="15.75" customHeight="1" x14ac:dyDescent="0.3">
      <c r="A53" s="7"/>
      <c r="B53" s="7"/>
      <c r="C53" s="7"/>
      <c r="D53" s="7"/>
      <c r="E53" s="7"/>
      <c r="F53" s="7"/>
      <c r="G53" s="7"/>
      <c r="H53" s="7"/>
      <c r="I53" s="7"/>
      <c r="J53" s="7"/>
      <c r="K53" s="7"/>
      <c r="L53" s="7"/>
      <c r="M53" s="7"/>
      <c r="N53" s="7"/>
      <c r="O53" s="7"/>
      <c r="P53" s="7"/>
      <c r="Q53" s="7"/>
      <c r="R53" s="7"/>
      <c r="S53" s="7"/>
    </row>
    <row r="54" spans="1:19" ht="15.75" customHeight="1" x14ac:dyDescent="0.3">
      <c r="A54" s="7"/>
      <c r="B54" s="7"/>
      <c r="C54" s="7"/>
      <c r="D54" s="7"/>
      <c r="E54" s="7"/>
      <c r="F54" s="7"/>
      <c r="G54" s="7"/>
      <c r="H54" s="7"/>
      <c r="I54" s="7"/>
      <c r="J54" s="7"/>
      <c r="K54" s="7"/>
      <c r="L54" s="7"/>
      <c r="M54" s="7"/>
      <c r="N54" s="7"/>
      <c r="O54" s="7"/>
      <c r="P54" s="7"/>
      <c r="Q54" s="7"/>
      <c r="R54" s="7"/>
      <c r="S54" s="7"/>
    </row>
    <row r="55" spans="1:19" x14ac:dyDescent="0.3">
      <c r="A55" s="7"/>
      <c r="B55" s="7"/>
      <c r="C55" s="7"/>
      <c r="D55" s="7"/>
      <c r="E55" s="7"/>
      <c r="F55" s="7"/>
      <c r="G55" s="7"/>
      <c r="H55" s="7"/>
      <c r="I55" s="7"/>
      <c r="J55" s="7"/>
      <c r="K55" s="7"/>
      <c r="L55" s="7"/>
      <c r="M55" s="7"/>
      <c r="N55" s="7"/>
      <c r="O55" s="7"/>
      <c r="P55" s="7"/>
      <c r="Q55" s="7"/>
      <c r="R55" s="7"/>
      <c r="S55" s="7"/>
    </row>
    <row r="56" spans="1:19" x14ac:dyDescent="0.3">
      <c r="A56" s="7"/>
      <c r="B56" s="7"/>
      <c r="C56" s="7"/>
      <c r="D56" s="7"/>
      <c r="E56" s="7"/>
      <c r="F56" s="7"/>
      <c r="G56" s="7"/>
      <c r="H56" s="7"/>
      <c r="I56" s="7"/>
      <c r="J56" s="7"/>
      <c r="K56" s="7"/>
      <c r="L56" s="7"/>
      <c r="M56" s="7"/>
      <c r="N56" s="7"/>
      <c r="O56" s="7"/>
      <c r="P56" s="7"/>
      <c r="Q56" s="7"/>
      <c r="R56" s="7"/>
      <c r="S56" s="7"/>
    </row>
    <row r="57" spans="1:19" x14ac:dyDescent="0.3">
      <c r="A57" s="7"/>
      <c r="B57" s="7"/>
      <c r="C57" s="7"/>
      <c r="D57" s="7"/>
      <c r="E57" s="7"/>
      <c r="F57" s="7"/>
      <c r="G57" s="7"/>
      <c r="H57" s="7"/>
      <c r="I57" s="7"/>
      <c r="J57" s="7"/>
      <c r="K57" s="7"/>
      <c r="L57" s="7"/>
      <c r="M57" s="7"/>
      <c r="N57" s="7"/>
      <c r="O57" s="7"/>
      <c r="P57" s="7"/>
      <c r="Q57" s="7"/>
      <c r="R57" s="7"/>
      <c r="S57" s="7"/>
    </row>
    <row r="58" spans="1:19" x14ac:dyDescent="0.3">
      <c r="A58" s="7"/>
      <c r="B58" s="7"/>
      <c r="C58" s="7"/>
      <c r="D58" s="7"/>
      <c r="E58" s="7"/>
      <c r="F58" s="7"/>
      <c r="G58" s="7"/>
      <c r="H58" s="7"/>
      <c r="I58" s="7"/>
      <c r="J58" s="7"/>
      <c r="K58" s="7"/>
      <c r="L58" s="7"/>
      <c r="M58" s="7"/>
      <c r="N58" s="7"/>
      <c r="O58" s="7"/>
      <c r="P58" s="7"/>
      <c r="Q58" s="7"/>
      <c r="R58" s="7"/>
      <c r="S58" s="7"/>
    </row>
    <row r="59" spans="1:19" x14ac:dyDescent="0.3">
      <c r="A59" s="7"/>
      <c r="B59" s="7"/>
      <c r="C59" s="7"/>
      <c r="D59" s="7"/>
      <c r="E59" s="7"/>
      <c r="F59" s="7"/>
      <c r="G59" s="7"/>
      <c r="H59" s="7"/>
      <c r="I59" s="7"/>
      <c r="J59" s="7"/>
      <c r="K59" s="7"/>
      <c r="L59" s="7"/>
      <c r="M59" s="7"/>
      <c r="N59" s="7"/>
      <c r="O59" s="7"/>
      <c r="P59" s="7"/>
      <c r="Q59" s="7"/>
      <c r="R59" s="7"/>
      <c r="S59" s="7"/>
    </row>
    <row r="60" spans="1:19" ht="15.75" customHeight="1" x14ac:dyDescent="0.3">
      <c r="A60" s="7"/>
      <c r="B60" s="7"/>
      <c r="C60" s="7"/>
      <c r="D60" s="7"/>
      <c r="E60" s="7"/>
      <c r="F60" s="7"/>
      <c r="G60" s="7"/>
      <c r="H60" s="7"/>
      <c r="I60" s="7"/>
      <c r="J60" s="7"/>
      <c r="K60" s="7"/>
      <c r="L60" s="7"/>
      <c r="M60" s="7"/>
      <c r="N60" s="7"/>
      <c r="O60" s="7"/>
      <c r="P60" s="7"/>
      <c r="Q60" s="7"/>
      <c r="R60" s="7"/>
      <c r="S60" s="7"/>
    </row>
    <row r="61" spans="1:19" ht="15.75" customHeight="1" x14ac:dyDescent="0.3">
      <c r="A61" s="7"/>
      <c r="B61" s="7"/>
      <c r="C61" s="7"/>
      <c r="D61" s="7"/>
      <c r="E61" s="7"/>
      <c r="F61" s="7"/>
      <c r="G61" s="7"/>
      <c r="H61" s="7"/>
      <c r="I61" s="7"/>
      <c r="J61" s="7"/>
      <c r="K61" s="7"/>
      <c r="L61" s="7"/>
      <c r="M61" s="7"/>
      <c r="N61" s="7"/>
      <c r="O61" s="7"/>
      <c r="P61" s="7"/>
      <c r="Q61" s="7"/>
      <c r="R61" s="7"/>
      <c r="S61" s="7"/>
    </row>
    <row r="62" spans="1:19" ht="15.75" customHeight="1" x14ac:dyDescent="0.3">
      <c r="A62" s="7"/>
      <c r="B62" s="7"/>
      <c r="C62" s="7"/>
      <c r="D62" s="7"/>
      <c r="E62" s="7"/>
      <c r="F62" s="7"/>
      <c r="G62" s="7"/>
      <c r="H62" s="7"/>
      <c r="I62" s="7"/>
      <c r="J62" s="7"/>
      <c r="K62" s="7"/>
      <c r="L62" s="7"/>
      <c r="M62" s="7"/>
      <c r="N62" s="7"/>
      <c r="O62" s="7"/>
      <c r="P62" s="7"/>
      <c r="Q62" s="7"/>
      <c r="R62" s="7"/>
      <c r="S62" s="7"/>
    </row>
    <row r="63" spans="1:19" x14ac:dyDescent="0.3">
      <c r="A63" s="7"/>
      <c r="B63" s="7"/>
      <c r="C63" s="7"/>
      <c r="D63" s="7"/>
      <c r="E63" s="7"/>
      <c r="F63" s="7"/>
      <c r="G63" s="7"/>
      <c r="H63" s="7"/>
      <c r="I63" s="7"/>
      <c r="J63" s="7"/>
      <c r="K63" s="7"/>
      <c r="L63" s="7"/>
      <c r="M63" s="7"/>
      <c r="N63" s="7"/>
      <c r="O63" s="7"/>
      <c r="P63" s="7"/>
      <c r="Q63" s="7"/>
      <c r="R63" s="7"/>
      <c r="S63" s="7"/>
    </row>
    <row r="64" spans="1:19" x14ac:dyDescent="0.3">
      <c r="A64" s="7"/>
      <c r="B64" s="7"/>
      <c r="C64" s="7"/>
      <c r="D64" s="7"/>
      <c r="E64" s="7"/>
      <c r="F64" s="7"/>
      <c r="G64" s="7"/>
      <c r="H64" s="7"/>
      <c r="I64" s="7"/>
      <c r="J64" s="7"/>
      <c r="K64" s="7"/>
      <c r="L64" s="7"/>
      <c r="M64" s="7"/>
      <c r="N64" s="7"/>
      <c r="O64" s="7"/>
      <c r="P64" s="7"/>
      <c r="Q64" s="7"/>
      <c r="R64" s="7"/>
      <c r="S64" s="7"/>
    </row>
    <row r="65" spans="1:19" x14ac:dyDescent="0.3">
      <c r="A65" s="7" t="s">
        <v>127</v>
      </c>
      <c r="B65" s="7"/>
      <c r="C65" s="7"/>
      <c r="D65" s="7"/>
      <c r="E65" s="7"/>
      <c r="F65" s="7"/>
      <c r="G65" s="7"/>
      <c r="H65" s="7"/>
      <c r="I65" s="7"/>
      <c r="J65" s="7"/>
      <c r="K65" s="7"/>
      <c r="L65" s="7"/>
      <c r="M65" s="7"/>
      <c r="N65" s="7"/>
      <c r="O65" s="7"/>
      <c r="P65" s="7"/>
      <c r="Q65" s="7"/>
      <c r="R65" s="7"/>
      <c r="S65" s="7"/>
    </row>
    <row r="66" spans="1:19" x14ac:dyDescent="0.3">
      <c r="A66" s="7" t="s">
        <v>128</v>
      </c>
      <c r="B66" s="7"/>
      <c r="C66" s="7"/>
      <c r="D66" s="7"/>
      <c r="E66" s="7"/>
      <c r="F66" s="7"/>
      <c r="G66" s="7"/>
      <c r="H66" s="7"/>
      <c r="I66" s="7"/>
      <c r="J66" s="7"/>
      <c r="K66" s="7"/>
      <c r="L66" s="7"/>
      <c r="M66" s="7"/>
      <c r="N66" s="7"/>
      <c r="O66" s="7"/>
      <c r="P66" s="7"/>
      <c r="Q66" s="7"/>
      <c r="R66" s="7"/>
      <c r="S66" s="7"/>
    </row>
    <row r="67" spans="1:19" x14ac:dyDescent="0.3">
      <c r="A67" s="7"/>
      <c r="B67" s="7"/>
      <c r="C67" s="7"/>
      <c r="D67" s="7"/>
      <c r="E67" s="7"/>
      <c r="F67" s="7"/>
      <c r="G67" s="7"/>
      <c r="H67" s="7"/>
      <c r="I67" s="7"/>
      <c r="J67" s="7"/>
      <c r="K67" s="7"/>
      <c r="L67" s="7"/>
      <c r="M67" s="7"/>
      <c r="N67" s="7"/>
      <c r="O67" s="7"/>
      <c r="P67" s="7"/>
      <c r="Q67" s="7"/>
      <c r="R67" s="7"/>
      <c r="S67" s="7"/>
    </row>
    <row r="68" spans="1:19" x14ac:dyDescent="0.3">
      <c r="A68" s="7"/>
      <c r="B68" s="7"/>
      <c r="C68" s="7"/>
      <c r="D68" s="7"/>
      <c r="E68" s="7"/>
      <c r="F68" s="7"/>
      <c r="G68" s="7"/>
      <c r="H68" s="7"/>
      <c r="I68" s="7"/>
      <c r="J68" s="7"/>
      <c r="K68" s="7"/>
      <c r="L68" s="7"/>
      <c r="M68" s="7"/>
      <c r="N68" s="7"/>
      <c r="O68" s="7"/>
      <c r="P68" s="7"/>
      <c r="Q68" s="7"/>
      <c r="R68" s="7"/>
      <c r="S68" s="7"/>
    </row>
    <row r="69" spans="1:19" x14ac:dyDescent="0.3">
      <c r="A69" s="7"/>
      <c r="B69" s="7"/>
      <c r="C69" s="7"/>
      <c r="D69" s="7"/>
      <c r="E69" s="7"/>
      <c r="F69" s="7"/>
      <c r="G69" s="7"/>
      <c r="H69" s="7"/>
      <c r="I69" s="7"/>
      <c r="J69" s="7"/>
      <c r="K69" s="7"/>
      <c r="L69" s="7"/>
      <c r="M69" s="7"/>
      <c r="N69" s="7"/>
      <c r="O69" s="7"/>
      <c r="P69" s="7"/>
      <c r="Q69" s="7"/>
      <c r="R69" s="7"/>
      <c r="S69" s="7"/>
    </row>
    <row r="70" spans="1:19" x14ac:dyDescent="0.3">
      <c r="A70" s="7"/>
      <c r="B70" s="7"/>
      <c r="C70" s="7"/>
      <c r="D70" s="7"/>
      <c r="E70" s="7"/>
      <c r="F70" s="7"/>
      <c r="G70" s="7"/>
      <c r="H70" s="7"/>
      <c r="I70" s="7"/>
      <c r="J70" s="7"/>
      <c r="K70" s="7"/>
      <c r="L70" s="7"/>
      <c r="M70" s="7"/>
      <c r="N70" s="7"/>
      <c r="O70" s="7"/>
      <c r="P70" s="7"/>
      <c r="Q70" s="7"/>
      <c r="R70" s="7"/>
      <c r="S70" s="7"/>
    </row>
    <row r="71" spans="1:19" ht="15.75" customHeight="1" x14ac:dyDescent="0.3">
      <c r="A71" s="7"/>
      <c r="B71" s="7"/>
      <c r="C71" s="7"/>
      <c r="D71" s="7"/>
      <c r="E71" s="7"/>
      <c r="F71" s="7"/>
      <c r="G71" s="7"/>
      <c r="H71" s="7"/>
      <c r="I71" s="7"/>
      <c r="J71" s="7"/>
      <c r="K71" s="7"/>
      <c r="L71" s="7"/>
      <c r="M71" s="7"/>
      <c r="N71" s="7"/>
      <c r="O71" s="7"/>
      <c r="P71" s="7"/>
      <c r="Q71" s="7"/>
      <c r="R71" s="7"/>
      <c r="S71" s="7"/>
    </row>
    <row r="72" spans="1:19" x14ac:dyDescent="0.3">
      <c r="A72" s="7" t="s">
        <v>55</v>
      </c>
      <c r="B72" s="7"/>
      <c r="C72" s="7"/>
      <c r="D72" s="7"/>
      <c r="E72" s="3"/>
      <c r="F72" s="3"/>
      <c r="G72" s="7"/>
      <c r="H72" s="7"/>
      <c r="I72" s="7"/>
      <c r="J72" s="7"/>
      <c r="K72" s="7"/>
      <c r="L72" s="7"/>
      <c r="M72" s="7"/>
      <c r="N72" s="7"/>
      <c r="O72" s="7"/>
      <c r="P72" s="7"/>
      <c r="Q72" s="7"/>
      <c r="R72" s="7"/>
      <c r="S72" s="7"/>
    </row>
    <row r="73" spans="1:19" x14ac:dyDescent="0.3">
      <c r="A73" s="7"/>
      <c r="B73" s="7"/>
      <c r="C73" s="7"/>
      <c r="D73" s="7"/>
      <c r="E73" s="3"/>
      <c r="F73" s="3"/>
      <c r="G73" s="7"/>
      <c r="H73" s="7"/>
      <c r="I73" s="7"/>
      <c r="J73" s="7"/>
      <c r="K73" s="7"/>
      <c r="L73" s="7"/>
      <c r="M73" s="7"/>
      <c r="N73" s="7"/>
      <c r="O73" s="7"/>
      <c r="P73" s="7"/>
      <c r="Q73" s="7"/>
      <c r="R73" s="7"/>
      <c r="S73" s="7"/>
    </row>
  </sheetData>
  <sheetProtection algorithmName="SHA-512" hashValue="aTXm0wHGhARWxBNcWlqjQ5hOb+LFhaUUS3Za6r5Jn3RngtXryYEx3HujIEgsz0KjUlXjW+ATgJPVcF3vD1Y7yQ==" saltValue="tP5Mw4G7AftyR8Pl402KZA==" spinCount="100000" sheet="1" objects="1" scenarios="1" selectLockedCells="1" selectUnlockedCells="1"/>
  <mergeCells count="7">
    <mergeCell ref="A15:M15"/>
    <mergeCell ref="A41:B41"/>
    <mergeCell ref="E18:F18"/>
    <mergeCell ref="A19:B19"/>
    <mergeCell ref="A28:B28"/>
    <mergeCell ref="E29:F29"/>
    <mergeCell ref="E37:F37"/>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9ABF8-62BA-46F5-90A1-30A462B4B54E}">
  <dimension ref="A1:G139"/>
  <sheetViews>
    <sheetView workbookViewId="0">
      <selection activeCell="A134" sqref="A134:A135"/>
    </sheetView>
  </sheetViews>
  <sheetFormatPr defaultColWidth="57.77734375" defaultRowHeight="14.4" x14ac:dyDescent="0.3"/>
  <cols>
    <col min="1" max="1" width="48.6640625" style="44" customWidth="1"/>
    <col min="2" max="2" width="139.44140625" style="44" customWidth="1"/>
    <col min="3" max="3" width="202.77734375" style="44" customWidth="1"/>
    <col min="4" max="4" width="57.77734375" style="44"/>
    <col min="5" max="5" width="57.77734375" style="44" customWidth="1"/>
    <col min="6" max="6" width="57.77734375" style="44"/>
    <col min="7" max="7" width="55.77734375" style="44" customWidth="1"/>
    <col min="8" max="16384" width="57.77734375" style="44"/>
  </cols>
  <sheetData>
    <row r="1" spans="1:7" x14ac:dyDescent="0.3">
      <c r="A1" s="7"/>
      <c r="B1" s="7"/>
      <c r="C1" s="7"/>
      <c r="D1" s="7"/>
      <c r="E1" s="7"/>
      <c r="F1" s="7"/>
      <c r="G1" s="7"/>
    </row>
    <row r="2" spans="1:7" x14ac:dyDescent="0.3">
      <c r="A2" s="7"/>
      <c r="B2" s="7"/>
      <c r="C2" s="7"/>
      <c r="D2" s="7"/>
      <c r="E2" s="7"/>
      <c r="F2" s="7"/>
      <c r="G2" s="7"/>
    </row>
    <row r="3" spans="1:7" x14ac:dyDescent="0.3">
      <c r="A3" s="7"/>
      <c r="B3" s="7"/>
      <c r="C3" s="7"/>
      <c r="D3" s="7"/>
      <c r="E3" s="7"/>
      <c r="F3" s="7"/>
      <c r="G3" s="7"/>
    </row>
    <row r="4" spans="1:7" x14ac:dyDescent="0.3">
      <c r="A4" s="7"/>
      <c r="B4" s="7"/>
      <c r="C4" s="7"/>
      <c r="D4" s="7"/>
      <c r="E4" s="7"/>
      <c r="F4" s="7"/>
      <c r="G4" s="7"/>
    </row>
    <row r="5" spans="1:7" x14ac:dyDescent="0.3">
      <c r="A5" s="7"/>
      <c r="B5" s="7"/>
      <c r="C5" s="7"/>
      <c r="D5" s="7"/>
      <c r="E5" s="7"/>
      <c r="F5" s="7"/>
      <c r="G5" s="7"/>
    </row>
    <row r="6" spans="1:7" x14ac:dyDescent="0.3">
      <c r="A6" s="7"/>
      <c r="B6" s="7"/>
      <c r="C6" s="7"/>
      <c r="D6" s="7"/>
      <c r="E6" s="7"/>
      <c r="F6" s="7"/>
      <c r="G6" s="7"/>
    </row>
    <row r="7" spans="1:7" x14ac:dyDescent="0.3">
      <c r="A7" s="7"/>
      <c r="B7" s="7"/>
      <c r="C7" s="7"/>
      <c r="D7" s="7"/>
      <c r="E7" s="7"/>
      <c r="F7" s="7"/>
      <c r="G7" s="7"/>
    </row>
    <row r="8" spans="1:7" x14ac:dyDescent="0.3">
      <c r="A8" s="7"/>
      <c r="B8" s="7"/>
      <c r="C8" s="7"/>
      <c r="D8" s="7"/>
      <c r="E8" s="7"/>
      <c r="F8" s="7"/>
      <c r="G8" s="7"/>
    </row>
    <row r="9" spans="1:7" ht="15" thickBot="1" x14ac:dyDescent="0.35">
      <c r="A9" s="7"/>
      <c r="B9" s="7"/>
      <c r="C9" s="7"/>
      <c r="D9" s="7"/>
      <c r="E9" s="7"/>
      <c r="F9" s="7"/>
      <c r="G9" s="7"/>
    </row>
    <row r="10" spans="1:7" x14ac:dyDescent="0.3">
      <c r="A10" s="45"/>
      <c r="B10" s="46"/>
      <c r="C10" s="7"/>
      <c r="D10" s="7"/>
      <c r="E10" s="7"/>
      <c r="F10" s="7"/>
      <c r="G10" s="7"/>
    </row>
    <row r="11" spans="1:7" x14ac:dyDescent="0.3">
      <c r="A11" s="47" t="s">
        <v>69</v>
      </c>
      <c r="B11" s="6"/>
      <c r="C11" s="7"/>
      <c r="D11" s="7"/>
      <c r="E11" s="7"/>
      <c r="F11" s="7"/>
      <c r="G11" s="7"/>
    </row>
    <row r="12" spans="1:7" ht="24" x14ac:dyDescent="0.3">
      <c r="A12" s="48"/>
      <c r="B12" s="6"/>
      <c r="C12" s="7"/>
      <c r="D12" s="7"/>
      <c r="E12" s="7"/>
      <c r="F12" s="7"/>
      <c r="G12" s="7"/>
    </row>
    <row r="13" spans="1:7" x14ac:dyDescent="0.3">
      <c r="A13" s="47" t="s">
        <v>70</v>
      </c>
      <c r="B13" s="6"/>
      <c r="C13" s="7"/>
      <c r="D13" s="7"/>
      <c r="E13" s="7"/>
      <c r="F13" s="7"/>
      <c r="G13" s="7"/>
    </row>
    <row r="14" spans="1:7" ht="18.600000000000001" x14ac:dyDescent="0.3">
      <c r="A14" s="49"/>
      <c r="B14" s="6"/>
      <c r="C14" s="7"/>
      <c r="D14" s="7"/>
      <c r="E14" s="7"/>
      <c r="F14" s="7"/>
      <c r="G14" s="7"/>
    </row>
    <row r="15" spans="1:7" x14ac:dyDescent="0.3">
      <c r="A15" s="47"/>
      <c r="B15" s="6"/>
      <c r="C15" s="7"/>
      <c r="D15" s="7"/>
      <c r="E15" s="7"/>
      <c r="F15" s="7"/>
      <c r="G15" s="7"/>
    </row>
    <row r="16" spans="1:7" ht="18.600000000000001" x14ac:dyDescent="0.3">
      <c r="A16" s="49"/>
      <c r="B16" s="6"/>
      <c r="C16" s="7"/>
      <c r="D16" s="7"/>
      <c r="E16" s="7"/>
      <c r="F16" s="7"/>
      <c r="G16" s="7"/>
    </row>
    <row r="17" spans="1:7" x14ac:dyDescent="0.3">
      <c r="A17" s="47" t="s">
        <v>71</v>
      </c>
      <c r="B17" s="6"/>
      <c r="C17" s="7"/>
      <c r="D17" s="7"/>
      <c r="E17" s="7"/>
      <c r="F17" s="7"/>
      <c r="G17" s="7"/>
    </row>
    <row r="18" spans="1:7" x14ac:dyDescent="0.3">
      <c r="A18" s="47"/>
      <c r="B18" s="6"/>
      <c r="C18" s="7"/>
      <c r="D18" s="7"/>
      <c r="E18" s="7"/>
      <c r="F18" s="7"/>
      <c r="G18" s="7"/>
    </row>
    <row r="19" spans="1:7" x14ac:dyDescent="0.3">
      <c r="A19" s="50" t="s">
        <v>72</v>
      </c>
      <c r="B19" s="6"/>
      <c r="C19" s="7"/>
      <c r="D19" s="7"/>
      <c r="E19" s="7"/>
      <c r="F19" s="7"/>
      <c r="G19" s="7"/>
    </row>
    <row r="20" spans="1:7" x14ac:dyDescent="0.3">
      <c r="A20" s="47"/>
      <c r="B20" s="6"/>
      <c r="C20" s="7"/>
      <c r="D20" s="7"/>
      <c r="E20" s="7"/>
      <c r="F20" s="7"/>
      <c r="G20" s="7"/>
    </row>
    <row r="21" spans="1:7" ht="18.600000000000001" x14ac:dyDescent="0.3">
      <c r="A21" s="49" t="s">
        <v>104</v>
      </c>
      <c r="B21" s="6"/>
      <c r="C21" s="7"/>
      <c r="D21" s="7"/>
      <c r="E21" s="7"/>
      <c r="F21" s="7"/>
      <c r="G21" s="7"/>
    </row>
    <row r="22" spans="1:7" x14ac:dyDescent="0.3">
      <c r="A22" s="47"/>
      <c r="B22" s="6"/>
      <c r="C22" s="7"/>
      <c r="D22" s="7"/>
      <c r="E22" s="7"/>
      <c r="F22" s="7"/>
      <c r="G22" s="7"/>
    </row>
    <row r="23" spans="1:7" x14ac:dyDescent="0.3">
      <c r="A23" s="47" t="s">
        <v>105</v>
      </c>
      <c r="B23" s="6"/>
      <c r="C23" s="7"/>
      <c r="D23" s="7"/>
      <c r="E23" s="7"/>
      <c r="F23" s="7"/>
      <c r="G23" s="7"/>
    </row>
    <row r="24" spans="1:7" ht="16.2" x14ac:dyDescent="0.3">
      <c r="A24" s="51"/>
      <c r="B24" s="6"/>
      <c r="C24" s="7"/>
      <c r="D24" s="7"/>
      <c r="E24" s="7"/>
      <c r="F24" s="7"/>
      <c r="G24" s="7"/>
    </row>
    <row r="25" spans="1:7" x14ac:dyDescent="0.3">
      <c r="A25" s="47" t="s">
        <v>73</v>
      </c>
      <c r="B25" s="6"/>
      <c r="C25" s="7"/>
      <c r="D25" s="7"/>
      <c r="E25" s="7"/>
      <c r="F25" s="7"/>
      <c r="G25" s="7"/>
    </row>
    <row r="26" spans="1:7" x14ac:dyDescent="0.3">
      <c r="A26" s="52"/>
      <c r="B26" s="53"/>
      <c r="C26" s="7"/>
      <c r="D26" s="7"/>
      <c r="E26" s="7"/>
      <c r="F26" s="7"/>
      <c r="G26" s="7"/>
    </row>
    <row r="27" spans="1:7" ht="28.8" x14ac:dyDescent="0.3">
      <c r="A27" s="54" t="s">
        <v>106</v>
      </c>
      <c r="B27" s="55"/>
      <c r="C27" s="7"/>
      <c r="D27" s="7"/>
      <c r="E27" s="7"/>
      <c r="F27" s="7"/>
      <c r="G27" s="7"/>
    </row>
    <row r="28" spans="1:7" x14ac:dyDescent="0.3">
      <c r="A28" s="54"/>
      <c r="B28" s="55"/>
      <c r="C28" s="7"/>
      <c r="D28" s="7"/>
      <c r="E28" s="7"/>
      <c r="F28" s="7"/>
      <c r="G28" s="7"/>
    </row>
    <row r="29" spans="1:7" ht="28.8" x14ac:dyDescent="0.3">
      <c r="A29" s="54" t="s">
        <v>74</v>
      </c>
      <c r="B29" s="55"/>
      <c r="C29" s="7"/>
      <c r="D29" s="7"/>
      <c r="E29" s="7"/>
      <c r="F29" s="7"/>
      <c r="G29" s="7"/>
    </row>
    <row r="30" spans="1:7" x14ac:dyDescent="0.3">
      <c r="A30" s="47"/>
      <c r="B30" s="6"/>
      <c r="C30" s="7"/>
      <c r="D30" s="7"/>
      <c r="E30" s="7"/>
      <c r="F30" s="7"/>
      <c r="G30" s="7"/>
    </row>
    <row r="31" spans="1:7" x14ac:dyDescent="0.3">
      <c r="A31" s="47"/>
      <c r="B31" s="6"/>
      <c r="C31" s="7"/>
      <c r="D31" s="7"/>
      <c r="E31" s="7"/>
      <c r="F31" s="7"/>
      <c r="G31" s="7"/>
    </row>
    <row r="32" spans="1:7" ht="18.600000000000001" x14ac:dyDescent="0.3">
      <c r="A32" s="49"/>
      <c r="B32" s="6"/>
      <c r="C32" s="7"/>
      <c r="D32" s="7"/>
      <c r="E32" s="7"/>
      <c r="F32" s="7"/>
      <c r="G32" s="7"/>
    </row>
    <row r="33" spans="1:7" x14ac:dyDescent="0.3">
      <c r="A33" s="47" t="s">
        <v>75</v>
      </c>
      <c r="B33" s="6"/>
      <c r="C33" s="7"/>
      <c r="D33" s="7"/>
      <c r="E33" s="7"/>
      <c r="F33" s="7"/>
      <c r="G33" s="7"/>
    </row>
    <row r="34" spans="1:7" ht="16.2" x14ac:dyDescent="0.3">
      <c r="A34" s="51"/>
      <c r="B34" s="6"/>
      <c r="C34" s="7"/>
      <c r="D34" s="7"/>
      <c r="E34" s="7"/>
      <c r="F34" s="7"/>
      <c r="G34" s="7"/>
    </row>
    <row r="35" spans="1:7" x14ac:dyDescent="0.3">
      <c r="A35" s="50" t="s">
        <v>76</v>
      </c>
      <c r="B35" s="6"/>
      <c r="C35" s="7"/>
      <c r="D35" s="7"/>
      <c r="E35" s="7"/>
      <c r="F35" s="7"/>
      <c r="G35" s="7"/>
    </row>
    <row r="36" spans="1:7" x14ac:dyDescent="0.3">
      <c r="A36" s="50"/>
      <c r="B36" s="6"/>
      <c r="C36" s="7"/>
      <c r="D36" s="7"/>
      <c r="E36" s="7"/>
      <c r="F36" s="7"/>
      <c r="G36" s="7"/>
    </row>
    <row r="37" spans="1:7" x14ac:dyDescent="0.3">
      <c r="A37" s="50" t="s">
        <v>77</v>
      </c>
      <c r="B37" s="6"/>
      <c r="C37" s="7"/>
      <c r="D37" s="7"/>
      <c r="E37" s="7"/>
      <c r="F37" s="7"/>
      <c r="G37" s="7"/>
    </row>
    <row r="38" spans="1:7" x14ac:dyDescent="0.3">
      <c r="A38" s="47"/>
      <c r="B38" s="6"/>
      <c r="C38" s="7"/>
      <c r="D38" s="7"/>
      <c r="E38" s="7"/>
      <c r="F38" s="7"/>
      <c r="G38" s="7"/>
    </row>
    <row r="39" spans="1:7" ht="16.2" x14ac:dyDescent="0.3">
      <c r="A39" s="51" t="s">
        <v>107</v>
      </c>
      <c r="B39" s="6"/>
      <c r="C39" s="7"/>
      <c r="D39" s="7"/>
      <c r="E39" s="7"/>
      <c r="F39" s="7"/>
      <c r="G39" s="7"/>
    </row>
    <row r="40" spans="1:7" x14ac:dyDescent="0.3">
      <c r="A40" s="47"/>
      <c r="B40" s="6"/>
      <c r="C40" s="7"/>
      <c r="D40" s="7"/>
      <c r="E40" s="7"/>
      <c r="F40" s="7"/>
      <c r="G40" s="7"/>
    </row>
    <row r="41" spans="1:7" x14ac:dyDescent="0.3">
      <c r="A41" s="56" t="s">
        <v>108</v>
      </c>
      <c r="B41" s="6"/>
      <c r="C41" s="7"/>
      <c r="D41" s="7"/>
      <c r="E41" s="7"/>
      <c r="F41" s="7"/>
      <c r="G41" s="7"/>
    </row>
    <row r="42" spans="1:7" x14ac:dyDescent="0.3">
      <c r="A42" s="47"/>
      <c r="B42" s="6"/>
      <c r="C42" s="7"/>
      <c r="D42" s="7"/>
      <c r="E42" s="7"/>
      <c r="F42" s="7"/>
      <c r="G42" s="7"/>
    </row>
    <row r="43" spans="1:7" ht="16.2" x14ac:dyDescent="0.3">
      <c r="A43" s="51" t="s">
        <v>78</v>
      </c>
      <c r="B43" s="6"/>
      <c r="C43" s="7"/>
      <c r="D43" s="7"/>
      <c r="E43" s="7"/>
      <c r="F43" s="7"/>
      <c r="G43" s="7"/>
    </row>
    <row r="44" spans="1:7" x14ac:dyDescent="0.3">
      <c r="A44" s="50"/>
      <c r="B44" s="6"/>
      <c r="C44" s="7"/>
      <c r="D44" s="7"/>
      <c r="E44" s="7"/>
      <c r="F44" s="7"/>
      <c r="G44" s="7"/>
    </row>
    <row r="45" spans="1:7" x14ac:dyDescent="0.3">
      <c r="A45" s="50" t="s">
        <v>79</v>
      </c>
      <c r="B45" s="6"/>
      <c r="C45" s="7"/>
      <c r="D45" s="7"/>
      <c r="E45" s="7"/>
      <c r="F45" s="7"/>
      <c r="G45" s="7"/>
    </row>
    <row r="46" spans="1:7" x14ac:dyDescent="0.3">
      <c r="A46" s="47"/>
      <c r="B46" s="6"/>
      <c r="C46" s="7"/>
      <c r="D46" s="7"/>
      <c r="E46" s="7"/>
      <c r="F46" s="7"/>
      <c r="G46" s="7"/>
    </row>
    <row r="47" spans="1:7" x14ac:dyDescent="0.3">
      <c r="A47" s="47" t="s">
        <v>80</v>
      </c>
      <c r="B47" s="6"/>
      <c r="C47" s="7"/>
      <c r="D47" s="7"/>
      <c r="E47" s="7"/>
      <c r="F47" s="7"/>
      <c r="G47" s="7"/>
    </row>
    <row r="48" spans="1:7" x14ac:dyDescent="0.3">
      <c r="A48" s="47"/>
      <c r="B48" s="6"/>
      <c r="C48" s="7"/>
      <c r="D48" s="7"/>
      <c r="E48" s="7"/>
      <c r="F48" s="7"/>
      <c r="G48" s="7"/>
    </row>
    <row r="49" spans="1:7" ht="18.600000000000001" x14ac:dyDescent="0.3">
      <c r="A49" s="49" t="s">
        <v>81</v>
      </c>
      <c r="B49" s="6"/>
      <c r="C49" s="7"/>
      <c r="D49" s="7"/>
      <c r="E49" s="7"/>
      <c r="F49" s="7"/>
      <c r="G49" s="7"/>
    </row>
    <row r="50" spans="1:7" x14ac:dyDescent="0.3">
      <c r="A50" s="50"/>
      <c r="B50" s="6"/>
      <c r="C50" s="7"/>
      <c r="D50" s="7"/>
      <c r="E50" s="7"/>
      <c r="F50" s="7"/>
      <c r="G50" s="7"/>
    </row>
    <row r="51" spans="1:7" x14ac:dyDescent="0.3">
      <c r="A51" s="50" t="s">
        <v>109</v>
      </c>
      <c r="B51" s="6"/>
      <c r="C51" s="7"/>
      <c r="D51" s="7"/>
      <c r="E51" s="7"/>
      <c r="F51" s="7"/>
      <c r="G51" s="7"/>
    </row>
    <row r="52" spans="1:7" x14ac:dyDescent="0.3">
      <c r="A52" s="50"/>
      <c r="B52" s="6"/>
      <c r="C52" s="7"/>
      <c r="D52" s="7"/>
      <c r="E52" s="7"/>
      <c r="F52" s="7"/>
      <c r="G52" s="7"/>
    </row>
    <row r="53" spans="1:7" x14ac:dyDescent="0.3">
      <c r="A53" s="50" t="s">
        <v>110</v>
      </c>
      <c r="B53" s="6"/>
      <c r="C53" s="7"/>
      <c r="D53" s="7"/>
      <c r="E53" s="7"/>
      <c r="F53" s="7"/>
      <c r="G53" s="7"/>
    </row>
    <row r="54" spans="1:7" x14ac:dyDescent="0.3">
      <c r="A54" s="50"/>
      <c r="B54" s="6"/>
      <c r="C54" s="7"/>
      <c r="D54" s="7"/>
      <c r="E54" s="7"/>
      <c r="F54" s="7"/>
      <c r="G54" s="7"/>
    </row>
    <row r="55" spans="1:7" x14ac:dyDescent="0.3">
      <c r="A55" s="56" t="s">
        <v>82</v>
      </c>
      <c r="B55" s="6"/>
      <c r="C55" s="7"/>
      <c r="D55" s="7"/>
      <c r="E55" s="7"/>
      <c r="F55" s="7"/>
      <c r="G55" s="7"/>
    </row>
    <row r="56" spans="1:7" x14ac:dyDescent="0.3">
      <c r="A56" s="47"/>
      <c r="B56" s="6"/>
      <c r="C56" s="7"/>
      <c r="D56" s="7"/>
      <c r="E56" s="7"/>
      <c r="F56" s="7"/>
      <c r="G56" s="7"/>
    </row>
    <row r="57" spans="1:7" ht="18.600000000000001" x14ac:dyDescent="0.3">
      <c r="A57" s="49" t="s">
        <v>83</v>
      </c>
      <c r="B57" s="6"/>
      <c r="C57" s="7"/>
      <c r="D57" s="7"/>
      <c r="E57" s="7"/>
      <c r="F57" s="7"/>
      <c r="G57" s="7"/>
    </row>
    <row r="58" spans="1:7" x14ac:dyDescent="0.3">
      <c r="A58" s="47"/>
      <c r="B58" s="6"/>
      <c r="C58" s="7"/>
      <c r="D58" s="7"/>
      <c r="E58" s="7"/>
      <c r="F58" s="7"/>
      <c r="G58" s="7"/>
    </row>
    <row r="59" spans="1:7" x14ac:dyDescent="0.3">
      <c r="A59" s="57" t="s">
        <v>84</v>
      </c>
      <c r="B59" s="6"/>
      <c r="C59" s="7"/>
      <c r="D59" s="7"/>
      <c r="E59" s="7"/>
      <c r="F59" s="7"/>
      <c r="G59" s="7"/>
    </row>
    <row r="60" spans="1:7" x14ac:dyDescent="0.3">
      <c r="A60" s="57"/>
      <c r="B60" s="6"/>
      <c r="C60" s="7"/>
      <c r="D60" s="7"/>
      <c r="E60" s="7"/>
      <c r="F60" s="7"/>
      <c r="G60" s="7"/>
    </row>
    <row r="61" spans="1:7" x14ac:dyDescent="0.3">
      <c r="A61" s="57" t="s">
        <v>85</v>
      </c>
      <c r="B61" s="6"/>
      <c r="C61" s="7"/>
      <c r="D61" s="7"/>
      <c r="E61" s="7"/>
      <c r="F61" s="7"/>
      <c r="G61" s="7"/>
    </row>
    <row r="62" spans="1:7" x14ac:dyDescent="0.3">
      <c r="A62" s="58"/>
      <c r="B62" s="6"/>
      <c r="C62" s="7"/>
      <c r="D62" s="7"/>
      <c r="E62" s="7"/>
      <c r="F62" s="7"/>
      <c r="G62" s="7"/>
    </row>
    <row r="63" spans="1:7" x14ac:dyDescent="0.3">
      <c r="A63" s="47"/>
      <c r="B63" s="6"/>
      <c r="C63" s="7"/>
      <c r="D63" s="7"/>
      <c r="E63" s="7"/>
      <c r="F63" s="7"/>
      <c r="G63" s="7"/>
    </row>
    <row r="64" spans="1:7" x14ac:dyDescent="0.3">
      <c r="A64" s="47"/>
      <c r="B64" s="6"/>
      <c r="C64" s="7"/>
      <c r="D64" s="7"/>
      <c r="E64" s="7"/>
      <c r="F64" s="7"/>
      <c r="G64" s="7"/>
    </row>
    <row r="65" spans="1:7" x14ac:dyDescent="0.3">
      <c r="A65" s="47" t="s">
        <v>86</v>
      </c>
      <c r="B65" s="6"/>
      <c r="C65" s="7"/>
      <c r="D65" s="7"/>
      <c r="E65" s="7"/>
      <c r="F65" s="7"/>
      <c r="G65" s="7"/>
    </row>
    <row r="66" spans="1:7" x14ac:dyDescent="0.3">
      <c r="A66" s="47"/>
      <c r="B66" s="6"/>
      <c r="C66" s="7"/>
      <c r="D66" s="7"/>
      <c r="E66" s="7"/>
      <c r="F66" s="7"/>
      <c r="G66" s="7"/>
    </row>
    <row r="67" spans="1:7" x14ac:dyDescent="0.3">
      <c r="A67" s="47" t="s">
        <v>87</v>
      </c>
      <c r="B67" s="6"/>
      <c r="C67" s="7"/>
      <c r="D67" s="7"/>
      <c r="E67" s="7"/>
      <c r="F67" s="7"/>
      <c r="G67" s="7"/>
    </row>
    <row r="68" spans="1:7" x14ac:dyDescent="0.3">
      <c r="A68" s="47"/>
      <c r="B68" s="6"/>
      <c r="C68" s="7"/>
      <c r="D68" s="7"/>
      <c r="E68" s="7"/>
      <c r="F68" s="7"/>
      <c r="G68" s="7"/>
    </row>
    <row r="69" spans="1:7" x14ac:dyDescent="0.3">
      <c r="A69" s="47" t="s">
        <v>88</v>
      </c>
      <c r="B69" s="6"/>
      <c r="C69" s="7"/>
      <c r="D69" s="7"/>
      <c r="E69" s="7"/>
      <c r="F69" s="7"/>
      <c r="G69" s="7"/>
    </row>
    <row r="70" spans="1:7" x14ac:dyDescent="0.3">
      <c r="A70" s="47"/>
      <c r="B70" s="6"/>
      <c r="C70" s="7"/>
      <c r="D70" s="7"/>
      <c r="E70" s="7"/>
      <c r="F70" s="7"/>
      <c r="G70" s="7"/>
    </row>
    <row r="71" spans="1:7" x14ac:dyDescent="0.3">
      <c r="A71" s="47" t="s">
        <v>89</v>
      </c>
      <c r="B71" s="6"/>
      <c r="C71" s="7"/>
      <c r="D71" s="7"/>
      <c r="E71" s="7"/>
      <c r="F71" s="7"/>
      <c r="G71" s="7"/>
    </row>
    <row r="72" spans="1:7" x14ac:dyDescent="0.3">
      <c r="A72" s="47"/>
      <c r="B72" s="6"/>
      <c r="C72" s="7"/>
      <c r="D72" s="7"/>
      <c r="E72" s="7"/>
      <c r="F72" s="7"/>
      <c r="G72" s="7"/>
    </row>
    <row r="73" spans="1:7" x14ac:dyDescent="0.3">
      <c r="A73" s="47" t="s">
        <v>90</v>
      </c>
      <c r="B73" s="6"/>
      <c r="C73" s="7"/>
      <c r="D73" s="7"/>
      <c r="E73" s="7"/>
      <c r="F73" s="7"/>
      <c r="G73" s="7"/>
    </row>
    <row r="74" spans="1:7" x14ac:dyDescent="0.3">
      <c r="A74" s="47"/>
      <c r="B74" s="6"/>
      <c r="C74" s="7"/>
      <c r="D74" s="7"/>
      <c r="E74" s="7"/>
      <c r="F74" s="7"/>
      <c r="G74" s="7"/>
    </row>
    <row r="75" spans="1:7" x14ac:dyDescent="0.3">
      <c r="A75" s="47" t="s">
        <v>111</v>
      </c>
      <c r="B75" s="6"/>
      <c r="C75" s="7"/>
      <c r="D75" s="7"/>
      <c r="E75" s="7"/>
      <c r="F75" s="7"/>
      <c r="G75" s="7"/>
    </row>
    <row r="76" spans="1:7" x14ac:dyDescent="0.3">
      <c r="A76" s="47"/>
      <c r="B76" s="6"/>
      <c r="C76" s="7"/>
      <c r="D76" s="7"/>
      <c r="E76" s="7"/>
      <c r="F76" s="7"/>
      <c r="G76" s="7"/>
    </row>
    <row r="77" spans="1:7" x14ac:dyDescent="0.3">
      <c r="A77" s="47" t="s">
        <v>112</v>
      </c>
      <c r="B77" s="6"/>
      <c r="C77" s="7"/>
      <c r="D77" s="7"/>
      <c r="E77" s="7"/>
      <c r="F77" s="7"/>
      <c r="G77" s="7"/>
    </row>
    <row r="78" spans="1:7" x14ac:dyDescent="0.3">
      <c r="A78" s="47"/>
      <c r="B78" s="6"/>
      <c r="C78" s="7"/>
      <c r="D78" s="7"/>
      <c r="E78" s="7"/>
      <c r="F78" s="7"/>
      <c r="G78" s="7"/>
    </row>
    <row r="79" spans="1:7" x14ac:dyDescent="0.3">
      <c r="A79" s="47" t="s">
        <v>91</v>
      </c>
      <c r="B79" s="6"/>
      <c r="C79" s="7"/>
      <c r="D79" s="7"/>
      <c r="E79" s="7"/>
      <c r="F79" s="7"/>
      <c r="G79" s="7"/>
    </row>
    <row r="80" spans="1:7" x14ac:dyDescent="0.3">
      <c r="A80" s="47"/>
      <c r="B80" s="6"/>
      <c r="C80" s="7"/>
      <c r="D80" s="7"/>
      <c r="E80" s="7"/>
      <c r="F80" s="7"/>
      <c r="G80" s="7"/>
    </row>
    <row r="81" spans="1:7" x14ac:dyDescent="0.3">
      <c r="A81" s="47" t="s">
        <v>92</v>
      </c>
      <c r="B81" s="6"/>
      <c r="C81" s="7"/>
      <c r="D81" s="7"/>
      <c r="E81" s="7"/>
      <c r="F81" s="7"/>
      <c r="G81" s="7"/>
    </row>
    <row r="82" spans="1:7" x14ac:dyDescent="0.3">
      <c r="A82" s="47"/>
      <c r="B82" s="6"/>
      <c r="C82" s="7"/>
      <c r="D82" s="7"/>
      <c r="E82" s="7"/>
      <c r="F82" s="7"/>
      <c r="G82" s="7"/>
    </row>
    <row r="83" spans="1:7" x14ac:dyDescent="0.3">
      <c r="A83" s="47" t="s">
        <v>113</v>
      </c>
      <c r="B83" s="6"/>
      <c r="C83" s="7"/>
      <c r="D83" s="7"/>
      <c r="E83" s="7"/>
      <c r="F83" s="7"/>
      <c r="G83" s="7"/>
    </row>
    <row r="84" spans="1:7" x14ac:dyDescent="0.3">
      <c r="A84" s="47"/>
      <c r="B84" s="6"/>
      <c r="C84" s="7"/>
      <c r="D84" s="7"/>
      <c r="E84" s="7"/>
      <c r="F84" s="7"/>
      <c r="G84" s="7"/>
    </row>
    <row r="85" spans="1:7" x14ac:dyDescent="0.3">
      <c r="A85" s="47" t="s">
        <v>93</v>
      </c>
      <c r="B85" s="6"/>
      <c r="C85" s="7"/>
      <c r="D85" s="7"/>
      <c r="E85" s="7"/>
      <c r="F85" s="7"/>
      <c r="G85" s="7"/>
    </row>
    <row r="86" spans="1:7" x14ac:dyDescent="0.3">
      <c r="A86" s="47"/>
      <c r="B86" s="6"/>
      <c r="C86" s="7"/>
      <c r="D86" s="7"/>
      <c r="E86" s="7"/>
      <c r="F86" s="7"/>
      <c r="G86" s="7"/>
    </row>
    <row r="87" spans="1:7" x14ac:dyDescent="0.3">
      <c r="A87" s="47" t="s">
        <v>94</v>
      </c>
      <c r="B87" s="6"/>
      <c r="C87" s="7"/>
      <c r="D87" s="7"/>
      <c r="E87" s="7"/>
      <c r="F87" s="7"/>
      <c r="G87" s="7"/>
    </row>
    <row r="88" spans="1:7" x14ac:dyDescent="0.3">
      <c r="A88" s="47"/>
      <c r="B88" s="6"/>
      <c r="C88" s="7"/>
      <c r="D88" s="7"/>
      <c r="E88" s="7"/>
      <c r="F88" s="7"/>
      <c r="G88" s="7"/>
    </row>
    <row r="89" spans="1:7" x14ac:dyDescent="0.3">
      <c r="A89" s="47"/>
      <c r="B89" s="6"/>
      <c r="C89" s="7"/>
      <c r="D89" s="7"/>
      <c r="E89" s="7"/>
      <c r="F89" s="7"/>
      <c r="G89" s="7"/>
    </row>
    <row r="90" spans="1:7" x14ac:dyDescent="0.3">
      <c r="A90" s="47"/>
      <c r="B90" s="6"/>
      <c r="C90" s="7"/>
      <c r="D90" s="7"/>
      <c r="E90" s="7"/>
      <c r="F90" s="7"/>
      <c r="G90" s="7"/>
    </row>
    <row r="91" spans="1:7" x14ac:dyDescent="0.3">
      <c r="A91" s="47" t="s">
        <v>95</v>
      </c>
      <c r="B91" s="6"/>
      <c r="C91" s="7"/>
      <c r="D91" s="7"/>
      <c r="E91" s="7"/>
      <c r="F91" s="7"/>
      <c r="G91" s="7"/>
    </row>
    <row r="92" spans="1:7" x14ac:dyDescent="0.3">
      <c r="A92" s="47"/>
      <c r="B92" s="6"/>
      <c r="C92" s="7"/>
      <c r="D92" s="7"/>
      <c r="E92" s="7"/>
      <c r="F92" s="7"/>
      <c r="G92" s="7"/>
    </row>
    <row r="93" spans="1:7" x14ac:dyDescent="0.3">
      <c r="A93" s="47" t="s">
        <v>114</v>
      </c>
      <c r="B93" s="6"/>
      <c r="C93" s="7"/>
      <c r="D93" s="7"/>
      <c r="E93" s="7"/>
      <c r="F93" s="7"/>
      <c r="G93" s="7"/>
    </row>
    <row r="94" spans="1:7" x14ac:dyDescent="0.3">
      <c r="A94" s="47"/>
      <c r="B94" s="6"/>
      <c r="C94" s="7"/>
      <c r="D94" s="7"/>
      <c r="E94" s="7"/>
      <c r="F94" s="7"/>
      <c r="G94" s="7"/>
    </row>
    <row r="95" spans="1:7" x14ac:dyDescent="0.3">
      <c r="A95" s="47" t="s">
        <v>115</v>
      </c>
      <c r="B95" s="6"/>
      <c r="C95" s="7"/>
      <c r="D95" s="7"/>
      <c r="E95" s="7"/>
      <c r="F95" s="7"/>
      <c r="G95" s="7"/>
    </row>
    <row r="96" spans="1:7" x14ac:dyDescent="0.3">
      <c r="A96" s="47"/>
      <c r="B96" s="6"/>
      <c r="C96" s="7"/>
      <c r="D96" s="7"/>
      <c r="E96" s="7"/>
      <c r="F96" s="7"/>
      <c r="G96" s="7"/>
    </row>
    <row r="97" spans="1:7" x14ac:dyDescent="0.3">
      <c r="A97" s="47" t="s">
        <v>116</v>
      </c>
      <c r="B97" s="6"/>
      <c r="C97" s="7"/>
      <c r="D97" s="7"/>
      <c r="E97" s="7"/>
      <c r="F97" s="7"/>
      <c r="G97" s="7"/>
    </row>
    <row r="98" spans="1:7" x14ac:dyDescent="0.3">
      <c r="A98" s="47"/>
      <c r="B98" s="6"/>
      <c r="C98" s="7"/>
      <c r="D98" s="7"/>
      <c r="E98" s="7"/>
      <c r="F98" s="7"/>
      <c r="G98" s="7"/>
    </row>
    <row r="99" spans="1:7" x14ac:dyDescent="0.3">
      <c r="A99" s="47" t="s">
        <v>117</v>
      </c>
      <c r="B99" s="6"/>
      <c r="C99" s="7"/>
      <c r="D99" s="7"/>
      <c r="E99" s="7"/>
      <c r="F99" s="7"/>
      <c r="G99" s="7"/>
    </row>
    <row r="100" spans="1:7" x14ac:dyDescent="0.3">
      <c r="A100" s="47"/>
      <c r="B100" s="6"/>
      <c r="C100" s="7"/>
      <c r="D100" s="7"/>
      <c r="E100" s="7"/>
      <c r="F100" s="7"/>
      <c r="G100" s="7"/>
    </row>
    <row r="101" spans="1:7" x14ac:dyDescent="0.3">
      <c r="A101" s="47" t="s">
        <v>118</v>
      </c>
      <c r="B101" s="6"/>
      <c r="C101" s="7"/>
      <c r="D101" s="7"/>
      <c r="E101" s="7"/>
      <c r="F101" s="7"/>
      <c r="G101" s="7"/>
    </row>
    <row r="102" spans="1:7" x14ac:dyDescent="0.3">
      <c r="A102" s="47"/>
      <c r="B102" s="6"/>
      <c r="C102" s="7"/>
      <c r="D102" s="7"/>
      <c r="E102" s="7"/>
      <c r="F102" s="7"/>
      <c r="G102" s="7"/>
    </row>
    <row r="103" spans="1:7" x14ac:dyDescent="0.3">
      <c r="A103" s="47"/>
      <c r="B103" s="6"/>
      <c r="C103" s="7"/>
      <c r="D103" s="7"/>
      <c r="E103" s="7"/>
      <c r="F103" s="7"/>
      <c r="G103" s="7"/>
    </row>
    <row r="104" spans="1:7" x14ac:dyDescent="0.3">
      <c r="A104" s="47"/>
      <c r="B104" s="6"/>
      <c r="C104" s="7"/>
      <c r="D104" s="7"/>
      <c r="E104" s="7"/>
      <c r="F104" s="7"/>
      <c r="G104" s="7"/>
    </row>
    <row r="105" spans="1:7" x14ac:dyDescent="0.3">
      <c r="A105" s="47" t="s">
        <v>119</v>
      </c>
      <c r="B105" s="6"/>
      <c r="C105" s="7"/>
      <c r="D105" s="7"/>
      <c r="E105" s="7"/>
      <c r="F105" s="7"/>
      <c r="G105" s="7"/>
    </row>
    <row r="106" spans="1:7" x14ac:dyDescent="0.3">
      <c r="A106" s="47" t="s">
        <v>96</v>
      </c>
      <c r="B106" s="6"/>
      <c r="C106" s="7"/>
      <c r="D106" s="7"/>
      <c r="E106" s="7"/>
      <c r="F106" s="7"/>
      <c r="G106" s="7"/>
    </row>
    <row r="107" spans="1:7" x14ac:dyDescent="0.3">
      <c r="A107" s="47" t="s">
        <v>120</v>
      </c>
      <c r="B107" s="6"/>
      <c r="C107" s="7"/>
      <c r="D107" s="7"/>
      <c r="E107" s="7"/>
      <c r="F107" s="7"/>
      <c r="G107" s="7"/>
    </row>
    <row r="108" spans="1:7" x14ac:dyDescent="0.3">
      <c r="A108" s="47"/>
      <c r="B108" s="6"/>
      <c r="C108" s="7"/>
      <c r="D108" s="7"/>
      <c r="E108" s="7"/>
      <c r="F108" s="7"/>
      <c r="G108" s="7"/>
    </row>
    <row r="109" spans="1:7" ht="15" thickBot="1" x14ac:dyDescent="0.35">
      <c r="A109" s="59"/>
      <c r="B109" s="60"/>
      <c r="C109" s="7"/>
      <c r="D109" s="7"/>
      <c r="E109" s="7"/>
      <c r="F109" s="7"/>
      <c r="G109" s="7"/>
    </row>
    <row r="110" spans="1:7" x14ac:dyDescent="0.3">
      <c r="A110" s="7"/>
      <c r="B110" s="7"/>
      <c r="C110" s="7"/>
      <c r="D110" s="7"/>
      <c r="E110" s="7"/>
      <c r="F110" s="7"/>
      <c r="G110" s="7"/>
    </row>
    <row r="111" spans="1:7" x14ac:dyDescent="0.3">
      <c r="A111" s="13" t="s">
        <v>103</v>
      </c>
      <c r="B111" s="62"/>
      <c r="C111" s="61"/>
      <c r="D111" s="7"/>
      <c r="E111" s="7"/>
      <c r="F111" s="7"/>
      <c r="G111" s="7"/>
    </row>
    <row r="112" spans="1:7" x14ac:dyDescent="0.3">
      <c r="A112" s="16"/>
      <c r="B112" s="7"/>
      <c r="C112" s="23"/>
      <c r="D112" s="7"/>
      <c r="E112" s="7"/>
      <c r="F112" s="7"/>
      <c r="G112" s="7"/>
    </row>
    <row r="113" spans="1:7" x14ac:dyDescent="0.3">
      <c r="A113" s="16" t="s">
        <v>102</v>
      </c>
      <c r="B113" s="7"/>
      <c r="C113" s="23"/>
      <c r="D113" s="7"/>
      <c r="E113" s="7"/>
      <c r="F113" s="7"/>
      <c r="G113" s="7"/>
    </row>
    <row r="114" spans="1:7" x14ac:dyDescent="0.3">
      <c r="A114" s="16" t="s">
        <v>121</v>
      </c>
      <c r="B114" s="7"/>
      <c r="C114" s="23"/>
      <c r="D114" s="7"/>
      <c r="E114" s="7"/>
      <c r="F114" s="7"/>
      <c r="G114" s="7"/>
    </row>
    <row r="115" spans="1:7" x14ac:dyDescent="0.3">
      <c r="A115" s="16" t="s">
        <v>122</v>
      </c>
      <c r="B115" s="7"/>
      <c r="C115" s="23"/>
      <c r="D115" s="7"/>
      <c r="E115" s="7"/>
      <c r="F115" s="7"/>
      <c r="G115" s="7"/>
    </row>
    <row r="116" spans="1:7" x14ac:dyDescent="0.3">
      <c r="A116" s="16"/>
      <c r="B116" s="7"/>
      <c r="C116" s="23"/>
      <c r="D116" s="7"/>
      <c r="E116" s="7"/>
      <c r="F116" s="7"/>
      <c r="G116" s="7"/>
    </row>
    <row r="117" spans="1:7" x14ac:dyDescent="0.3">
      <c r="A117" s="16" t="s">
        <v>123</v>
      </c>
      <c r="B117" s="7"/>
      <c r="C117" s="23"/>
      <c r="D117" s="7"/>
      <c r="E117" s="7"/>
      <c r="F117" s="7"/>
      <c r="G117" s="7"/>
    </row>
    <row r="118" spans="1:7" x14ac:dyDescent="0.3">
      <c r="A118" s="16" t="s">
        <v>124</v>
      </c>
      <c r="B118" s="7"/>
      <c r="C118" s="23"/>
      <c r="D118" s="7"/>
      <c r="E118" s="7"/>
      <c r="F118" s="7"/>
      <c r="G118" s="7"/>
    </row>
    <row r="119" spans="1:7" x14ac:dyDescent="0.3">
      <c r="A119" s="16" t="s">
        <v>101</v>
      </c>
      <c r="B119" s="7"/>
      <c r="C119" s="23"/>
      <c r="D119" s="7"/>
      <c r="E119" s="7"/>
      <c r="F119" s="7"/>
      <c r="G119" s="7"/>
    </row>
    <row r="120" spans="1:7" x14ac:dyDescent="0.3">
      <c r="A120" s="16"/>
      <c r="B120" s="7"/>
      <c r="C120" s="23"/>
      <c r="D120" s="7"/>
      <c r="E120" s="7"/>
      <c r="F120" s="7"/>
      <c r="G120" s="7"/>
    </row>
    <row r="121" spans="1:7" x14ac:dyDescent="0.3">
      <c r="A121" s="16"/>
      <c r="B121" s="7"/>
      <c r="C121" s="23"/>
      <c r="D121" s="7"/>
      <c r="E121" s="7"/>
      <c r="F121" s="7"/>
      <c r="G121" s="7"/>
    </row>
    <row r="122" spans="1:7" x14ac:dyDescent="0.3">
      <c r="A122" s="16"/>
      <c r="B122" s="7"/>
      <c r="C122" s="23"/>
      <c r="D122" s="7"/>
      <c r="E122" s="7"/>
      <c r="F122" s="7"/>
      <c r="G122" s="7"/>
    </row>
    <row r="123" spans="1:7" x14ac:dyDescent="0.3">
      <c r="A123" s="16" t="s">
        <v>66</v>
      </c>
      <c r="B123" s="7"/>
      <c r="C123" s="23"/>
      <c r="D123" s="7"/>
      <c r="E123" s="7"/>
      <c r="F123" s="7"/>
      <c r="G123" s="7"/>
    </row>
    <row r="124" spans="1:7" x14ac:dyDescent="0.3">
      <c r="A124" s="16" t="s">
        <v>100</v>
      </c>
      <c r="B124" s="7"/>
      <c r="C124" s="23"/>
      <c r="D124" s="7"/>
      <c r="E124" s="7"/>
      <c r="F124" s="7"/>
      <c r="G124" s="7"/>
    </row>
    <row r="125" spans="1:7" x14ac:dyDescent="0.3">
      <c r="A125" s="16" t="s">
        <v>99</v>
      </c>
      <c r="B125" s="7"/>
      <c r="C125" s="23"/>
      <c r="D125" s="7"/>
      <c r="E125" s="7"/>
      <c r="F125" s="7"/>
      <c r="G125" s="7"/>
    </row>
    <row r="126" spans="1:7" x14ac:dyDescent="0.3">
      <c r="A126" s="16" t="s">
        <v>98</v>
      </c>
      <c r="B126" s="7"/>
      <c r="C126" s="23"/>
      <c r="D126" s="7"/>
      <c r="E126" s="7"/>
      <c r="F126" s="7"/>
      <c r="G126" s="7"/>
    </row>
    <row r="127" spans="1:7" x14ac:dyDescent="0.3">
      <c r="A127" s="16"/>
      <c r="B127" s="7"/>
      <c r="C127" s="23"/>
      <c r="D127" s="7"/>
      <c r="E127" s="7"/>
      <c r="F127" s="7"/>
      <c r="G127" s="7"/>
    </row>
    <row r="128" spans="1:7" x14ac:dyDescent="0.3">
      <c r="A128" s="16" t="s">
        <v>125</v>
      </c>
      <c r="B128" s="7"/>
      <c r="C128" s="23"/>
      <c r="D128" s="7"/>
      <c r="E128" s="7"/>
      <c r="F128" s="7"/>
      <c r="G128" s="7"/>
    </row>
    <row r="129" spans="1:7" x14ac:dyDescent="0.3">
      <c r="A129" s="16" t="s">
        <v>97</v>
      </c>
      <c r="B129" s="7"/>
      <c r="C129" s="23"/>
      <c r="D129" s="7"/>
      <c r="E129" s="7"/>
      <c r="F129" s="7"/>
      <c r="G129" s="7"/>
    </row>
    <row r="130" spans="1:7" x14ac:dyDescent="0.3">
      <c r="A130" s="16"/>
      <c r="B130" s="7"/>
      <c r="C130" s="23"/>
      <c r="D130" s="7"/>
      <c r="E130" s="7"/>
      <c r="F130" s="7"/>
      <c r="G130" s="7"/>
    </row>
    <row r="131" spans="1:7" x14ac:dyDescent="0.3">
      <c r="A131" s="17"/>
      <c r="B131" s="63"/>
      <c r="C131" s="64"/>
      <c r="D131" s="7"/>
      <c r="E131" s="7"/>
      <c r="F131" s="7"/>
      <c r="G131" s="7"/>
    </row>
    <row r="132" spans="1:7" x14ac:dyDescent="0.3">
      <c r="A132" s="7"/>
      <c r="B132" s="7"/>
      <c r="C132" s="7"/>
      <c r="D132" s="7"/>
      <c r="E132" s="7"/>
      <c r="F132" s="7"/>
      <c r="G132" s="7"/>
    </row>
    <row r="133" spans="1:7" x14ac:dyDescent="0.3">
      <c r="A133" s="7"/>
      <c r="B133" s="7"/>
      <c r="C133" s="7"/>
      <c r="D133" s="7"/>
      <c r="E133" s="7"/>
      <c r="F133" s="7"/>
      <c r="G133" s="7"/>
    </row>
    <row r="134" spans="1:7" x14ac:dyDescent="0.3">
      <c r="A134" s="7" t="s">
        <v>127</v>
      </c>
      <c r="B134" s="7"/>
      <c r="C134" s="7"/>
      <c r="D134" s="7"/>
      <c r="E134" s="7"/>
      <c r="F134" s="7"/>
      <c r="G134" s="7"/>
    </row>
    <row r="135" spans="1:7" x14ac:dyDescent="0.3">
      <c r="A135" s="7" t="s">
        <v>128</v>
      </c>
      <c r="B135" s="7"/>
      <c r="C135" s="7"/>
      <c r="D135" s="7"/>
      <c r="E135" s="7"/>
      <c r="F135" s="7"/>
      <c r="G135" s="7"/>
    </row>
    <row r="136" spans="1:7" x14ac:dyDescent="0.3">
      <c r="A136" s="7"/>
      <c r="B136" s="7"/>
      <c r="C136" s="7"/>
      <c r="D136" s="7"/>
      <c r="E136" s="7"/>
      <c r="F136" s="7"/>
      <c r="G136" s="7"/>
    </row>
    <row r="137" spans="1:7" x14ac:dyDescent="0.3">
      <c r="A137" s="7"/>
      <c r="B137" s="7"/>
      <c r="C137" s="7"/>
      <c r="D137" s="7"/>
      <c r="E137" s="7"/>
      <c r="F137" s="7"/>
      <c r="G137" s="7"/>
    </row>
    <row r="138" spans="1:7" x14ac:dyDescent="0.3">
      <c r="A138" s="7"/>
      <c r="B138" s="7"/>
      <c r="C138" s="7"/>
      <c r="D138" s="7"/>
      <c r="E138" s="7"/>
      <c r="F138" s="7"/>
      <c r="G138" s="7"/>
    </row>
    <row r="139" spans="1:7" x14ac:dyDescent="0.3">
      <c r="A139" s="7"/>
      <c r="B139" s="7"/>
      <c r="C139" s="7"/>
      <c r="D139" s="7"/>
      <c r="E139" s="7"/>
      <c r="F139" s="7"/>
      <c r="G139" s="7"/>
    </row>
  </sheetData>
  <sheetProtection algorithmName="SHA-512" hashValue="ktO1ZWh5YdijMgbNSJavVq3Hw3ALISV6eyyRjAJE6PtQd7sscrBhdFDvuqs/X7phPH5nDiOweUFQx8TOfvOj2A==" saltValue="kytOBlevvKpFsK83cZXB4Q==" spinCount="100000" sheet="1" objects="1" scenarios="1" selectLockedCells="1" selectUnlockedCells="1"/>
  <hyperlinks>
    <hyperlink ref="A62" r:id="rId1" display="http://www.yscapgroup.com/" xr:uid="{9130EE79-E0B8-4946-B317-6C90E5BFBE3C}"/>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3FC264900052B4E8B7EFCB5708AF87F" ma:contentTypeVersion="14" ma:contentTypeDescription="Create a new document." ma:contentTypeScope="" ma:versionID="64d2cbc56a22ac5cd338f08e0e4464ab">
  <xsd:schema xmlns:xsd="http://www.w3.org/2001/XMLSchema" xmlns:xs="http://www.w3.org/2001/XMLSchema" xmlns:p="http://schemas.microsoft.com/office/2006/metadata/properties" xmlns:ns2="e8e991a0-14da-48f8-b377-886d3df09443" xmlns:ns3="d7eac4ec-cfe6-44c1-8384-f889af4f723e" targetNamespace="http://schemas.microsoft.com/office/2006/metadata/properties" ma:root="true" ma:fieldsID="8a18193c64b0e2170cc0565e8c23d6ba" ns2:_="" ns3:_="">
    <xsd:import namespace="e8e991a0-14da-48f8-b377-886d3df09443"/>
    <xsd:import namespace="d7eac4ec-cfe6-44c1-8384-f889af4f72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e991a0-14da-48f8-b377-886d3df094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6a5766-90f7-438b-82a3-36862ccf51d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eac4ec-cfe6-44c1-8384-f889af4f723e"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20f1e17-e6f4-4609-9b1d-e1ed074f2e8b}" ma:internalName="TaxCatchAll" ma:showField="CatchAllData" ma:web="d7eac4ec-cfe6-44c1-8384-f889af4f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7eac4ec-cfe6-44c1-8384-f889af4f723e" xsi:nil="true"/>
    <lcf76f155ced4ddcb4097134ff3c332f xmlns="e8e991a0-14da-48f8-b377-886d3df0944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87BC5B5-9FF4-4196-B7DA-ACB95C3FB373}"/>
</file>

<file path=customXml/itemProps2.xml><?xml version="1.0" encoding="utf-8"?>
<ds:datastoreItem xmlns:ds="http://schemas.openxmlformats.org/officeDocument/2006/customXml" ds:itemID="{E1A7C792-EA6E-497F-B7A5-E17D302A1762}">
  <ds:schemaRefs>
    <ds:schemaRef ds:uri="http://schemas.microsoft.com/sharepoint/v3/contenttype/forms"/>
  </ds:schemaRefs>
</ds:datastoreItem>
</file>

<file path=customXml/itemProps3.xml><?xml version="1.0" encoding="utf-8"?>
<ds:datastoreItem xmlns:ds="http://schemas.openxmlformats.org/officeDocument/2006/customXml" ds:itemID="{0A0D92DE-F5D1-4852-810C-5BB840AE0EF8}">
  <ds:schemaRefs>
    <ds:schemaRef ds:uri="e110ab19-1ab3-442d-8e8a-152c4edc1f1a"/>
    <ds:schemaRef ds:uri="http://schemas.microsoft.com/office/2006/documentManagement/types"/>
    <ds:schemaRef ds:uri="http://purl.org/dc/elements/1.1/"/>
    <ds:schemaRef ds:uri="http://schemas.openxmlformats.org/package/2006/metadata/core-properties"/>
    <ds:schemaRef ds:uri="http://www.w3.org/XML/1998/namespace"/>
    <ds:schemaRef ds:uri="http://purl.org/dc/dcmitype/"/>
    <ds:schemaRef ds:uri="http://schemas.microsoft.com/office/infopath/2007/PartnerControls"/>
    <ds:schemaRef ds:uri="http://schemas.microsoft.com/office/2006/metadata/properties"/>
    <ds:schemaRef ds:uri="http://purl.org/dc/terms/"/>
    <ds:schemaRef ds:uri="d7eac4ec-cfe6-44c1-8384-f889af4f723e"/>
    <ds:schemaRef ds:uri="e8e991a0-14da-48f8-b377-886d3df094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YS Flip Anylyzer</vt:lpstr>
      <vt:lpstr>Sample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Yehuda Bochner</dc:creator>
  <cp:lastModifiedBy>Yehuda Bochner</cp:lastModifiedBy>
  <dcterms:created xsi:type="dcterms:W3CDTF">2025-04-27T21:11:23Z</dcterms:created>
  <dcterms:modified xsi:type="dcterms:W3CDTF">2025-05-22T05:28:02Z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0x01010013FC264900052B4E8B7EFCB5708AF87F</vt:lpwstr>
  </property>
  <property fmtid="{D5CDD505-2E9C-101B-9397-08002B2CF9AE}" pid="3" name="MediaServiceImageTags">
    <vt:lpwstr/>
  </property>
</Properties>
</file>