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scapgroup-my.sharepoint.com/personal/yehuda_yscapgroup_com/Documents/Documents/YS CAPITAL INVESTOR SUITE - FINAL V1 - EXCEL FORMAT/"/>
    </mc:Choice>
  </mc:AlternateContent>
  <xr:revisionPtr revIDLastSave="587" documentId="8_{0BBB5C3B-A0C3-47F8-B4C8-4403B63DE305}" xr6:coauthVersionLast="47" xr6:coauthVersionMax="47" xr10:uidLastSave="{4CF45EA3-E899-45A6-966A-B92B12637326}"/>
  <bookViews>
    <workbookView xWindow="-108" yWindow="-108" windowWidth="23256" windowHeight="12456" xr2:uid="{00000000-000D-0000-FFFF-FFFF00000000}"/>
  </bookViews>
  <sheets>
    <sheet name="YS Portfolio Tracker™" sheetId="1" r:id="rId1"/>
    <sheet name="Instru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1" i="1"/>
  <c r="M21" i="1"/>
  <c r="L45" i="1"/>
  <c r="E45" i="1"/>
  <c r="F45" i="1"/>
  <c r="J45" i="1"/>
  <c r="H50" i="1" s="1"/>
  <c r="K45" i="1"/>
  <c r="C45" i="1"/>
  <c r="G45" i="1" l="1"/>
  <c r="H47" i="1" s="1"/>
  <c r="H52" i="1" s="1"/>
  <c r="M45" i="1"/>
  <c r="H48" i="1" s="1"/>
  <c r="H49" i="1" s="1"/>
  <c r="L47" i="1"/>
  <c r="H45" i="1"/>
  <c r="H51" i="1"/>
  <c r="L50" i="1" s="1"/>
  <c r="L49" i="1"/>
  <c r="L51" i="1"/>
  <c r="L48" i="1" l="1"/>
</calcChain>
</file>

<file path=xl/sharedStrings.xml><?xml version="1.0" encoding="utf-8"?>
<sst xmlns="http://schemas.openxmlformats.org/spreadsheetml/2006/main" count="148" uniqueCount="129">
  <si>
    <t>Property Address</t>
  </si>
  <si>
    <t>Property Type</t>
  </si>
  <si>
    <t>Purchase Price</t>
  </si>
  <si>
    <t>Date Purchased</t>
  </si>
  <si>
    <t>Current Value</t>
  </si>
  <si>
    <t>Outstanding Mortgage Principal</t>
  </si>
  <si>
    <t>Monthly Rental Income</t>
  </si>
  <si>
    <t>Other Monthly Expenses</t>
  </si>
  <si>
    <t>Monthly Mortgage Payment (PITI)</t>
  </si>
  <si>
    <t>Cash Flow</t>
  </si>
  <si>
    <t xml:space="preserve">Total Equity  </t>
  </si>
  <si>
    <t>REO Summary</t>
  </si>
  <si>
    <t>Equity &amp; Cashflow</t>
  </si>
  <si>
    <t>Net Monthly Cash Flow</t>
  </si>
  <si>
    <t>Net Annual Cash Flow</t>
  </si>
  <si>
    <t>Net Worth from REO</t>
  </si>
  <si>
    <t>Performance Ratios</t>
  </si>
  <si>
    <t>Portfolio Loan-to-Value (LTV)</t>
  </si>
  <si>
    <t>Portfolio Cash-on-Cash Return</t>
  </si>
  <si>
    <t>Portfolio Gross Rent Multiplier</t>
  </si>
  <si>
    <t xml:space="preserve">Gross annual rental income </t>
  </si>
  <si>
    <t>Total all annual expenses &amp; DSCR</t>
  </si>
  <si>
    <t>Portfolio all Expense Ratio &amp; DSCR</t>
  </si>
  <si>
    <t xml:space="preserve">Portfolio DSCR ratio  </t>
  </si>
  <si>
    <t>Cash Currently in Deal</t>
  </si>
  <si>
    <t xml:space="preserve"> Built-up Equity</t>
  </si>
  <si>
    <t>🏘️ YS Portfolio Tracker™</t>
  </si>
  <si>
    <t>Your Central Command for Real Estate Wealth Management</t>
  </si>
  <si>
    <t>📌 Purpose</t>
  </si>
  <si>
    <t>✅ How to Use</t>
  </si>
  <si>
    <t>Column</t>
  </si>
  <si>
    <t>What to Enter</t>
  </si>
  <si>
    <t>Enter the full address of each property</t>
  </si>
  <si>
    <t>e.g., Single Family, Duplex, Mixed Use</t>
  </si>
  <si>
    <t>Original acquisition cost</t>
  </si>
  <si>
    <t>Format: MM/DD/YYYY</t>
  </si>
  <si>
    <t>Best estimate of today's market value</t>
  </si>
  <si>
    <t>Current unpaid balance</t>
  </si>
  <si>
    <t>Auto-calculated: Value – Mortgage</t>
  </si>
  <si>
    <t>Total cash you've invested (down payment + rehab, etc.)</t>
  </si>
  <si>
    <t>Gross monthly rent received</t>
  </si>
  <si>
    <t>Full payment including taxes &amp; insurance</t>
  </si>
  <si>
    <t>Maintenance, utilities, HOA, etc.</t>
  </si>
  <si>
    <t>Auto-calculated: Rent – Mortgage – Expenses</t>
  </si>
  <si>
    <t>📈 Key Outcomes</t>
  </si>
  <si>
    <t>📞 Need Help or Want a Custom Dashboard?</t>
  </si>
  <si>
    <t>YS Capital Group</t>
  </si>
  <si>
    <t>🌐 www.yscapgroup.com</t>
  </si>
  <si>
    <t>Only fill in the white input cells. Everything else is automated.</t>
  </si>
  <si>
    <t>A – Property Address</t>
  </si>
  <si>
    <t>B – Property Type</t>
  </si>
  <si>
    <t>C – Purchase Price</t>
  </si>
  <si>
    <t>D – Date Purchased</t>
  </si>
  <si>
    <t>E – Current Value</t>
  </si>
  <si>
    <t>F – Outstanding Mortgage Principal</t>
  </si>
  <si>
    <t>G – Built-up Equity</t>
  </si>
  <si>
    <t>H – Cash Currently in Deal</t>
  </si>
  <si>
    <t>I – [Blank Column] (Can be used for notes or tenant name)</t>
  </si>
  <si>
    <t>J – Monthly Rental Income</t>
  </si>
  <si>
    <t>K – Monthly Mortgage Payment (PITI)</t>
  </si>
  <si>
    <t>L – Other Monthly Expenses</t>
  </si>
  <si>
    <t>M – Cash Flow</t>
  </si>
  <si>
    <t>🔢 Track Equity across your entire portfolio</t>
  </si>
  <si>
    <t>💸 Monitor Cash Flow per property and portfolio-wide</t>
  </si>
  <si>
    <t>🧮 Calculate ROI manually using the "Cash Currently in Deal" vs cash flow</t>
  </si>
  <si>
    <t>🏦 Prepare for Refinancing or Selling with up-to-date valuation vs principal data</t>
  </si>
  <si>
    <t>📱 718-831-2168</t>
  </si>
  <si>
    <t>📧 Sales@yscapgroup.com</t>
  </si>
  <si>
    <t>Total Equity</t>
  </si>
  <si>
    <t>Gross Annual Rental Income</t>
  </si>
  <si>
    <t>Gross Rent Multiplier</t>
  </si>
  <si>
    <t>Prepared by: Yehuda Bochner</t>
  </si>
  <si>
    <t>YS Portfolio Tracker™ - Powered by YS Capital Group The tool serious investors say YES to.</t>
  </si>
  <si>
    <t>📊 YS Portfolio Tracker™</t>
  </si>
  <si>
    <t>Powered by YS Capital Group</t>
  </si>
  <si>
    <t>The tool serious investors say YES to.</t>
  </si>
  <si>
    <t>✅ Purpose of This Sheet</t>
  </si>
  <si>
    <t>Whether you're managing 1 door or 100, this tracker gives you:</t>
  </si>
  <si>
    <t>Simple summaries that show you if your portfolio is actually working for you</t>
  </si>
  <si>
    <t>No more spreadsheets that confuse. This one delivers clarity.</t>
  </si>
  <si>
    <t>📝 What to Enter (Inputs)</t>
  </si>
  <si>
    <t>Just enter the data row-by-row — everything else is automated.</t>
  </si>
  <si>
    <t>🔹 Basic Property Info</t>
  </si>
  <si>
    <t>Street, unit, city, etc.</t>
  </si>
  <si>
    <t>1-Fam, Multi, Condo, etc.</t>
  </si>
  <si>
    <t>What you paid</t>
  </si>
  <si>
    <t>Date you closed</t>
  </si>
  <si>
    <t>Estimate based on market or appraisal</t>
  </si>
  <si>
    <t>What’s left on your loan</t>
  </si>
  <si>
    <t>How much of your cash is still in it</t>
  </si>
  <si>
    <t>🔹 Cash Flow Data</t>
  </si>
  <si>
    <t>Total rent collected</t>
  </si>
  <si>
    <t>Monthly Mortgage (PITI)</t>
  </si>
  <si>
    <t>Your full mortgage payment</t>
  </si>
  <si>
    <t>Insurance, maintenance, HOA, etc.</t>
  </si>
  <si>
    <t>📊 What You’ll See (Outputs)</t>
  </si>
  <si>
    <t>📌 REO Summary</t>
  </si>
  <si>
    <t>Auto-tallied totals for:</t>
  </si>
  <si>
    <t>Portfolio value</t>
  </si>
  <si>
    <t>Total mortgage balance</t>
  </si>
  <si>
    <t>Total equity</t>
  </si>
  <si>
    <t>Total cash in deal</t>
  </si>
  <si>
    <t>Total monthly income and expenses</t>
  </si>
  <si>
    <t>💰 Equity &amp; Cashflow Box</t>
  </si>
  <si>
    <t>Total Annual Expenses &amp; DSCR</t>
  </si>
  <si>
    <t>📈 Performance Ratios</t>
  </si>
  <si>
    <t>Automatically calculated:</t>
  </si>
  <si>
    <t>Cash-on-Cash Return</t>
  </si>
  <si>
    <t>Expense Ratio</t>
  </si>
  <si>
    <t>Portfolio DSCR (Debt Service Coverage Ratio)</t>
  </si>
  <si>
    <t>🔍 What This Sheet Tells You</t>
  </si>
  <si>
    <t>How much equity you’ve built</t>
  </si>
  <si>
    <t>How much cash flow you’re really keeping</t>
  </si>
  <si>
    <t>How your entire portfolio is performing — by the numbers</t>
  </si>
  <si>
    <t>🖥️ www.yscapgroup.com • ✉️ Sales@yscapgroup.com • 📞 718-831-2168</t>
  </si>
  <si>
    <t>“Own smarter. Track faster. Say YES to more.”</t>
  </si>
  <si>
    <t>This tool helps you organize, monitor, and evaluate your real estate portfolio — in one clean view.</t>
  </si>
  <si>
    <t>Clear oversight of equity, cash flow, and performance</t>
  </si>
  <si>
    <t>A real-time snapshot of your REO value, debt, income, and returns</t>
  </si>
  <si>
    <t>✅ The sheet automatically calculates built-up equity (value minus debt).</t>
  </si>
  <si>
    <t>✅ The sheet calculates net monthly cash flow (income minus expenses).</t>
  </si>
  <si>
    <t>Your Net Worth From REO ✅</t>
  </si>
  <si>
    <t>Whether it’s time to refi, sell, or scale</t>
  </si>
  <si>
    <t>📌 Pro Tip: Use this tracker monthly or quarterly to review your portfolio and make confident, data-driven decisions.</t>
  </si>
  <si>
    <t>📞 Need funding, exit advice, or acquisition capital?</t>
  </si>
  <si>
    <t>Let YS Capital Group help you expand.</t>
  </si>
  <si>
    <t>The YS Portfolio Tracker™ is your all-in-one command center to track, analyze, and manage your real estate holdings.</t>
  </si>
  <si>
    <t xml:space="preserve"> Designed for real estate investors and asset managers, this tool gives you complete visibility into your REO and rental property performance.</t>
  </si>
  <si>
    <t xml:space="preserve">NMLS ID 2609746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</si>
</sst>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ptos Narrow"/>
      <family val="2"/>
    </font>
    <font>
      <sz val="11"/>
      <name val="Calibri"/>
      <family val="2"/>
      <scheme val="minor"/>
    </font>
    <font>
      <b/>
      <sz val="20"/>
      <color theme="0"/>
      <name val="Courier New"/>
      <family val="3"/>
    </font>
    <font>
      <sz val="11"/>
      <color theme="1"/>
      <name val="Courier New"/>
      <family val="3"/>
    </font>
    <font>
      <sz val="11"/>
      <color theme="0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222932"/>
        <bgColor indexed="64"/>
      </patternFill>
    </fill>
    <fill>
      <patternFill patternType="solid">
        <fgColor rgb="FF222932"/>
        <bgColor rgb="FF222932"/>
      </patternFill>
    </fill>
    <fill>
      <patternFill patternType="solid">
        <fgColor rgb="FF76AAA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CEDEE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14">
    <xf numFmtId="0" fontId="0" fillId="0" borderId="0" xfId="0"/>
    <xf numFmtId="0" fontId="3" fillId="2" borderId="0" xfId="0" applyFont="1" applyFill="1"/>
    <xf numFmtId="44" fontId="3" fillId="2" borderId="0" xfId="1" applyFont="1" applyFill="1"/>
    <xf numFmtId="14" fontId="3" fillId="2" borderId="0" xfId="0" applyNumberFormat="1" applyFont="1" applyFill="1"/>
    <xf numFmtId="0" fontId="3" fillId="0" borderId="0" xfId="0" applyFont="1"/>
    <xf numFmtId="0" fontId="3" fillId="2" borderId="1" xfId="0" applyFont="1" applyFill="1" applyBorder="1"/>
    <xf numFmtId="0" fontId="3" fillId="2" borderId="3" xfId="0" applyFont="1" applyFill="1" applyBorder="1"/>
    <xf numFmtId="44" fontId="3" fillId="2" borderId="0" xfId="1" applyFont="1" applyFill="1" applyBorder="1"/>
    <xf numFmtId="0" fontId="3" fillId="2" borderId="2" xfId="0" applyFont="1" applyFill="1" applyBorder="1"/>
    <xf numFmtId="44" fontId="3" fillId="0" borderId="0" xfId="1" applyFont="1"/>
    <xf numFmtId="14" fontId="3" fillId="0" borderId="0" xfId="0" applyNumberFormat="1" applyFont="1"/>
    <xf numFmtId="0" fontId="4" fillId="3" borderId="4" xfId="0" applyFont="1" applyFill="1" applyBorder="1"/>
    <xf numFmtId="0" fontId="3" fillId="2" borderId="0" xfId="0" applyFont="1" applyFill="1" applyAlignment="1">
      <alignment horizontal="center" vertical="center"/>
    </xf>
    <xf numFmtId="44" fontId="2" fillId="2" borderId="8" xfId="1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44" fontId="2" fillId="2" borderId="6" xfId="1" applyFont="1" applyFill="1" applyBorder="1" applyAlignment="1">
      <alignment horizontal="center" vertical="top"/>
    </xf>
    <xf numFmtId="14" fontId="2" fillId="2" borderId="6" xfId="0" applyNumberFormat="1" applyFont="1" applyFill="1" applyBorder="1" applyAlignment="1">
      <alignment horizontal="center" vertical="top"/>
    </xf>
    <xf numFmtId="44" fontId="2" fillId="2" borderId="5" xfId="1" applyFont="1" applyFill="1" applyBorder="1" applyAlignment="1">
      <alignment horizontal="center" vertical="top"/>
    </xf>
    <xf numFmtId="44" fontId="2" fillId="2" borderId="7" xfId="1" applyFont="1" applyFill="1" applyBorder="1" applyAlignment="1">
      <alignment horizontal="center" vertical="top"/>
    </xf>
    <xf numFmtId="0" fontId="3" fillId="2" borderId="6" xfId="0" applyFont="1" applyFill="1" applyBorder="1"/>
    <xf numFmtId="0" fontId="3" fillId="2" borderId="7" xfId="0" applyFont="1" applyFill="1" applyBorder="1"/>
    <xf numFmtId="44" fontId="3" fillId="2" borderId="7" xfId="1" applyFont="1" applyFill="1" applyBorder="1"/>
    <xf numFmtId="0" fontId="3" fillId="2" borderId="22" xfId="0" applyFont="1" applyFill="1" applyBorder="1"/>
    <xf numFmtId="0" fontId="3" fillId="2" borderId="24" xfId="0" applyFont="1" applyFill="1" applyBorder="1"/>
    <xf numFmtId="44" fontId="3" fillId="2" borderId="5" xfId="1" applyFont="1" applyFill="1" applyBorder="1"/>
    <xf numFmtId="44" fontId="3" fillId="2" borderId="17" xfId="1" applyFont="1" applyFill="1" applyBorder="1"/>
    <xf numFmtId="44" fontId="3" fillId="2" borderId="11" xfId="1" applyFont="1" applyFill="1" applyBorder="1"/>
    <xf numFmtId="44" fontId="3" fillId="2" borderId="16" xfId="1" applyFont="1" applyFill="1" applyBorder="1"/>
    <xf numFmtId="0" fontId="3" fillId="2" borderId="26" xfId="0" applyFont="1" applyFill="1" applyBorder="1"/>
    <xf numFmtId="0" fontId="3" fillId="2" borderId="18" xfId="0" applyFont="1" applyFill="1" applyBorder="1"/>
    <xf numFmtId="44" fontId="2" fillId="2" borderId="5" xfId="1" applyFont="1" applyFill="1" applyBorder="1"/>
    <xf numFmtId="0" fontId="3" fillId="2" borderId="15" xfId="0" applyFont="1" applyFill="1" applyBorder="1"/>
    <xf numFmtId="0" fontId="3" fillId="2" borderId="20" xfId="0" applyFont="1" applyFill="1" applyBorder="1"/>
    <xf numFmtId="0" fontId="3" fillId="2" borderId="20" xfId="0" applyFont="1" applyFill="1" applyBorder="1" applyAlignment="1">
      <alignment horizontal="left" vertical="top" wrapText="1"/>
    </xf>
    <xf numFmtId="0" fontId="3" fillId="4" borderId="1" xfId="0" applyFont="1" applyFill="1" applyBorder="1" applyProtection="1">
      <protection locked="0"/>
    </xf>
    <xf numFmtId="0" fontId="3" fillId="4" borderId="11" xfId="0" applyFont="1" applyFill="1" applyBorder="1" applyProtection="1">
      <protection locked="0"/>
    </xf>
    <xf numFmtId="44" fontId="3" fillId="4" borderId="0" xfId="1" applyFont="1" applyFill="1" applyBorder="1" applyProtection="1">
      <protection locked="0"/>
    </xf>
    <xf numFmtId="14" fontId="3" fillId="4" borderId="18" xfId="0" applyNumberFormat="1" applyFont="1" applyFill="1" applyBorder="1" applyProtection="1">
      <protection locked="0"/>
    </xf>
    <xf numFmtId="44" fontId="3" fillId="4" borderId="18" xfId="1" applyFont="1" applyFill="1" applyBorder="1" applyProtection="1">
      <protection locked="0"/>
    </xf>
    <xf numFmtId="44" fontId="3" fillId="4" borderId="11" xfId="1" applyFont="1" applyFill="1" applyBorder="1" applyProtection="1">
      <protection locked="0"/>
    </xf>
    <xf numFmtId="0" fontId="3" fillId="4" borderId="15" xfId="0" applyFont="1" applyFill="1" applyBorder="1" applyProtection="1">
      <protection locked="0"/>
    </xf>
    <xf numFmtId="0" fontId="3" fillId="4" borderId="17" xfId="0" applyFont="1" applyFill="1" applyBorder="1" applyProtection="1">
      <protection locked="0"/>
    </xf>
    <xf numFmtId="44" fontId="3" fillId="4" borderId="21" xfId="1" applyFont="1" applyFill="1" applyBorder="1" applyProtection="1">
      <protection locked="0"/>
    </xf>
    <xf numFmtId="14" fontId="3" fillId="4" borderId="15" xfId="0" applyNumberFormat="1" applyFont="1" applyFill="1" applyBorder="1" applyProtection="1">
      <protection locked="0"/>
    </xf>
    <xf numFmtId="44" fontId="3" fillId="4" borderId="15" xfId="1" applyFont="1" applyFill="1" applyBorder="1" applyProtection="1">
      <protection locked="0"/>
    </xf>
    <xf numFmtId="44" fontId="3" fillId="4" borderId="17" xfId="1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44" fontId="3" fillId="4" borderId="7" xfId="1" applyFont="1" applyFill="1" applyBorder="1" applyProtection="1">
      <protection locked="0"/>
    </xf>
    <xf numFmtId="14" fontId="3" fillId="4" borderId="5" xfId="0" applyNumberFormat="1" applyFont="1" applyFill="1" applyBorder="1" applyProtection="1">
      <protection locked="0"/>
    </xf>
    <xf numFmtId="44" fontId="3" fillId="4" borderId="6" xfId="1" applyFont="1" applyFill="1" applyBorder="1" applyProtection="1">
      <protection locked="0"/>
    </xf>
    <xf numFmtId="44" fontId="3" fillId="4" borderId="5" xfId="1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44" fontId="3" fillId="4" borderId="23" xfId="1" applyFont="1" applyFill="1" applyBorder="1" applyProtection="1">
      <protection locked="0"/>
    </xf>
    <xf numFmtId="14" fontId="3" fillId="4" borderId="16" xfId="0" applyNumberFormat="1" applyFont="1" applyFill="1" applyBorder="1" applyProtection="1">
      <protection locked="0"/>
    </xf>
    <xf numFmtId="44" fontId="3" fillId="4" borderId="22" xfId="1" applyFont="1" applyFill="1" applyBorder="1" applyProtection="1">
      <protection locked="0"/>
    </xf>
    <xf numFmtId="44" fontId="3" fillId="4" borderId="16" xfId="1" applyFont="1" applyFill="1" applyBorder="1" applyProtection="1">
      <protection locked="0"/>
    </xf>
    <xf numFmtId="14" fontId="3" fillId="4" borderId="22" xfId="0" applyNumberFormat="1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14" fontId="3" fillId="4" borderId="0" xfId="0" applyNumberFormat="1" applyFont="1" applyFill="1" applyProtection="1">
      <protection locked="0"/>
    </xf>
    <xf numFmtId="44" fontId="3" fillId="4" borderId="20" xfId="1" applyFont="1" applyFill="1" applyBorder="1" applyProtection="1">
      <protection locked="0"/>
    </xf>
    <xf numFmtId="44" fontId="3" fillId="4" borderId="26" xfId="1" applyFont="1" applyFill="1" applyBorder="1" applyProtection="1">
      <protection locked="0"/>
    </xf>
    <xf numFmtId="14" fontId="3" fillId="4" borderId="11" xfId="0" applyNumberFormat="1" applyFont="1" applyFill="1" applyBorder="1" applyProtection="1">
      <protection locked="0"/>
    </xf>
    <xf numFmtId="44" fontId="3" fillId="4" borderId="8" xfId="1" applyFont="1" applyFill="1" applyBorder="1" applyProtection="1">
      <protection locked="0"/>
    </xf>
    <xf numFmtId="14" fontId="3" fillId="4" borderId="17" xfId="0" applyNumberFormat="1" applyFont="1" applyFill="1" applyBorder="1" applyProtection="1">
      <protection locked="0"/>
    </xf>
    <xf numFmtId="44" fontId="3" fillId="4" borderId="24" xfId="1" applyFont="1" applyFill="1" applyBorder="1" applyProtection="1">
      <protection locked="0"/>
    </xf>
    <xf numFmtId="0" fontId="3" fillId="4" borderId="23" xfId="0" applyFont="1" applyFill="1" applyBorder="1" applyProtection="1">
      <protection locked="0"/>
    </xf>
    <xf numFmtId="0" fontId="3" fillId="4" borderId="6" xfId="0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25" xfId="0" applyFont="1" applyFill="1" applyBorder="1" applyProtection="1">
      <protection locked="0"/>
    </xf>
    <xf numFmtId="44" fontId="3" fillId="4" borderId="20" xfId="1" applyFont="1" applyFill="1" applyBorder="1" applyAlignment="1" applyProtection="1">
      <alignment wrapText="1"/>
      <protection locked="0"/>
    </xf>
    <xf numFmtId="44" fontId="3" fillId="4" borderId="27" xfId="1" applyFont="1" applyFill="1" applyBorder="1" applyProtection="1">
      <protection locked="0"/>
    </xf>
    <xf numFmtId="44" fontId="3" fillId="5" borderId="5" xfId="1" applyFont="1" applyFill="1" applyBorder="1"/>
    <xf numFmtId="14" fontId="3" fillId="5" borderId="5" xfId="0" applyNumberFormat="1" applyFont="1" applyFill="1" applyBorder="1"/>
    <xf numFmtId="44" fontId="3" fillId="5" borderId="8" xfId="1" applyFont="1" applyFill="1" applyBorder="1"/>
    <xf numFmtId="10" fontId="3" fillId="5" borderId="8" xfId="2" applyNumberFormat="1" applyFont="1" applyFill="1" applyBorder="1"/>
    <xf numFmtId="14" fontId="3" fillId="5" borderId="15" xfId="0" applyNumberFormat="1" applyFont="1" applyFill="1" applyBorder="1"/>
    <xf numFmtId="44" fontId="3" fillId="5" borderId="12" xfId="1" applyFont="1" applyFill="1" applyBorder="1"/>
    <xf numFmtId="164" fontId="3" fillId="5" borderId="19" xfId="2" applyNumberFormat="1" applyFont="1" applyFill="1" applyBorder="1"/>
    <xf numFmtId="14" fontId="3" fillId="5" borderId="18" xfId="0" applyNumberFormat="1" applyFont="1" applyFill="1" applyBorder="1"/>
    <xf numFmtId="44" fontId="3" fillId="5" borderId="13" xfId="1" applyFont="1" applyFill="1" applyBorder="1"/>
    <xf numFmtId="2" fontId="3" fillId="5" borderId="9" xfId="2" applyNumberFormat="1" applyFont="1" applyFill="1" applyBorder="1"/>
    <xf numFmtId="10" fontId="3" fillId="5" borderId="9" xfId="2" applyNumberFormat="1" applyFont="1" applyFill="1" applyBorder="1"/>
    <xf numFmtId="14" fontId="3" fillId="5" borderId="22" xfId="0" applyNumberFormat="1" applyFont="1" applyFill="1" applyBorder="1"/>
    <xf numFmtId="44" fontId="3" fillId="5" borderId="10" xfId="1" applyFont="1" applyFill="1" applyBorder="1"/>
    <xf numFmtId="0" fontId="3" fillId="5" borderId="14" xfId="1" applyNumberFormat="1" applyFont="1" applyFill="1" applyBorder="1"/>
    <xf numFmtId="44" fontId="3" fillId="5" borderId="16" xfId="1" applyFont="1" applyFill="1" applyBorder="1"/>
    <xf numFmtId="44" fontId="5" fillId="6" borderId="5" xfId="1" applyFont="1" applyFill="1" applyBorder="1"/>
    <xf numFmtId="44" fontId="5" fillId="6" borderId="24" xfId="1" applyFont="1" applyFill="1" applyBorder="1"/>
    <xf numFmtId="44" fontId="5" fillId="6" borderId="8" xfId="1" applyFont="1" applyFill="1" applyBorder="1"/>
    <xf numFmtId="44" fontId="5" fillId="6" borderId="7" xfId="1" applyFont="1" applyFill="1" applyBorder="1"/>
    <xf numFmtId="44" fontId="3" fillId="2" borderId="24" xfId="1" applyFont="1" applyFill="1" applyBorder="1"/>
    <xf numFmtId="44" fontId="3" fillId="2" borderId="8" xfId="1" applyFont="1" applyFill="1" applyBorder="1"/>
    <xf numFmtId="44" fontId="5" fillId="6" borderId="22" xfId="1" applyFont="1" applyFill="1" applyBorder="1"/>
    <xf numFmtId="0" fontId="3" fillId="5" borderId="18" xfId="0" applyFont="1" applyFill="1" applyBorder="1"/>
    <xf numFmtId="0" fontId="3" fillId="5" borderId="22" xfId="0" applyFont="1" applyFill="1" applyBorder="1"/>
    <xf numFmtId="0" fontId="3" fillId="5" borderId="5" xfId="0" applyFont="1" applyFill="1" applyBorder="1"/>
    <xf numFmtId="44" fontId="3" fillId="5" borderId="8" xfId="0" applyNumberFormat="1" applyFont="1" applyFill="1" applyBorder="1"/>
    <xf numFmtId="44" fontId="3" fillId="5" borderId="17" xfId="1" applyFont="1" applyFill="1" applyBorder="1"/>
    <xf numFmtId="44" fontId="3" fillId="5" borderId="26" xfId="0" applyNumberFormat="1" applyFont="1" applyFill="1" applyBorder="1"/>
    <xf numFmtId="44" fontId="3" fillId="5" borderId="26" xfId="1" applyFont="1" applyFill="1" applyBorder="1"/>
    <xf numFmtId="44" fontId="3" fillId="5" borderId="24" xfId="0" applyNumberFormat="1" applyFont="1" applyFill="1" applyBorder="1"/>
    <xf numFmtId="0" fontId="8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10" fillId="2" borderId="0" xfId="3" applyFont="1" applyFill="1" applyBorder="1" applyAlignment="1">
      <alignment horizontal="left"/>
    </xf>
    <xf numFmtId="0" fontId="8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2"/>
    </xf>
    <xf numFmtId="0" fontId="8" fillId="0" borderId="0" xfId="0" applyFont="1" applyAlignment="1">
      <alignment horizontal="left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0" fillId="2" borderId="0" xfId="0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222932"/>
      <color rgb="FFECE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0</xdr:colOff>
      <xdr:row>11</xdr:row>
      <xdr:rowOff>25400</xdr:rowOff>
    </xdr:to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9DB81E3A-8B4A-419C-B2FA-26347CD88F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83400" cy="1981200"/>
        </a:xfrm>
        <a:prstGeom prst="rect">
          <a:avLst/>
        </a:prstGeom>
        <a:noFill/>
      </xdr:spPr>
    </xdr:pic>
    <xdr:clientData/>
  </xdr:twoCellAnchor>
  <xdr:twoCellAnchor editAs="absolute">
    <xdr:from>
      <xdr:col>4</xdr:col>
      <xdr:colOff>1066800</xdr:colOff>
      <xdr:row>0</xdr:row>
      <xdr:rowOff>0</xdr:rowOff>
    </xdr:from>
    <xdr:to>
      <xdr:col>9</xdr:col>
      <xdr:colOff>292100</xdr:colOff>
      <xdr:row>11</xdr:row>
      <xdr:rowOff>38100</xdr:rowOff>
    </xdr:to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F94E1B2F-4C47-40F6-93B6-AC7F4C6610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42100" y="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25400</xdr:colOff>
      <xdr:row>0</xdr:row>
      <xdr:rowOff>0</xdr:rowOff>
    </xdr:from>
    <xdr:to>
      <xdr:col>14</xdr:col>
      <xdr:colOff>177800</xdr:colOff>
      <xdr:row>11</xdr:row>
      <xdr:rowOff>38100</xdr:rowOff>
    </xdr:to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4E142F93-DCE1-48B2-851F-118434388A3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51000" y="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13</xdr:col>
      <xdr:colOff>495300</xdr:colOff>
      <xdr:row>0</xdr:row>
      <xdr:rowOff>0</xdr:rowOff>
    </xdr:from>
    <xdr:to>
      <xdr:col>16</xdr:col>
      <xdr:colOff>2730500</xdr:colOff>
      <xdr:row>11</xdr:row>
      <xdr:rowOff>38100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811632A9-F105-4280-A879-DFC3E05022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034500" y="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16</xdr:col>
      <xdr:colOff>2438400</xdr:colOff>
      <xdr:row>0</xdr:row>
      <xdr:rowOff>0</xdr:rowOff>
    </xdr:from>
    <xdr:to>
      <xdr:col>30</xdr:col>
      <xdr:colOff>25400</xdr:colOff>
      <xdr:row>11</xdr:row>
      <xdr:rowOff>38100</xdr:rowOff>
    </xdr:to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6D15008-F95F-48F1-BCAB-A6E80E1631F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718000" y="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71</xdr:row>
      <xdr:rowOff>38100</xdr:rowOff>
    </xdr:from>
    <xdr:to>
      <xdr:col>5</xdr:col>
      <xdr:colOff>1092200</xdr:colOff>
      <xdr:row>82</xdr:row>
      <xdr:rowOff>63500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CE122E1F-35F8-4407-875E-6A9AA0BF368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290320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5</xdr:col>
      <xdr:colOff>406400</xdr:colOff>
      <xdr:row>71</xdr:row>
      <xdr:rowOff>25400</xdr:rowOff>
    </xdr:from>
    <xdr:to>
      <xdr:col>9</xdr:col>
      <xdr:colOff>939800</xdr:colOff>
      <xdr:row>82</xdr:row>
      <xdr:rowOff>50800</xdr:rowOff>
    </xdr:to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25FE1384-22FD-443F-9539-A9F61CA8EE7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89800" y="1289050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9</xdr:col>
      <xdr:colOff>660400</xdr:colOff>
      <xdr:row>71</xdr:row>
      <xdr:rowOff>12700</xdr:rowOff>
    </xdr:from>
    <xdr:to>
      <xdr:col>15</xdr:col>
      <xdr:colOff>203200</xdr:colOff>
      <xdr:row>82</xdr:row>
      <xdr:rowOff>38100</xdr:rowOff>
    </xdr:to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3AF7C93D-2D68-4609-A180-DE01058C993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86000" y="1287780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14</xdr:col>
      <xdr:colOff>533400</xdr:colOff>
      <xdr:row>71</xdr:row>
      <xdr:rowOff>12700</xdr:rowOff>
    </xdr:from>
    <xdr:to>
      <xdr:col>17</xdr:col>
      <xdr:colOff>203200</xdr:colOff>
      <xdr:row>82</xdr:row>
      <xdr:rowOff>38100</xdr:rowOff>
    </xdr:to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63551A6D-0D9D-4ECB-939C-A6024D099E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682200" y="12877800"/>
          <a:ext cx="7975600" cy="1993900"/>
        </a:xfrm>
        <a:prstGeom prst="rect">
          <a:avLst/>
        </a:prstGeom>
        <a:noFill/>
      </xdr:spPr>
    </xdr:pic>
    <xdr:clientData/>
  </xdr:twoCellAnchor>
  <xdr:twoCellAnchor editAs="absolute">
    <xdr:from>
      <xdr:col>16</xdr:col>
      <xdr:colOff>2298700</xdr:colOff>
      <xdr:row>71</xdr:row>
      <xdr:rowOff>0</xdr:rowOff>
    </xdr:from>
    <xdr:to>
      <xdr:col>28</xdr:col>
      <xdr:colOff>393700</xdr:colOff>
      <xdr:row>82</xdr:row>
      <xdr:rowOff>25400</xdr:rowOff>
    </xdr:to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FF8D647E-745A-43A5-B3F0-4545875C547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578300" y="12877800"/>
          <a:ext cx="7975600" cy="199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179542</xdr:colOff>
      <xdr:row>71</xdr:row>
      <xdr:rowOff>38099</xdr:rowOff>
    </xdr:from>
    <xdr:to>
      <xdr:col>0</xdr:col>
      <xdr:colOff>1008377</xdr:colOff>
      <xdr:row>76</xdr:row>
      <xdr:rowOff>30478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4285B1-4E56-F67A-91C5-63E45D9F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2" y="12915899"/>
          <a:ext cx="828835" cy="894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857048" cy="149352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CDF751C8-38C6-45E8-BF82-D692CD292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857048" cy="1493520"/>
        </a:xfrm>
        <a:prstGeom prst="rect">
          <a:avLst/>
        </a:prstGeom>
        <a:noFill/>
      </xdr:spPr>
    </xdr:pic>
    <xdr:clientData/>
  </xdr:absoluteAnchor>
  <xdr:absoluteAnchor>
    <xdr:pos x="6620829" y="0"/>
    <xdr:ext cx="7777162" cy="150114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1796F2AC-A75D-4799-A488-FA7792ADC34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20829" y="0"/>
          <a:ext cx="7777162" cy="1501140"/>
        </a:xfrm>
        <a:prstGeom prst="rect">
          <a:avLst/>
        </a:prstGeom>
        <a:noFill/>
      </xdr:spPr>
    </xdr:pic>
    <xdr:clientData/>
  </xdr:absoluteAnchor>
  <xdr:absoluteAnchor>
    <xdr:pos x="13716953" y="0"/>
    <xdr:ext cx="7800022" cy="150114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844E8EB5-B62E-4078-9787-BD31DEB973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16953" y="0"/>
          <a:ext cx="7800022" cy="1501140"/>
        </a:xfrm>
        <a:prstGeom prst="rect">
          <a:avLst/>
        </a:prstGeom>
        <a:noFill/>
      </xdr:spPr>
    </xdr:pic>
    <xdr:clientData/>
  </xdr:absoluteAnchor>
  <xdr:twoCellAnchor editAs="oneCell">
    <xdr:from>
      <xdr:col>0</xdr:col>
      <xdr:colOff>175261</xdr:colOff>
      <xdr:row>133</xdr:row>
      <xdr:rowOff>124171</xdr:rowOff>
    </xdr:from>
    <xdr:to>
      <xdr:col>0</xdr:col>
      <xdr:colOff>662940</xdr:colOff>
      <xdr:row>136</xdr:row>
      <xdr:rowOff>101598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F26212-790F-4717-B85B-690C2CF48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1" y="24843451"/>
          <a:ext cx="487679" cy="526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16101060" y="0"/>
    <xdr:ext cx="7800022" cy="150114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A49A95F8-8769-4764-B70C-3ADF478A8CB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01060" y="0"/>
          <a:ext cx="7800022" cy="1501140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yscap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7"/>
  <sheetViews>
    <sheetView tabSelected="1" zoomScale="60" zoomScaleNormal="60" workbookViewId="0">
      <selection activeCell="A21" sqref="A21"/>
    </sheetView>
  </sheetViews>
  <sheetFormatPr defaultColWidth="8.88671875" defaultRowHeight="14.4"/>
  <cols>
    <col min="1" max="1" width="22.44140625" style="4" customWidth="1"/>
    <col min="2" max="2" width="17.77734375" style="4" bestFit="1" customWidth="1"/>
    <col min="3" max="3" width="21" style="9" bestFit="1" customWidth="1"/>
    <col min="4" max="4" width="20.109375" style="10" bestFit="1" customWidth="1"/>
    <col min="5" max="5" width="19.109375" style="9" bestFit="1" customWidth="1"/>
    <col min="6" max="6" width="40.109375" style="9" bestFit="1" customWidth="1"/>
    <col min="7" max="7" width="32.21875" style="9" bestFit="1" customWidth="1"/>
    <col min="8" max="8" width="25.88671875" style="9" customWidth="1"/>
    <col min="9" max="9" width="10.21875" style="9" customWidth="1"/>
    <col min="10" max="10" width="25" style="9" customWidth="1"/>
    <col min="11" max="11" width="40.109375" style="9" customWidth="1"/>
    <col min="12" max="12" width="26.44140625" style="9" customWidth="1"/>
    <col min="13" max="13" width="13.5546875" style="4" customWidth="1"/>
    <col min="14" max="15" width="8.88671875" style="4"/>
    <col min="16" max="16" width="66" style="4" customWidth="1"/>
    <col min="17" max="17" width="46.21875" style="4" customWidth="1"/>
    <col min="18" max="28" width="8.88671875" style="4"/>
    <col min="29" max="29" width="7.44140625" style="4" customWidth="1"/>
    <col min="30" max="30" width="0.77734375" style="4" hidden="1" customWidth="1"/>
    <col min="31" max="16384" width="8.88671875" style="4"/>
  </cols>
  <sheetData>
    <row r="1" spans="1:30">
      <c r="A1" s="1"/>
      <c r="B1" s="1"/>
      <c r="C1" s="2"/>
      <c r="D1" s="3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2"/>
      <c r="D2" s="3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2"/>
      <c r="D3" s="3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/>
      <c r="B4" s="1"/>
      <c r="C4" s="2"/>
      <c r="D4" s="3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/>
      <c r="B5" s="1"/>
      <c r="C5" s="2"/>
      <c r="D5" s="3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1"/>
      <c r="B6" s="1"/>
      <c r="C6" s="2"/>
      <c r="D6" s="3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/>
      <c r="B7" s="1"/>
      <c r="C7" s="2"/>
      <c r="D7" s="3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2"/>
      <c r="D8" s="3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2"/>
      <c r="D9" s="3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1"/>
      <c r="C10" s="2"/>
      <c r="D10" s="3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2"/>
      <c r="D11" s="3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/>
      <c r="B12" s="1"/>
      <c r="C12" s="2"/>
      <c r="D12" s="3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2"/>
      <c r="D13" s="3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/>
      <c r="C14" s="2"/>
      <c r="D14" s="3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1" t="s">
        <v>71</v>
      </c>
      <c r="B15" s="1"/>
      <c r="C15" s="2"/>
      <c r="D15" s="3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thickBot="1">
      <c r="A16" s="1"/>
      <c r="B16" s="1"/>
      <c r="C16" s="2"/>
      <c r="D16" s="3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8.8" customHeight="1" thickBot="1">
      <c r="A17" s="110" t="s">
        <v>72</v>
      </c>
      <c r="B17" s="111"/>
      <c r="C17" s="111"/>
      <c r="D17" s="111"/>
      <c r="E17" s="111"/>
      <c r="F17" s="111"/>
      <c r="G17" s="111"/>
      <c r="H17" s="112"/>
      <c r="I17" s="2"/>
      <c r="J17" s="2"/>
      <c r="K17" s="2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2"/>
      <c r="B18" s="1"/>
      <c r="C18" s="2"/>
      <c r="D18" s="3"/>
      <c r="E18" s="2"/>
      <c r="F18" s="2"/>
      <c r="G18" s="2"/>
      <c r="H18" s="2"/>
      <c r="I18" s="2"/>
      <c r="J18" s="2"/>
      <c r="K18" s="2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1"/>
      <c r="C19" s="2"/>
      <c r="D19" s="3"/>
      <c r="E19" s="2"/>
      <c r="F19" s="2"/>
      <c r="G19" s="2"/>
      <c r="H19" s="2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6" customHeight="1">
      <c r="A20" s="14" t="s">
        <v>0</v>
      </c>
      <c r="B20" s="15" t="s">
        <v>1</v>
      </c>
      <c r="C20" s="16" t="s">
        <v>2</v>
      </c>
      <c r="D20" s="17" t="s">
        <v>3</v>
      </c>
      <c r="E20" s="16" t="s">
        <v>4</v>
      </c>
      <c r="F20" s="18" t="s">
        <v>5</v>
      </c>
      <c r="G20" s="18" t="s">
        <v>25</v>
      </c>
      <c r="H20" s="18" t="s">
        <v>24</v>
      </c>
      <c r="I20" s="2"/>
      <c r="J20" s="31" t="s">
        <v>6</v>
      </c>
      <c r="K20" s="13" t="s">
        <v>8</v>
      </c>
      <c r="L20" s="19" t="s">
        <v>7</v>
      </c>
      <c r="M20" s="18" t="s">
        <v>9</v>
      </c>
      <c r="N20" s="30"/>
      <c r="O20" s="1"/>
      <c r="P20" s="32" t="s">
        <v>26</v>
      </c>
      <c r="Q20" s="2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35"/>
      <c r="B21" s="36"/>
      <c r="C21" s="37"/>
      <c r="D21" s="38"/>
      <c r="E21" s="39"/>
      <c r="F21" s="40"/>
      <c r="G21" s="28">
        <f>E21-F21</f>
        <v>0</v>
      </c>
      <c r="H21" s="28">
        <f>C21-F21</f>
        <v>0</v>
      </c>
      <c r="I21" s="2"/>
      <c r="J21" s="51"/>
      <c r="K21" s="55"/>
      <c r="L21" s="56"/>
      <c r="M21" s="28">
        <f>J21-K21-L21</f>
        <v>0</v>
      </c>
      <c r="N21" s="1"/>
      <c r="O21" s="1"/>
      <c r="P21" s="30" t="s">
        <v>27</v>
      </c>
      <c r="Q21" s="3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41"/>
      <c r="B22" s="42"/>
      <c r="C22" s="43"/>
      <c r="D22" s="44"/>
      <c r="E22" s="45"/>
      <c r="F22" s="46"/>
      <c r="G22" s="25">
        <f>E22-F22</f>
        <v>0</v>
      </c>
      <c r="H22" s="25">
        <f t="shared" ref="H22:H44" si="0">C22-F22</f>
        <v>0</v>
      </c>
      <c r="I22" s="2"/>
      <c r="J22" s="51"/>
      <c r="K22" s="43"/>
      <c r="L22" s="45"/>
      <c r="M22" s="25">
        <f t="shared" ref="M22:M44" si="1">J22-K22-L22</f>
        <v>0</v>
      </c>
      <c r="N22" s="1"/>
      <c r="O22" s="1"/>
      <c r="P22" s="30"/>
      <c r="Q22" s="3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42"/>
      <c r="B23" s="47"/>
      <c r="C23" s="48"/>
      <c r="D23" s="49"/>
      <c r="E23" s="50"/>
      <c r="F23" s="51"/>
      <c r="G23" s="26">
        <f t="shared" ref="G23:G44" si="2">E23-F23</f>
        <v>0</v>
      </c>
      <c r="H23" s="27">
        <f t="shared" si="0"/>
        <v>0</v>
      </c>
      <c r="I23" s="2"/>
      <c r="J23" s="45"/>
      <c r="K23" s="51"/>
      <c r="L23" s="48"/>
      <c r="M23" s="28">
        <f t="shared" si="1"/>
        <v>0</v>
      </c>
      <c r="N23" s="1"/>
      <c r="O23" s="1"/>
      <c r="P23" s="30" t="s">
        <v>28</v>
      </c>
      <c r="Q23" s="3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42"/>
      <c r="B24" s="52"/>
      <c r="C24" s="53"/>
      <c r="D24" s="54"/>
      <c r="E24" s="55"/>
      <c r="F24" s="56"/>
      <c r="G24" s="25">
        <f t="shared" si="2"/>
        <v>0</v>
      </c>
      <c r="H24" s="25">
        <f t="shared" si="0"/>
        <v>0</v>
      </c>
      <c r="I24" s="2"/>
      <c r="J24" s="46"/>
      <c r="K24" s="60"/>
      <c r="L24" s="37"/>
      <c r="M24" s="27">
        <f t="shared" si="1"/>
        <v>0</v>
      </c>
      <c r="N24" s="1"/>
      <c r="O24" s="1"/>
      <c r="P24" s="30"/>
      <c r="Q24" s="3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42"/>
      <c r="B25" s="52"/>
      <c r="C25" s="37"/>
      <c r="D25" s="57"/>
      <c r="E25" s="39"/>
      <c r="F25" s="56"/>
      <c r="G25" s="27">
        <f t="shared" si="2"/>
        <v>0</v>
      </c>
      <c r="H25" s="25">
        <f t="shared" si="0"/>
        <v>0</v>
      </c>
      <c r="I25" s="2"/>
      <c r="J25" s="51"/>
      <c r="K25" s="63"/>
      <c r="L25" s="48"/>
      <c r="M25" s="26">
        <f t="shared" si="1"/>
        <v>0</v>
      </c>
      <c r="N25" s="1"/>
      <c r="O25" s="1"/>
      <c r="P25" s="30" t="s">
        <v>126</v>
      </c>
      <c r="Q25" s="3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42"/>
      <c r="B26" s="58"/>
      <c r="C26" s="46"/>
      <c r="D26" s="59"/>
      <c r="E26" s="51"/>
      <c r="F26" s="60"/>
      <c r="G26" s="26">
        <f t="shared" si="2"/>
        <v>0</v>
      </c>
      <c r="H26" s="25">
        <f t="shared" si="0"/>
        <v>0</v>
      </c>
      <c r="I26" s="2"/>
      <c r="J26" s="40"/>
      <c r="K26" s="70"/>
      <c r="L26" s="37"/>
      <c r="M26" s="26">
        <f t="shared" si="1"/>
        <v>0</v>
      </c>
      <c r="N26" s="1"/>
      <c r="O26" s="1"/>
      <c r="P26" s="30" t="s">
        <v>127</v>
      </c>
      <c r="Q26" s="3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42"/>
      <c r="B27" s="42"/>
      <c r="C27" s="51"/>
      <c r="D27" s="49"/>
      <c r="E27" s="40"/>
      <c r="F27" s="61"/>
      <c r="G27" s="25">
        <f t="shared" si="2"/>
        <v>0</v>
      </c>
      <c r="H27" s="27">
        <f t="shared" si="0"/>
        <v>0</v>
      </c>
      <c r="I27" s="2"/>
      <c r="J27" s="51"/>
      <c r="K27" s="63"/>
      <c r="L27" s="48"/>
      <c r="M27" s="26">
        <f t="shared" si="1"/>
        <v>0</v>
      </c>
      <c r="N27" s="1"/>
      <c r="O27" s="1"/>
      <c r="P27" s="30" t="s">
        <v>29</v>
      </c>
      <c r="Q27" s="3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A28" s="42"/>
      <c r="B28" s="42"/>
      <c r="C28" s="56"/>
      <c r="D28" s="62"/>
      <c r="E28" s="51"/>
      <c r="F28" s="63"/>
      <c r="G28" s="25">
        <f t="shared" si="2"/>
        <v>0</v>
      </c>
      <c r="H28" s="25">
        <f t="shared" si="0"/>
        <v>0</v>
      </c>
      <c r="I28" s="2"/>
      <c r="J28" s="56"/>
      <c r="K28" s="60"/>
      <c r="L28" s="37"/>
      <c r="M28" s="25">
        <f t="shared" si="1"/>
        <v>0</v>
      </c>
      <c r="N28" s="1"/>
      <c r="O28" s="1"/>
      <c r="P28" s="30"/>
      <c r="Q28" s="3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47"/>
      <c r="B29" s="47"/>
      <c r="C29" s="46"/>
      <c r="D29" s="64"/>
      <c r="E29" s="40"/>
      <c r="F29" s="60"/>
      <c r="G29" s="28">
        <f t="shared" si="2"/>
        <v>0</v>
      </c>
      <c r="H29" s="91">
        <f t="shared" si="0"/>
        <v>0</v>
      </c>
      <c r="I29" s="2"/>
      <c r="J29" s="40"/>
      <c r="K29" s="63"/>
      <c r="L29" s="50"/>
      <c r="M29" s="28">
        <f t="shared" si="1"/>
        <v>0</v>
      </c>
      <c r="N29" s="1"/>
      <c r="O29" s="1"/>
      <c r="P29" s="30" t="s">
        <v>48</v>
      </c>
      <c r="Q29" s="3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47"/>
      <c r="B30" s="36"/>
      <c r="C30" s="51"/>
      <c r="D30" s="49"/>
      <c r="E30" s="51"/>
      <c r="F30" s="63"/>
      <c r="G30" s="25">
        <f t="shared" si="2"/>
        <v>0</v>
      </c>
      <c r="H30" s="92">
        <f t="shared" si="0"/>
        <v>0</v>
      </c>
      <c r="I30" s="2"/>
      <c r="J30" s="46"/>
      <c r="K30" s="60"/>
      <c r="L30" s="37"/>
      <c r="M30" s="26">
        <f t="shared" si="1"/>
        <v>0</v>
      </c>
      <c r="N30" s="1"/>
      <c r="O30" s="1"/>
      <c r="P30" s="30"/>
      <c r="Q30" s="3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52"/>
      <c r="B31" s="42"/>
      <c r="C31" s="51"/>
      <c r="D31" s="54"/>
      <c r="E31" s="56"/>
      <c r="F31" s="65"/>
      <c r="G31" s="28">
        <f t="shared" si="2"/>
        <v>0</v>
      </c>
      <c r="H31" s="91">
        <f t="shared" si="0"/>
        <v>0</v>
      </c>
      <c r="I31" s="2"/>
      <c r="J31" s="51"/>
      <c r="K31" s="63"/>
      <c r="L31" s="48"/>
      <c r="M31" s="25">
        <f t="shared" si="1"/>
        <v>0</v>
      </c>
      <c r="N31" s="1"/>
      <c r="O31" s="1"/>
      <c r="P31" s="30" t="s">
        <v>30</v>
      </c>
      <c r="Q31" s="33" t="s">
        <v>31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52"/>
      <c r="B32" s="47"/>
      <c r="C32" s="56"/>
      <c r="D32" s="64"/>
      <c r="E32" s="46"/>
      <c r="F32" s="61"/>
      <c r="G32" s="27">
        <f t="shared" si="2"/>
        <v>0</v>
      </c>
      <c r="H32" s="26">
        <f t="shared" si="0"/>
        <v>0</v>
      </c>
      <c r="I32" s="2"/>
      <c r="J32" s="46"/>
      <c r="K32" s="61"/>
      <c r="L32" s="43"/>
      <c r="M32" s="26">
        <f t="shared" si="1"/>
        <v>0</v>
      </c>
      <c r="N32" s="1"/>
      <c r="O32" s="1"/>
      <c r="P32" s="30" t="s">
        <v>49</v>
      </c>
      <c r="Q32" s="33" t="s">
        <v>32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52"/>
      <c r="B33" s="52"/>
      <c r="C33" s="40"/>
      <c r="D33" s="49"/>
      <c r="E33" s="51"/>
      <c r="F33" s="63"/>
      <c r="G33" s="26">
        <f t="shared" si="2"/>
        <v>0</v>
      </c>
      <c r="H33" s="26">
        <f t="shared" si="0"/>
        <v>0</v>
      </c>
      <c r="I33" s="2"/>
      <c r="J33" s="51"/>
      <c r="K33" s="63"/>
      <c r="L33" s="48"/>
      <c r="M33" s="26">
        <f t="shared" si="1"/>
        <v>0</v>
      </c>
      <c r="N33" s="1"/>
      <c r="O33" s="1"/>
      <c r="P33" s="30" t="s">
        <v>50</v>
      </c>
      <c r="Q33" s="33" t="s">
        <v>33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52"/>
      <c r="B34" s="66"/>
      <c r="C34" s="51"/>
      <c r="D34" s="49"/>
      <c r="E34" s="56"/>
      <c r="F34" s="65"/>
      <c r="G34" s="25">
        <f t="shared" si="2"/>
        <v>0</v>
      </c>
      <c r="H34" s="25">
        <f t="shared" si="0"/>
        <v>0</v>
      </c>
      <c r="I34" s="2"/>
      <c r="J34" s="56"/>
      <c r="K34" s="65"/>
      <c r="L34" s="37"/>
      <c r="M34" s="25">
        <f t="shared" si="1"/>
        <v>0</v>
      </c>
      <c r="N34" s="1"/>
      <c r="O34" s="1"/>
      <c r="P34" s="30" t="s">
        <v>51</v>
      </c>
      <c r="Q34" s="33" t="s">
        <v>34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" thickBot="1">
      <c r="A35" s="36"/>
      <c r="B35" s="58"/>
      <c r="C35" s="51"/>
      <c r="D35" s="49"/>
      <c r="E35" s="51"/>
      <c r="F35" s="63"/>
      <c r="G35" s="27">
        <f t="shared" si="2"/>
        <v>0</v>
      </c>
      <c r="H35" s="27">
        <f t="shared" si="0"/>
        <v>0</v>
      </c>
      <c r="I35" s="2"/>
      <c r="J35" s="40"/>
      <c r="K35" s="60"/>
      <c r="L35" s="51"/>
      <c r="M35" s="27">
        <f t="shared" si="1"/>
        <v>0</v>
      </c>
      <c r="N35" s="1"/>
      <c r="O35" s="1"/>
      <c r="P35" s="30" t="s">
        <v>52</v>
      </c>
      <c r="Q35" s="33" t="s">
        <v>35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" thickBot="1">
      <c r="A36" s="67"/>
      <c r="B36" s="47"/>
      <c r="C36" s="40"/>
      <c r="D36" s="62"/>
      <c r="E36" s="40"/>
      <c r="F36" s="60"/>
      <c r="G36" s="25">
        <f t="shared" si="2"/>
        <v>0</v>
      </c>
      <c r="H36" s="25">
        <f t="shared" si="0"/>
        <v>0</v>
      </c>
      <c r="I36" s="2"/>
      <c r="J36" s="46"/>
      <c r="K36" s="71"/>
      <c r="L36" s="55"/>
      <c r="M36" s="25">
        <f t="shared" si="1"/>
        <v>0</v>
      </c>
      <c r="N36" s="1"/>
      <c r="O36" s="1"/>
      <c r="P36" s="30" t="s">
        <v>53</v>
      </c>
      <c r="Q36" s="33" t="s">
        <v>36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52"/>
      <c r="B37" s="47"/>
      <c r="C37" s="46"/>
      <c r="D37" s="64"/>
      <c r="E37" s="46"/>
      <c r="F37" s="61"/>
      <c r="G37" s="27">
        <f t="shared" si="2"/>
        <v>0</v>
      </c>
      <c r="H37" s="27">
        <f t="shared" si="0"/>
        <v>0</v>
      </c>
      <c r="I37" s="2"/>
      <c r="J37" s="51"/>
      <c r="K37" s="60"/>
      <c r="L37" s="37"/>
      <c r="M37" s="27">
        <f t="shared" si="1"/>
        <v>0</v>
      </c>
      <c r="N37" s="1"/>
      <c r="O37" s="1"/>
      <c r="P37" s="30" t="s">
        <v>54</v>
      </c>
      <c r="Q37" s="33" t="s">
        <v>37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52"/>
      <c r="B38" s="47"/>
      <c r="C38" s="51"/>
      <c r="D38" s="49"/>
      <c r="E38" s="51"/>
      <c r="F38" s="63"/>
      <c r="G38" s="25">
        <f t="shared" si="2"/>
        <v>0</v>
      </c>
      <c r="H38" s="25">
        <f t="shared" si="0"/>
        <v>0</v>
      </c>
      <c r="I38" s="2"/>
      <c r="J38" s="46"/>
      <c r="K38" s="61"/>
      <c r="L38" s="61"/>
      <c r="M38" s="25">
        <f t="shared" si="1"/>
        <v>0</v>
      </c>
      <c r="N38" s="1"/>
      <c r="O38" s="1"/>
      <c r="P38" s="30" t="s">
        <v>55</v>
      </c>
      <c r="Q38" s="33" t="s">
        <v>38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47"/>
      <c r="B39" s="36"/>
      <c r="C39" s="40"/>
      <c r="D39" s="62"/>
      <c r="E39" s="40"/>
      <c r="F39" s="60"/>
      <c r="G39" s="26">
        <f t="shared" si="2"/>
        <v>0</v>
      </c>
      <c r="H39" s="26">
        <f t="shared" si="0"/>
        <v>0</v>
      </c>
      <c r="I39" s="2"/>
      <c r="J39" s="51"/>
      <c r="K39" s="63"/>
      <c r="L39" s="63"/>
      <c r="M39" s="28">
        <f t="shared" si="1"/>
        <v>0</v>
      </c>
      <c r="N39" s="1"/>
      <c r="O39" s="1"/>
      <c r="P39" s="30" t="s">
        <v>56</v>
      </c>
      <c r="Q39" s="33" t="s">
        <v>39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68"/>
      <c r="B40" s="47"/>
      <c r="C40" s="46"/>
      <c r="D40" s="64"/>
      <c r="E40" s="46"/>
      <c r="F40" s="61"/>
      <c r="G40" s="25">
        <f t="shared" si="2"/>
        <v>0</v>
      </c>
      <c r="H40" s="25">
        <f t="shared" si="0"/>
        <v>0</v>
      </c>
      <c r="I40" s="2"/>
      <c r="J40" s="56"/>
      <c r="K40" s="65"/>
      <c r="L40" s="37"/>
      <c r="M40" s="26">
        <f t="shared" si="1"/>
        <v>0</v>
      </c>
      <c r="N40" s="1"/>
      <c r="O40" s="1"/>
      <c r="P40" s="30" t="s">
        <v>57</v>
      </c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47"/>
      <c r="B41" s="52"/>
      <c r="C41" s="51"/>
      <c r="D41" s="49"/>
      <c r="E41" s="51"/>
      <c r="F41" s="63"/>
      <c r="G41" s="27">
        <f t="shared" si="2"/>
        <v>0</v>
      </c>
      <c r="H41" s="27">
        <f t="shared" si="0"/>
        <v>0</v>
      </c>
      <c r="I41" s="2"/>
      <c r="J41" s="40"/>
      <c r="K41" s="37"/>
      <c r="L41" s="46"/>
      <c r="M41" s="26">
        <f t="shared" si="1"/>
        <v>0</v>
      </c>
      <c r="N41" s="1"/>
      <c r="O41" s="1"/>
      <c r="P41" s="30" t="s">
        <v>58</v>
      </c>
      <c r="Q41" s="33" t="s">
        <v>40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69"/>
      <c r="B42" s="52"/>
      <c r="C42" s="56"/>
      <c r="D42" s="54"/>
      <c r="E42" s="56"/>
      <c r="F42" s="65"/>
      <c r="G42" s="25">
        <f t="shared" si="2"/>
        <v>0</v>
      </c>
      <c r="H42" s="25">
        <f t="shared" si="0"/>
        <v>0</v>
      </c>
      <c r="I42" s="2"/>
      <c r="J42" s="51"/>
      <c r="K42" s="63"/>
      <c r="L42" s="51"/>
      <c r="M42" s="26">
        <f t="shared" si="1"/>
        <v>0</v>
      </c>
      <c r="N42" s="1"/>
      <c r="O42" s="1"/>
      <c r="P42" s="30" t="s">
        <v>59</v>
      </c>
      <c r="Q42" s="33" t="s">
        <v>41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>
      <c r="A43" s="69"/>
      <c r="B43" s="42"/>
      <c r="C43" s="40"/>
      <c r="D43" s="62"/>
      <c r="E43" s="40"/>
      <c r="F43" s="60"/>
      <c r="G43" s="28">
        <f t="shared" si="2"/>
        <v>0</v>
      </c>
      <c r="H43" s="27">
        <f t="shared" si="0"/>
        <v>0</v>
      </c>
      <c r="I43" s="2"/>
      <c r="J43" s="40"/>
      <c r="K43" s="37"/>
      <c r="L43" s="56"/>
      <c r="M43" s="25">
        <f t="shared" si="1"/>
        <v>0</v>
      </c>
      <c r="N43" s="1"/>
      <c r="O43" s="1"/>
      <c r="P43" s="30" t="s">
        <v>60</v>
      </c>
      <c r="Q43" s="33" t="s">
        <v>42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69"/>
      <c r="B44" s="42"/>
      <c r="C44" s="46"/>
      <c r="D44" s="64"/>
      <c r="E44" s="46"/>
      <c r="F44" s="61"/>
      <c r="G44" s="26">
        <f t="shared" si="2"/>
        <v>0</v>
      </c>
      <c r="H44" s="25">
        <f t="shared" si="0"/>
        <v>0</v>
      </c>
      <c r="I44" s="2"/>
      <c r="J44" s="51"/>
      <c r="K44" s="63"/>
      <c r="L44" s="65"/>
      <c r="M44" s="28">
        <f t="shared" si="1"/>
        <v>0</v>
      </c>
      <c r="N44" s="1"/>
      <c r="O44" s="1"/>
      <c r="P44" s="30" t="s">
        <v>61</v>
      </c>
      <c r="Q44" s="33" t="s">
        <v>43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>
      <c r="A45" s="20" t="s">
        <v>11</v>
      </c>
      <c r="B45" s="21"/>
      <c r="C45" s="87">
        <f>SUM(C21:C44)</f>
        <v>0</v>
      </c>
      <c r="D45" s="22"/>
      <c r="E45" s="90">
        <f t="shared" ref="E45:H45" si="3">SUM(E21:E44)</f>
        <v>0</v>
      </c>
      <c r="F45" s="89">
        <f t="shared" si="3"/>
        <v>0</v>
      </c>
      <c r="G45" s="72">
        <f t="shared" si="3"/>
        <v>0</v>
      </c>
      <c r="H45" s="72">
        <f t="shared" si="3"/>
        <v>0</v>
      </c>
      <c r="I45" s="2"/>
      <c r="J45" s="93">
        <f>SUM(J21:J44)</f>
        <v>0</v>
      </c>
      <c r="K45" s="88">
        <f>SUM(K21:K44)</f>
        <v>0</v>
      </c>
      <c r="L45" s="87">
        <f>SUM(L21:L44)</f>
        <v>0</v>
      </c>
      <c r="M45" s="86">
        <f>SUM(M21:M44)</f>
        <v>0</v>
      </c>
      <c r="N45" s="1"/>
      <c r="O45" s="1"/>
      <c r="P45" s="30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>
      <c r="A46" s="1"/>
      <c r="B46" s="1"/>
      <c r="C46" s="2"/>
      <c r="D46" s="3"/>
      <c r="E46" s="2"/>
      <c r="F46" s="2"/>
      <c r="G46" s="2"/>
      <c r="H46" s="2"/>
      <c r="I46" s="2"/>
      <c r="J46" s="2"/>
      <c r="K46" s="2"/>
      <c r="L46" s="2"/>
      <c r="M46" s="1"/>
      <c r="N46" s="1"/>
      <c r="O46" s="1"/>
      <c r="P46" s="30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1"/>
      <c r="C47" s="2"/>
      <c r="D47" s="3"/>
      <c r="E47" s="2"/>
      <c r="F47" s="96" t="s">
        <v>12</v>
      </c>
      <c r="G47" s="72" t="s">
        <v>10</v>
      </c>
      <c r="H47" s="97">
        <f>G45</f>
        <v>0</v>
      </c>
      <c r="I47" s="2"/>
      <c r="J47" s="73" t="s">
        <v>16</v>
      </c>
      <c r="K47" s="74" t="s">
        <v>17</v>
      </c>
      <c r="L47" s="75" t="e">
        <f>F45/E45</f>
        <v>#DIV/0!</v>
      </c>
      <c r="M47" s="1"/>
      <c r="N47" s="1"/>
      <c r="O47" s="1"/>
      <c r="P47" s="30" t="s">
        <v>44</v>
      </c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>
      <c r="A48" s="1"/>
      <c r="B48" s="1"/>
      <c r="C48" s="2"/>
      <c r="D48" s="3"/>
      <c r="E48" s="2"/>
      <c r="F48" s="94"/>
      <c r="G48" s="98" t="s">
        <v>13</v>
      </c>
      <c r="H48" s="99">
        <f>M45</f>
        <v>0</v>
      </c>
      <c r="I48" s="2"/>
      <c r="J48" s="76"/>
      <c r="K48" s="77" t="s">
        <v>18</v>
      </c>
      <c r="L48" s="78" t="e">
        <f>M45/H45</f>
        <v>#DIV/0!</v>
      </c>
      <c r="M48" s="1"/>
      <c r="N48" s="1"/>
      <c r="O48" s="1"/>
      <c r="P48" s="30" t="s">
        <v>62</v>
      </c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>
      <c r="A49" s="1"/>
      <c r="B49" s="1"/>
      <c r="C49" s="2"/>
      <c r="D49" s="3"/>
      <c r="E49" s="2"/>
      <c r="F49" s="94"/>
      <c r="G49" s="72" t="s">
        <v>14</v>
      </c>
      <c r="H49" s="74">
        <f>H48*12</f>
        <v>0</v>
      </c>
      <c r="I49" s="2"/>
      <c r="J49" s="79"/>
      <c r="K49" s="80" t="s">
        <v>19</v>
      </c>
      <c r="L49" s="81" t="e">
        <f>C45/H50</f>
        <v>#DIV/0!</v>
      </c>
      <c r="M49" s="1"/>
      <c r="N49" s="1"/>
      <c r="O49" s="1"/>
      <c r="P49" s="30" t="s">
        <v>63</v>
      </c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>
      <c r="A50" s="1"/>
      <c r="B50" s="1"/>
      <c r="C50" s="2"/>
      <c r="D50" s="3"/>
      <c r="E50" s="2"/>
      <c r="F50" s="94"/>
      <c r="G50" s="72" t="s">
        <v>20</v>
      </c>
      <c r="H50" s="100">
        <f>J45*12</f>
        <v>0</v>
      </c>
      <c r="I50" s="2"/>
      <c r="J50" s="79"/>
      <c r="K50" s="80" t="s">
        <v>22</v>
      </c>
      <c r="L50" s="82" t="e">
        <f>H51/H50</f>
        <v>#DIV/0!</v>
      </c>
      <c r="M50" s="1"/>
      <c r="N50" s="1"/>
      <c r="O50" s="1"/>
      <c r="P50" s="30" t="s">
        <v>64</v>
      </c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>
      <c r="A51" s="1"/>
      <c r="B51" s="1"/>
      <c r="C51" s="2"/>
      <c r="D51" s="3"/>
      <c r="E51" s="2"/>
      <c r="F51" s="94"/>
      <c r="G51" s="86" t="s">
        <v>21</v>
      </c>
      <c r="H51" s="72">
        <f>K45*12+L45*12</f>
        <v>0</v>
      </c>
      <c r="I51" s="2"/>
      <c r="J51" s="83"/>
      <c r="K51" s="84" t="s">
        <v>23</v>
      </c>
      <c r="L51" s="85" t="e">
        <f>J45/K45</f>
        <v>#DIV/0!</v>
      </c>
      <c r="M51" s="1"/>
      <c r="N51" s="1"/>
      <c r="O51" s="1"/>
      <c r="P51" s="30" t="s">
        <v>65</v>
      </c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>
      <c r="A52" s="1"/>
      <c r="B52" s="1"/>
      <c r="C52" s="2"/>
      <c r="D52" s="3"/>
      <c r="E52" s="2"/>
      <c r="F52" s="95"/>
      <c r="G52" s="86" t="s">
        <v>15</v>
      </c>
      <c r="H52" s="101">
        <f>H47</f>
        <v>0</v>
      </c>
      <c r="I52" s="2"/>
      <c r="J52" s="2"/>
      <c r="K52" s="2"/>
      <c r="L52" s="2"/>
      <c r="M52" s="1"/>
      <c r="N52" s="1"/>
      <c r="O52" s="1"/>
      <c r="P52" s="30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>
      <c r="A53" s="1"/>
      <c r="B53" s="1"/>
      <c r="C53" s="2"/>
      <c r="D53" s="3"/>
      <c r="E53" s="2"/>
      <c r="F53" s="2"/>
      <c r="G53" s="2"/>
      <c r="H53" s="2"/>
      <c r="I53" s="2"/>
      <c r="J53" s="2"/>
      <c r="K53" s="2"/>
      <c r="L53" s="2"/>
      <c r="M53" s="1"/>
      <c r="N53" s="1"/>
      <c r="O53" s="1"/>
      <c r="P53" s="30" t="s">
        <v>45</v>
      </c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>
      <c r="A54" s="1"/>
      <c r="B54" s="1"/>
      <c r="C54" s="7"/>
      <c r="D54" s="3"/>
      <c r="E54" s="7"/>
      <c r="F54" s="2"/>
      <c r="G54" s="2"/>
      <c r="H54" s="2"/>
      <c r="I54" s="2"/>
      <c r="J54" s="2"/>
      <c r="K54" s="2"/>
      <c r="L54" s="2"/>
      <c r="M54" s="1"/>
      <c r="N54" s="1"/>
      <c r="O54" s="1"/>
      <c r="P54" s="30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/>
      <c r="B55" s="1"/>
      <c r="C55" s="7"/>
      <c r="D55" s="3"/>
      <c r="E55" s="7"/>
      <c r="F55" s="2"/>
      <c r="G55" s="2"/>
      <c r="H55" s="2"/>
      <c r="I55" s="2"/>
      <c r="J55" s="2"/>
      <c r="K55" s="2"/>
      <c r="L55" s="2"/>
      <c r="M55" s="1"/>
      <c r="N55" s="1"/>
      <c r="O55" s="1"/>
      <c r="P55" s="30" t="s">
        <v>46</v>
      </c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5"/>
      <c r="B56" s="1"/>
      <c r="C56" s="1"/>
      <c r="D56" s="1"/>
      <c r="E56" s="1"/>
      <c r="F56" s="1"/>
      <c r="G56" s="1"/>
      <c r="H56" s="1"/>
      <c r="I56" s="1"/>
      <c r="J56" s="7"/>
      <c r="K56" s="1"/>
      <c r="L56" s="1"/>
      <c r="M56" s="1"/>
      <c r="N56" s="1"/>
      <c r="O56" s="1"/>
      <c r="P56" s="30" t="s">
        <v>66</v>
      </c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>
      <c r="A57" s="5"/>
      <c r="B57" s="1"/>
      <c r="C57" s="1"/>
      <c r="D57" s="1"/>
      <c r="E57" s="1"/>
      <c r="F57" s="1"/>
      <c r="G57" s="1"/>
      <c r="H57" s="1"/>
      <c r="I57" s="1"/>
      <c r="J57" s="7"/>
      <c r="K57" s="1"/>
      <c r="L57" s="1"/>
      <c r="M57" s="1"/>
      <c r="N57" s="1"/>
      <c r="O57" s="1"/>
      <c r="P57" s="30" t="s">
        <v>67</v>
      </c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5"/>
      <c r="B58" s="1"/>
      <c r="C58" s="1"/>
      <c r="D58" s="1"/>
      <c r="E58" s="1"/>
      <c r="F58" s="1"/>
      <c r="G58" s="1"/>
      <c r="H58" s="1"/>
      <c r="I58" s="1"/>
      <c r="J58" s="7"/>
      <c r="K58" s="1"/>
      <c r="L58" s="1"/>
      <c r="M58" s="1"/>
      <c r="N58" s="1"/>
      <c r="O58" s="1"/>
      <c r="P58" s="30" t="s">
        <v>47</v>
      </c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>
      <c r="A59" s="5"/>
      <c r="B59" s="1"/>
      <c r="C59" s="1"/>
      <c r="D59" s="1"/>
      <c r="E59" s="1"/>
      <c r="F59" s="1"/>
      <c r="G59" s="1"/>
      <c r="H59" s="1"/>
      <c r="I59" s="1"/>
      <c r="J59" s="7"/>
      <c r="K59" s="1"/>
      <c r="L59" s="1"/>
      <c r="M59" s="1"/>
      <c r="N59" s="1"/>
      <c r="O59" s="1"/>
      <c r="P59" s="23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5"/>
      <c r="B60" s="113"/>
      <c r="C60" s="1"/>
      <c r="D60" s="1"/>
      <c r="E60" s="1"/>
      <c r="F60" s="1"/>
      <c r="G60" s="1"/>
      <c r="H60" s="1"/>
      <c r="I60" s="1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>
      <c r="A61" s="5"/>
      <c r="B61" s="1"/>
      <c r="C61" s="1"/>
      <c r="D61" s="1"/>
      <c r="E61" s="1"/>
      <c r="F61" s="1"/>
      <c r="G61" s="1"/>
      <c r="H61" s="1"/>
      <c r="I61" s="1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5"/>
      <c r="B62" s="1"/>
      <c r="C62" s="1"/>
      <c r="D62" s="1"/>
      <c r="E62" s="1"/>
      <c r="F62" s="1"/>
      <c r="G62" s="1"/>
      <c r="H62" s="1"/>
      <c r="I62" s="1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5"/>
      <c r="B63" s="1"/>
      <c r="C63" s="1"/>
      <c r="D63" s="1"/>
      <c r="E63" s="1"/>
      <c r="F63" s="1"/>
      <c r="G63" s="1"/>
      <c r="H63" s="1"/>
      <c r="I63" s="1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>
      <c r="A64" s="5"/>
      <c r="B64" s="1"/>
      <c r="C64" s="1"/>
      <c r="D64" s="1"/>
      <c r="E64" s="1"/>
      <c r="F64" s="1"/>
      <c r="G64" s="1"/>
      <c r="H64" s="1"/>
      <c r="I64" s="1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>
      <c r="A65" s="5"/>
      <c r="B65" s="1"/>
      <c r="C65" s="1"/>
      <c r="D65" s="1"/>
      <c r="E65" s="1"/>
      <c r="F65" s="1"/>
      <c r="G65" s="1"/>
      <c r="H65" s="1"/>
      <c r="I65" s="1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>
      <c r="A66" s="5"/>
      <c r="B66" s="1"/>
      <c r="C66" s="1"/>
      <c r="D66" s="1"/>
      <c r="E66" s="1"/>
      <c r="F66" s="1"/>
      <c r="G66" s="1"/>
      <c r="H66" s="1"/>
      <c r="I66" s="1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5"/>
      <c r="B67" s="1"/>
      <c r="C67" s="1"/>
      <c r="D67" s="1"/>
      <c r="E67" s="1"/>
      <c r="F67" s="1"/>
      <c r="G67" s="1"/>
      <c r="H67" s="1"/>
      <c r="I67" s="1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>
      <c r="A68" s="5"/>
      <c r="B68" s="1"/>
      <c r="C68" s="1"/>
      <c r="D68" s="1"/>
      <c r="E68" s="1"/>
      <c r="F68" s="1"/>
      <c r="G68" s="1"/>
      <c r="H68" s="1"/>
      <c r="I68" s="1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5" t="s">
        <v>46</v>
      </c>
      <c r="B69" s="1"/>
      <c r="C69" s="1"/>
      <c r="D69" s="1"/>
      <c r="E69" s="1"/>
      <c r="F69" s="1"/>
      <c r="G69" s="1"/>
      <c r="H69" s="1"/>
      <c r="I69" s="1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5" t="s">
        <v>128</v>
      </c>
      <c r="B70" s="1"/>
      <c r="C70" s="1"/>
      <c r="D70" s="1"/>
      <c r="E70" s="1"/>
      <c r="F70" s="1"/>
      <c r="G70" s="1"/>
      <c r="H70" s="1"/>
      <c r="I70" s="1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5"/>
      <c r="B71" s="1"/>
      <c r="C71" s="1"/>
      <c r="D71" s="1"/>
      <c r="E71" s="1"/>
      <c r="F71" s="1"/>
      <c r="G71" s="1"/>
      <c r="H71" s="1"/>
      <c r="I71" s="1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5"/>
      <c r="B72" s="1"/>
      <c r="C72" s="1"/>
      <c r="D72" s="1"/>
      <c r="E72" s="1"/>
      <c r="F72" s="1"/>
      <c r="G72" s="1"/>
      <c r="H72" s="1"/>
      <c r="I72" s="1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>
      <c r="A73" s="5"/>
      <c r="B73" s="1"/>
      <c r="C73" s="1"/>
      <c r="D73" s="1"/>
      <c r="E73" s="1"/>
      <c r="F73" s="1"/>
      <c r="G73" s="1"/>
      <c r="H73" s="1"/>
      <c r="I73" s="1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5"/>
      <c r="B74" s="1"/>
      <c r="C74" s="1"/>
      <c r="D74" s="1"/>
      <c r="E74" s="1"/>
      <c r="F74" s="1"/>
      <c r="G74" s="1"/>
      <c r="H74" s="1"/>
      <c r="I74" s="1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5"/>
      <c r="B75" s="1"/>
      <c r="C75" s="1"/>
      <c r="D75" s="1"/>
      <c r="E75" s="1"/>
      <c r="F75" s="1"/>
      <c r="G75" s="1"/>
      <c r="H75" s="1"/>
      <c r="I75" s="1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" thickBot="1">
      <c r="A76" s="8"/>
      <c r="B76" s="6"/>
      <c r="C76" s="6"/>
      <c r="D76" s="6"/>
      <c r="E76" s="1"/>
      <c r="F76" s="1"/>
      <c r="G76" s="1"/>
      <c r="H76" s="1"/>
      <c r="I76" s="1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>
      <c r="A77" s="2"/>
      <c r="B77" s="3"/>
      <c r="C77" s="2"/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</sheetData>
  <sheetProtection algorithmName="SHA-512" hashValue="+3NIm13mxEVWHwm/94zPzceDVrFgB//4y7Xys88CZsvXC5OxAuMAur6Jlzl9fXxWLofUA/4MB/QS4585dYK+zg==" saltValue="OZztsatwwAIc98vC6JkUqg==" spinCount="100000" sheet="1" objects="1" scenarios="1" selectLockedCells="1"/>
  <mergeCells count="1">
    <mergeCell ref="A17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4ACC-4F4B-4E43-9112-05C372A97283}">
  <dimension ref="A1:AF137"/>
  <sheetViews>
    <sheetView workbookViewId="0">
      <selection activeCell="A133" sqref="A133"/>
    </sheetView>
  </sheetViews>
  <sheetFormatPr defaultColWidth="8.88671875" defaultRowHeight="14.4"/>
  <cols>
    <col min="1" max="1" width="41.109375" style="109" customWidth="1"/>
    <col min="2" max="2" width="8.88671875" style="109" customWidth="1"/>
    <col min="3" max="7" width="8.88671875" style="109"/>
    <col min="8" max="8" width="42.44140625" style="109" customWidth="1"/>
    <col min="9" max="11" width="8.88671875" style="109"/>
    <col min="12" max="14" width="8.88671875" style="104"/>
    <col min="15" max="15" width="8.6640625" style="104" customWidth="1"/>
    <col min="16" max="16384" width="8.88671875" style="104"/>
  </cols>
  <sheetData>
    <row r="1" spans="1:32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</row>
    <row r="2" spans="1:3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</row>
    <row r="3" spans="1:32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</row>
    <row r="4" spans="1:32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</row>
    <row r="5" spans="1:32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</row>
    <row r="6" spans="1:32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</row>
    <row r="7" spans="1:3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</row>
    <row r="8" spans="1:32">
      <c r="A8" s="105" t="s">
        <v>73</v>
      </c>
      <c r="B8" s="105"/>
      <c r="C8" s="102"/>
      <c r="D8" s="102"/>
      <c r="E8" s="102"/>
      <c r="F8" s="105"/>
      <c r="G8" s="105"/>
      <c r="H8" s="105"/>
      <c r="I8" s="105"/>
      <c r="J8" s="105"/>
      <c r="K8" s="105"/>
      <c r="L8" s="105"/>
      <c r="M8" s="105"/>
      <c r="N8" s="105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</row>
    <row r="9" spans="1:32" ht="23.4" customHeight="1">
      <c r="A9" s="105"/>
      <c r="B9" s="105"/>
      <c r="C9" s="102"/>
      <c r="D9" s="102"/>
      <c r="E9" s="102"/>
      <c r="F9" s="105"/>
      <c r="G9" s="105"/>
      <c r="H9" s="105"/>
      <c r="I9" s="105"/>
      <c r="J9" s="105"/>
      <c r="K9" s="105"/>
      <c r="L9" s="105"/>
      <c r="M9" s="105"/>
      <c r="N9" s="105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</row>
    <row r="10" spans="1:32">
      <c r="A10" s="105" t="s">
        <v>74</v>
      </c>
      <c r="B10" s="105"/>
      <c r="C10" s="102"/>
      <c r="D10" s="102"/>
      <c r="E10" s="102"/>
      <c r="F10" s="105"/>
      <c r="G10" s="105"/>
      <c r="H10" s="105"/>
      <c r="I10" s="105"/>
      <c r="J10" s="105"/>
      <c r="K10" s="105"/>
      <c r="L10" s="105"/>
      <c r="M10" s="105"/>
      <c r="N10" s="105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</row>
    <row r="11" spans="1:32">
      <c r="A11" s="105"/>
      <c r="B11" s="105"/>
      <c r="C11" s="102"/>
      <c r="D11" s="102"/>
      <c r="E11" s="102"/>
      <c r="F11" s="105"/>
      <c r="G11" s="105"/>
      <c r="H11" s="105"/>
      <c r="I11" s="105"/>
      <c r="J11" s="105"/>
      <c r="K11" s="105"/>
      <c r="L11" s="105"/>
      <c r="M11" s="105"/>
      <c r="N11" s="105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</row>
    <row r="12" spans="1:32">
      <c r="A12" s="105" t="s">
        <v>75</v>
      </c>
      <c r="B12" s="105"/>
      <c r="C12" s="102"/>
      <c r="D12" s="102"/>
      <c r="E12" s="102"/>
      <c r="F12" s="105"/>
      <c r="G12" s="105"/>
      <c r="H12" s="105"/>
      <c r="I12" s="105"/>
      <c r="J12" s="105"/>
      <c r="K12" s="105"/>
      <c r="L12" s="105"/>
      <c r="M12" s="105"/>
      <c r="N12" s="105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</row>
    <row r="13" spans="1:32">
      <c r="A13" s="105"/>
      <c r="B13" s="105"/>
      <c r="C13" s="102"/>
      <c r="D13" s="102"/>
      <c r="E13" s="102"/>
      <c r="F13" s="105"/>
      <c r="G13" s="105"/>
      <c r="H13" s="105"/>
      <c r="I13" s="105"/>
      <c r="J13" s="105"/>
      <c r="K13" s="105"/>
      <c r="L13" s="105"/>
      <c r="M13" s="105"/>
      <c r="N13" s="105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</row>
    <row r="14" spans="1:32" ht="14.4" customHeight="1">
      <c r="A14" s="105"/>
      <c r="B14" s="105"/>
      <c r="C14" s="102"/>
      <c r="D14" s="102"/>
      <c r="E14" s="102"/>
      <c r="F14" s="105"/>
      <c r="G14" s="105"/>
      <c r="H14" s="105"/>
      <c r="I14" s="105"/>
      <c r="J14" s="105"/>
      <c r="K14" s="105"/>
      <c r="L14" s="105"/>
      <c r="M14" s="105"/>
      <c r="N14" s="105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</row>
    <row r="15" spans="1:32" ht="14.4" customHeight="1">
      <c r="A15" s="107"/>
      <c r="B15" s="105"/>
      <c r="C15" s="102"/>
      <c r="D15" s="102"/>
      <c r="E15" s="102"/>
      <c r="F15" s="105"/>
      <c r="G15" s="105"/>
      <c r="H15" s="105"/>
      <c r="I15" s="105"/>
      <c r="J15" s="105"/>
      <c r="K15" s="105"/>
      <c r="L15" s="105"/>
      <c r="M15" s="105"/>
      <c r="N15" s="105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</row>
    <row r="16" spans="1:32" ht="14.4" customHeight="1">
      <c r="A16" s="107" t="s">
        <v>76</v>
      </c>
      <c r="B16" s="105"/>
      <c r="C16" s="102"/>
      <c r="D16" s="102"/>
      <c r="E16" s="102"/>
      <c r="F16" s="105"/>
      <c r="G16" s="105"/>
      <c r="H16" s="105"/>
      <c r="I16" s="105"/>
      <c r="J16" s="105"/>
      <c r="K16" s="105"/>
      <c r="L16" s="105"/>
      <c r="M16" s="105"/>
      <c r="N16" s="105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</row>
    <row r="17" spans="1:32" ht="14.4" customHeight="1">
      <c r="A17" s="107"/>
      <c r="B17" s="105"/>
      <c r="C17" s="102"/>
      <c r="D17" s="102"/>
      <c r="E17" s="102"/>
      <c r="F17" s="105"/>
      <c r="G17" s="105"/>
      <c r="H17" s="105"/>
      <c r="I17" s="105"/>
      <c r="J17" s="105"/>
      <c r="K17" s="105"/>
      <c r="L17" s="105"/>
      <c r="M17" s="105"/>
      <c r="N17" s="105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</row>
    <row r="18" spans="1:32" ht="14.4" customHeight="1">
      <c r="A18" s="107" t="s">
        <v>116</v>
      </c>
      <c r="B18" s="105"/>
      <c r="C18" s="102"/>
      <c r="D18" s="102"/>
      <c r="E18" s="102"/>
      <c r="F18" s="105"/>
      <c r="G18" s="105"/>
      <c r="H18" s="105"/>
      <c r="I18" s="105"/>
      <c r="J18" s="105"/>
      <c r="K18" s="105"/>
      <c r="L18" s="105"/>
      <c r="M18" s="105"/>
      <c r="N18" s="105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</row>
    <row r="19" spans="1:32" ht="14.4" customHeight="1">
      <c r="A19" s="107"/>
      <c r="B19" s="105"/>
      <c r="C19" s="102"/>
      <c r="D19" s="102"/>
      <c r="E19" s="102"/>
      <c r="F19" s="105"/>
      <c r="G19" s="105"/>
      <c r="H19" s="105"/>
      <c r="I19" s="105"/>
      <c r="J19" s="105"/>
      <c r="K19" s="105"/>
      <c r="L19" s="105"/>
      <c r="M19" s="105"/>
      <c r="N19" s="105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</row>
    <row r="20" spans="1:32" ht="14.4" customHeight="1">
      <c r="A20" s="108" t="s">
        <v>77</v>
      </c>
      <c r="B20" s="105"/>
      <c r="C20" s="102"/>
      <c r="D20" s="102"/>
      <c r="E20" s="102"/>
      <c r="F20" s="105"/>
      <c r="G20" s="105"/>
      <c r="H20" s="105"/>
      <c r="I20" s="105"/>
      <c r="J20" s="105"/>
      <c r="K20" s="105"/>
      <c r="L20" s="105"/>
      <c r="M20" s="105"/>
      <c r="N20" s="105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</row>
    <row r="21" spans="1:32" ht="14.4" customHeight="1">
      <c r="A21" s="108"/>
      <c r="B21" s="105"/>
      <c r="C21" s="102"/>
      <c r="D21" s="102"/>
      <c r="E21" s="102"/>
      <c r="F21" s="105"/>
      <c r="G21" s="105"/>
      <c r="H21" s="105"/>
      <c r="I21" s="105"/>
      <c r="J21" s="105"/>
      <c r="K21" s="105"/>
      <c r="L21" s="105"/>
      <c r="M21" s="105"/>
      <c r="N21" s="105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</row>
    <row r="22" spans="1:32" ht="14.4" customHeight="1">
      <c r="A22" s="107" t="s">
        <v>117</v>
      </c>
      <c r="B22" s="105"/>
      <c r="C22" s="102"/>
      <c r="D22" s="102"/>
      <c r="E22" s="102"/>
      <c r="F22" s="105"/>
      <c r="G22" s="105"/>
      <c r="H22" s="105"/>
      <c r="I22" s="105"/>
      <c r="J22" s="105"/>
      <c r="K22" s="105"/>
      <c r="L22" s="105"/>
      <c r="M22" s="105"/>
      <c r="N22" s="105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</row>
    <row r="23" spans="1:32" ht="14.4" customHeight="1">
      <c r="A23" s="107"/>
      <c r="B23" s="105"/>
      <c r="C23" s="102"/>
      <c r="D23" s="102"/>
      <c r="E23" s="102"/>
      <c r="F23" s="105"/>
      <c r="G23" s="105"/>
      <c r="H23" s="105"/>
      <c r="I23" s="105"/>
      <c r="J23" s="105"/>
      <c r="K23" s="105"/>
      <c r="L23" s="105"/>
      <c r="M23" s="105"/>
      <c r="N23" s="105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</row>
    <row r="24" spans="1:32" ht="14.4" customHeight="1">
      <c r="A24" s="105" t="s">
        <v>118</v>
      </c>
      <c r="B24" s="105"/>
      <c r="C24" s="102"/>
      <c r="D24" s="102"/>
      <c r="E24" s="102"/>
      <c r="F24" s="105"/>
      <c r="G24" s="105"/>
      <c r="H24" s="105"/>
      <c r="I24" s="105"/>
      <c r="J24" s="105"/>
      <c r="K24" s="105"/>
      <c r="L24" s="105"/>
      <c r="M24" s="105"/>
      <c r="N24" s="105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</row>
    <row r="25" spans="1:32" ht="14.4" customHeight="1">
      <c r="A25" s="105"/>
      <c r="B25" s="105"/>
      <c r="C25" s="102"/>
      <c r="D25" s="102"/>
      <c r="E25" s="102"/>
      <c r="F25" s="105"/>
      <c r="G25" s="105"/>
      <c r="H25" s="105"/>
      <c r="I25" s="105"/>
      <c r="J25" s="105"/>
      <c r="K25" s="105"/>
      <c r="L25" s="105"/>
      <c r="M25" s="105"/>
      <c r="N25" s="105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</row>
    <row r="26" spans="1:32" ht="14.4" customHeight="1">
      <c r="A26" s="107" t="s">
        <v>78</v>
      </c>
      <c r="B26" s="105"/>
      <c r="C26" s="102"/>
      <c r="D26" s="102"/>
      <c r="E26" s="102"/>
      <c r="F26" s="105"/>
      <c r="G26" s="105"/>
      <c r="H26" s="105"/>
      <c r="I26" s="105"/>
      <c r="J26" s="105"/>
      <c r="K26" s="105"/>
      <c r="L26" s="105"/>
      <c r="M26" s="105"/>
      <c r="N26" s="105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</row>
    <row r="27" spans="1:32" ht="14.4" customHeight="1">
      <c r="A27" s="107"/>
      <c r="B27" s="105"/>
      <c r="C27" s="102"/>
      <c r="D27" s="102"/>
      <c r="E27" s="102"/>
      <c r="F27" s="105"/>
      <c r="G27" s="105"/>
      <c r="H27" s="105"/>
      <c r="I27" s="105"/>
      <c r="J27" s="105"/>
      <c r="K27" s="105"/>
      <c r="L27" s="105"/>
      <c r="M27" s="105"/>
      <c r="N27" s="105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</row>
    <row r="28" spans="1:32" ht="14.4" customHeight="1">
      <c r="A28" s="107" t="s">
        <v>79</v>
      </c>
      <c r="B28" s="105"/>
      <c r="C28" s="102"/>
      <c r="D28" s="102"/>
      <c r="E28" s="102"/>
      <c r="F28" s="105"/>
      <c r="G28" s="105"/>
      <c r="H28" s="105"/>
      <c r="I28" s="105"/>
      <c r="J28" s="105"/>
      <c r="K28" s="105"/>
      <c r="L28" s="105"/>
      <c r="M28" s="105"/>
      <c r="N28" s="105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</row>
    <row r="29" spans="1:32" ht="14.4" customHeight="1">
      <c r="A29" s="107"/>
      <c r="B29" s="105"/>
      <c r="C29" s="102"/>
      <c r="D29" s="102"/>
      <c r="E29" s="102"/>
      <c r="F29" s="105"/>
      <c r="G29" s="105"/>
      <c r="H29" s="105"/>
      <c r="I29" s="105"/>
      <c r="J29" s="105"/>
      <c r="K29" s="105"/>
      <c r="L29" s="105"/>
      <c r="M29" s="105"/>
      <c r="N29" s="105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</row>
    <row r="30" spans="1:32" ht="14.4" customHeight="1">
      <c r="A30" s="108"/>
      <c r="B30" s="105"/>
      <c r="C30" s="102"/>
      <c r="D30" s="102"/>
      <c r="E30" s="102"/>
      <c r="F30" s="105"/>
      <c r="G30" s="105"/>
      <c r="H30" s="105"/>
      <c r="I30" s="105"/>
      <c r="J30" s="105"/>
      <c r="K30" s="105"/>
      <c r="L30" s="105"/>
      <c r="M30" s="105"/>
      <c r="N30" s="105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</row>
    <row r="31" spans="1:32" ht="14.4" customHeight="1">
      <c r="A31" s="108"/>
      <c r="B31" s="105"/>
      <c r="C31" s="102"/>
      <c r="D31" s="102"/>
      <c r="E31" s="102"/>
      <c r="F31" s="105"/>
      <c r="G31" s="105"/>
      <c r="H31" s="105"/>
      <c r="I31" s="105"/>
      <c r="J31" s="105"/>
      <c r="K31" s="105"/>
      <c r="L31" s="105"/>
      <c r="M31" s="105"/>
      <c r="N31" s="105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</row>
    <row r="32" spans="1:32" ht="14.4" customHeight="1">
      <c r="A32" s="107" t="s">
        <v>80</v>
      </c>
      <c r="B32" s="105"/>
      <c r="C32" s="102"/>
      <c r="D32" s="102"/>
      <c r="E32" s="102"/>
      <c r="F32" s="105"/>
      <c r="G32" s="105"/>
      <c r="H32" s="105"/>
      <c r="I32" s="105"/>
      <c r="J32" s="105"/>
      <c r="K32" s="105"/>
      <c r="L32" s="105"/>
      <c r="M32" s="105"/>
      <c r="N32" s="105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</row>
    <row r="33" spans="1:32" ht="14.4" customHeight="1">
      <c r="A33" s="107"/>
      <c r="B33" s="105"/>
      <c r="C33" s="102"/>
      <c r="D33" s="102"/>
      <c r="E33" s="102"/>
      <c r="F33" s="105"/>
      <c r="G33" s="105"/>
      <c r="H33" s="105"/>
      <c r="I33" s="105"/>
      <c r="J33" s="105"/>
      <c r="K33" s="105"/>
      <c r="L33" s="105"/>
      <c r="M33" s="105"/>
      <c r="N33" s="105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</row>
    <row r="34" spans="1:32" ht="14.4" customHeight="1">
      <c r="A34" s="108" t="s">
        <v>81</v>
      </c>
      <c r="B34" s="105"/>
      <c r="C34" s="102"/>
      <c r="D34" s="102"/>
      <c r="E34" s="102"/>
      <c r="F34" s="105"/>
      <c r="G34" s="105"/>
      <c r="H34" s="105"/>
      <c r="I34" s="105"/>
      <c r="J34" s="105"/>
      <c r="K34" s="105"/>
      <c r="L34" s="105"/>
      <c r="M34" s="105"/>
      <c r="N34" s="105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</row>
    <row r="35" spans="1:32" ht="14.4" customHeight="1">
      <c r="A35" s="107"/>
      <c r="B35" s="105"/>
      <c r="C35" s="102"/>
      <c r="D35" s="102"/>
      <c r="E35" s="102"/>
      <c r="F35" s="105"/>
      <c r="G35" s="105"/>
      <c r="H35" s="105"/>
      <c r="I35" s="105"/>
      <c r="J35" s="105"/>
      <c r="K35" s="105"/>
      <c r="L35" s="105"/>
      <c r="M35" s="105"/>
      <c r="N35" s="105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</row>
    <row r="36" spans="1:32" ht="14.4" customHeight="1">
      <c r="A36" s="107" t="s">
        <v>82</v>
      </c>
      <c r="B36" s="105"/>
      <c r="C36" s="102"/>
      <c r="D36" s="102"/>
      <c r="E36" s="102"/>
      <c r="F36" s="105"/>
      <c r="G36" s="105"/>
      <c r="H36" s="105"/>
      <c r="I36" s="105"/>
      <c r="J36" s="105"/>
      <c r="K36" s="105"/>
      <c r="L36" s="105"/>
      <c r="M36" s="105"/>
      <c r="N36" s="105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</row>
    <row r="37" spans="1:32" ht="14.4" customHeight="1">
      <c r="A37" s="108"/>
      <c r="B37" s="105"/>
      <c r="C37" s="102"/>
      <c r="D37" s="102"/>
      <c r="E37" s="102"/>
      <c r="F37" s="105"/>
      <c r="G37" s="105"/>
      <c r="H37" s="105"/>
      <c r="I37" s="105"/>
      <c r="J37" s="105"/>
      <c r="K37" s="105"/>
      <c r="L37" s="105"/>
      <c r="M37" s="105"/>
      <c r="N37" s="105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</row>
    <row r="38" spans="1:32" ht="14.4" customHeight="1">
      <c r="A38" s="108" t="s">
        <v>30</v>
      </c>
      <c r="B38" s="105" t="s">
        <v>31</v>
      </c>
      <c r="C38" s="102"/>
      <c r="D38" s="102"/>
      <c r="E38" s="102"/>
      <c r="F38" s="105"/>
      <c r="G38" s="105"/>
      <c r="H38" s="105"/>
      <c r="I38" s="105"/>
      <c r="J38" s="105"/>
      <c r="K38" s="105"/>
      <c r="L38" s="105"/>
      <c r="M38" s="105"/>
      <c r="N38" s="105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</row>
    <row r="39" spans="1:32" ht="14.4" customHeight="1">
      <c r="A39" s="108" t="s">
        <v>0</v>
      </c>
      <c r="B39" s="105" t="s">
        <v>83</v>
      </c>
      <c r="C39" s="102"/>
      <c r="D39" s="102"/>
      <c r="E39" s="102"/>
      <c r="F39" s="105"/>
      <c r="G39" s="105"/>
      <c r="H39" s="105"/>
      <c r="I39" s="105"/>
      <c r="J39" s="105"/>
      <c r="K39" s="105"/>
      <c r="L39" s="105"/>
      <c r="M39" s="105"/>
      <c r="N39" s="105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</row>
    <row r="40" spans="1:32" ht="14.4" customHeight="1">
      <c r="A40" s="105" t="s">
        <v>1</v>
      </c>
      <c r="B40" s="105" t="s">
        <v>84</v>
      </c>
      <c r="C40" s="102"/>
      <c r="D40" s="102"/>
      <c r="E40" s="102"/>
      <c r="F40" s="105"/>
      <c r="G40" s="105"/>
      <c r="H40" s="105"/>
      <c r="I40" s="105"/>
      <c r="J40" s="105"/>
      <c r="K40" s="105"/>
      <c r="L40" s="105"/>
      <c r="M40" s="105"/>
      <c r="N40" s="105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</row>
    <row r="41" spans="1:32" ht="14.4" customHeight="1">
      <c r="A41" s="105" t="s">
        <v>2</v>
      </c>
      <c r="B41" s="105" t="s">
        <v>85</v>
      </c>
      <c r="C41" s="102"/>
      <c r="D41" s="102"/>
      <c r="E41" s="102"/>
      <c r="F41" s="105"/>
      <c r="G41" s="105"/>
      <c r="H41" s="105"/>
      <c r="I41" s="105"/>
      <c r="J41" s="105"/>
      <c r="K41" s="105"/>
      <c r="L41" s="105"/>
      <c r="M41" s="105"/>
      <c r="N41" s="105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</row>
    <row r="42" spans="1:32" ht="36.6" customHeight="1">
      <c r="A42" s="102" t="s">
        <v>3</v>
      </c>
      <c r="B42" s="102" t="s">
        <v>86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5"/>
      <c r="N42" s="105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</row>
    <row r="43" spans="1:32" ht="14.4" customHeight="1">
      <c r="A43" s="105" t="s">
        <v>4</v>
      </c>
      <c r="B43" s="105" t="s">
        <v>87</v>
      </c>
      <c r="C43" s="102"/>
      <c r="D43" s="102"/>
      <c r="E43" s="102"/>
      <c r="F43" s="105"/>
      <c r="G43" s="105"/>
      <c r="H43" s="105"/>
      <c r="I43" s="105"/>
      <c r="J43" s="105"/>
      <c r="K43" s="105"/>
      <c r="L43" s="105"/>
      <c r="M43" s="105"/>
      <c r="N43" s="105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</row>
    <row r="44" spans="1:32" ht="14.4" customHeight="1">
      <c r="A44" s="105" t="s">
        <v>5</v>
      </c>
      <c r="B44" s="105" t="s">
        <v>88</v>
      </c>
      <c r="C44" s="102"/>
      <c r="D44" s="102"/>
      <c r="E44" s="102"/>
      <c r="F44" s="105"/>
      <c r="G44" s="105"/>
      <c r="H44" s="105"/>
      <c r="I44" s="105"/>
      <c r="J44" s="105"/>
      <c r="K44" s="105"/>
      <c r="L44" s="105"/>
      <c r="M44" s="105"/>
      <c r="N44" s="105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</row>
    <row r="45" spans="1:32" ht="14.4" customHeight="1">
      <c r="A45" s="105" t="s">
        <v>24</v>
      </c>
      <c r="B45" s="105" t="s">
        <v>89</v>
      </c>
      <c r="C45" s="102"/>
      <c r="D45" s="102"/>
      <c r="E45" s="102"/>
      <c r="F45" s="105"/>
      <c r="G45" s="105"/>
      <c r="H45" s="105"/>
      <c r="I45" s="105"/>
      <c r="J45" s="105"/>
      <c r="K45" s="105"/>
      <c r="L45" s="105"/>
      <c r="M45" s="105"/>
      <c r="N45" s="105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</row>
    <row r="46" spans="1:32" ht="14.4" customHeight="1">
      <c r="A46" s="105"/>
      <c r="B46" s="105"/>
      <c r="C46" s="102"/>
      <c r="D46" s="102"/>
      <c r="E46" s="102"/>
      <c r="F46" s="105"/>
      <c r="G46" s="105"/>
      <c r="H46" s="105"/>
      <c r="I46" s="105"/>
      <c r="J46" s="105"/>
      <c r="K46" s="105"/>
      <c r="L46" s="105"/>
      <c r="M46" s="105"/>
      <c r="N46" s="105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</row>
    <row r="47" spans="1:32" ht="14.4" customHeight="1">
      <c r="A47" s="105" t="s">
        <v>119</v>
      </c>
      <c r="B47" s="105"/>
      <c r="C47" s="102"/>
      <c r="D47" s="102"/>
      <c r="E47" s="102"/>
      <c r="F47" s="105"/>
      <c r="G47" s="105"/>
      <c r="H47" s="105"/>
      <c r="I47" s="105"/>
      <c r="J47" s="105"/>
      <c r="K47" s="105"/>
      <c r="L47" s="105"/>
      <c r="M47" s="105"/>
      <c r="N47" s="105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</row>
    <row r="48" spans="1:32" ht="14.4" customHeight="1">
      <c r="A48" s="106"/>
      <c r="B48" s="105"/>
      <c r="C48" s="102"/>
      <c r="D48" s="102"/>
      <c r="E48" s="102"/>
      <c r="F48" s="105"/>
      <c r="G48" s="105"/>
      <c r="H48" s="105"/>
      <c r="I48" s="105"/>
      <c r="J48" s="105"/>
      <c r="K48" s="105"/>
      <c r="L48" s="105"/>
      <c r="M48" s="105"/>
      <c r="N48" s="105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</row>
    <row r="49" spans="1:32" ht="14.4" customHeight="1">
      <c r="A49" s="105"/>
      <c r="B49" s="105"/>
      <c r="C49" s="102"/>
      <c r="D49" s="102"/>
      <c r="E49" s="102"/>
      <c r="F49" s="105"/>
      <c r="G49" s="105"/>
      <c r="H49" s="105"/>
      <c r="I49" s="105"/>
      <c r="J49" s="105"/>
      <c r="K49" s="105"/>
      <c r="L49" s="105"/>
      <c r="M49" s="105"/>
      <c r="N49" s="105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</row>
    <row r="50" spans="1:32" ht="14.4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</row>
    <row r="51" spans="1:32" ht="14.4" customHeight="1">
      <c r="A51" s="105" t="s">
        <v>90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</row>
    <row r="52" spans="1:32" ht="14.4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</row>
    <row r="53" spans="1:32" ht="14.4" customHeight="1">
      <c r="A53" s="105" t="s">
        <v>30</v>
      </c>
      <c r="B53" s="105" t="s">
        <v>31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</row>
    <row r="54" spans="1:32" ht="14.4" customHeight="1">
      <c r="A54" s="105" t="s">
        <v>6</v>
      </c>
      <c r="B54" s="105" t="s">
        <v>91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</row>
    <row r="55" spans="1:32" ht="14.4" customHeight="1">
      <c r="A55" s="105" t="s">
        <v>92</v>
      </c>
      <c r="B55" s="105" t="s">
        <v>93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</row>
    <row r="56" spans="1:32" ht="14.4" customHeight="1">
      <c r="A56" s="105" t="s">
        <v>7</v>
      </c>
      <c r="B56" s="105" t="s">
        <v>94</v>
      </c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</row>
    <row r="57" spans="1:32" ht="14.4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</row>
    <row r="58" spans="1:32" ht="14.4" customHeight="1">
      <c r="A58" s="105" t="s">
        <v>120</v>
      </c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</row>
    <row r="59" spans="1:32" ht="14.4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</row>
    <row r="60" spans="1:32" ht="14.4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</row>
    <row r="61" spans="1:32" ht="14.4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</row>
    <row r="62" spans="1:32" ht="14.4" customHeight="1">
      <c r="A62" s="105" t="s">
        <v>95</v>
      </c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</row>
    <row r="63" spans="1:32" ht="14.4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</row>
    <row r="64" spans="1:32" ht="14.4" customHeight="1">
      <c r="A64" s="105" t="s">
        <v>96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</row>
    <row r="65" spans="1:32" ht="14.4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</row>
    <row r="66" spans="1:32" ht="14.4" customHeight="1">
      <c r="A66" s="105" t="s">
        <v>97</v>
      </c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</row>
    <row r="67" spans="1:32" ht="14.4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</row>
    <row r="68" spans="1:32" ht="14.4" customHeight="1">
      <c r="A68" s="105" t="s">
        <v>98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</row>
    <row r="69" spans="1:32" ht="14.4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</row>
    <row r="70" spans="1:32" ht="14.4" customHeight="1">
      <c r="A70" s="105" t="s">
        <v>99</v>
      </c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</row>
    <row r="71" spans="1:32" ht="14.4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</row>
    <row r="72" spans="1:32" ht="14.4" customHeight="1">
      <c r="A72" s="105" t="s">
        <v>100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</row>
    <row r="73" spans="1:32" ht="14.4" customHeight="1">
      <c r="A73" s="105"/>
      <c r="B73" s="105"/>
      <c r="C73" s="105"/>
      <c r="D73" s="102"/>
      <c r="E73" s="102"/>
      <c r="F73" s="102"/>
      <c r="G73" s="105"/>
      <c r="H73" s="105"/>
      <c r="I73" s="105"/>
      <c r="J73" s="105"/>
      <c r="K73" s="105"/>
      <c r="L73" s="105"/>
      <c r="M73" s="105"/>
      <c r="N73" s="105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</row>
    <row r="74" spans="1:32" ht="14.4" customHeight="1">
      <c r="A74" s="105" t="s">
        <v>101</v>
      </c>
      <c r="B74" s="105"/>
      <c r="C74" s="105"/>
      <c r="D74" s="102"/>
      <c r="E74" s="102"/>
      <c r="F74" s="102"/>
      <c r="G74" s="105"/>
      <c r="H74" s="105"/>
      <c r="I74" s="105"/>
      <c r="J74" s="105"/>
      <c r="K74" s="105"/>
      <c r="L74" s="105"/>
      <c r="M74" s="105"/>
      <c r="N74" s="105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</row>
    <row r="75" spans="1:32" ht="14.4" customHeight="1">
      <c r="A75" s="105"/>
      <c r="B75" s="105"/>
      <c r="C75" s="105"/>
      <c r="D75" s="102"/>
      <c r="E75" s="102"/>
      <c r="F75" s="102"/>
      <c r="G75" s="105"/>
      <c r="H75" s="105"/>
      <c r="I75" s="105"/>
      <c r="J75" s="105"/>
      <c r="K75" s="105"/>
      <c r="L75" s="105"/>
      <c r="M75" s="105"/>
      <c r="N75" s="105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</row>
    <row r="76" spans="1:32" ht="14.4" customHeight="1">
      <c r="A76" s="105" t="s">
        <v>102</v>
      </c>
      <c r="B76" s="105"/>
      <c r="C76" s="105"/>
      <c r="D76" s="102"/>
      <c r="E76" s="102"/>
      <c r="F76" s="102"/>
      <c r="G76" s="105"/>
      <c r="H76" s="105"/>
      <c r="I76" s="105"/>
      <c r="J76" s="105"/>
      <c r="K76" s="105"/>
      <c r="L76" s="105"/>
      <c r="M76" s="105"/>
      <c r="N76" s="105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</row>
    <row r="77" spans="1:32" ht="14.4" customHeight="1">
      <c r="A77" s="105"/>
      <c r="B77" s="105"/>
      <c r="C77" s="105"/>
      <c r="D77" s="102"/>
      <c r="E77" s="102"/>
      <c r="F77" s="102"/>
      <c r="G77" s="105"/>
      <c r="H77" s="105"/>
      <c r="I77" s="105"/>
      <c r="J77" s="105"/>
      <c r="K77" s="105"/>
      <c r="L77" s="105"/>
      <c r="M77" s="105"/>
      <c r="N77" s="105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</row>
    <row r="78" spans="1:32" ht="14.4" customHeight="1">
      <c r="A78" s="105" t="s">
        <v>103</v>
      </c>
      <c r="B78" s="105"/>
      <c r="C78" s="105"/>
      <c r="D78" s="102"/>
      <c r="E78" s="102"/>
      <c r="F78" s="102"/>
      <c r="G78" s="105"/>
      <c r="H78" s="105"/>
      <c r="I78" s="105"/>
      <c r="J78" s="105"/>
      <c r="K78" s="105"/>
      <c r="L78" s="105"/>
      <c r="M78" s="105"/>
      <c r="N78" s="105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</row>
    <row r="79" spans="1:32" ht="14.4" customHeight="1">
      <c r="A79" s="105"/>
      <c r="B79" s="105"/>
      <c r="C79" s="105"/>
      <c r="D79" s="102"/>
      <c r="E79" s="102"/>
      <c r="F79" s="102"/>
      <c r="G79" s="105"/>
      <c r="H79" s="105"/>
      <c r="I79" s="105"/>
      <c r="J79" s="105"/>
      <c r="K79" s="105"/>
      <c r="L79" s="105"/>
      <c r="M79" s="105"/>
      <c r="N79" s="105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</row>
    <row r="80" spans="1:32">
      <c r="A80" s="105" t="s">
        <v>68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</row>
    <row r="81" spans="1:3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</row>
    <row r="82" spans="1:32">
      <c r="A82" s="105" t="s">
        <v>13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</row>
    <row r="83" spans="1:3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</row>
    <row r="84" spans="1:32">
      <c r="A84" s="105" t="s">
        <v>14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</row>
    <row r="85" spans="1:3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</row>
    <row r="86" spans="1:32">
      <c r="A86" s="105" t="s">
        <v>69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</row>
    <row r="87" spans="1:3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</row>
    <row r="88" spans="1:32">
      <c r="A88" s="105" t="s">
        <v>104</v>
      </c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</row>
    <row r="89" spans="1:3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</row>
    <row r="90" spans="1:32">
      <c r="A90" s="105" t="s">
        <v>121</v>
      </c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</row>
    <row r="91" spans="1:3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</row>
    <row r="92" spans="1:32">
      <c r="A92" s="105" t="s">
        <v>105</v>
      </c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</row>
    <row r="93" spans="1:3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</row>
    <row r="94" spans="1:32">
      <c r="A94" s="105" t="s">
        <v>106</v>
      </c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</row>
    <row r="95" spans="1:3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</row>
    <row r="96" spans="1:32">
      <c r="A96" s="105" t="s">
        <v>17</v>
      </c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</row>
    <row r="97" spans="1:3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</row>
    <row r="98" spans="1:32">
      <c r="A98" s="105" t="s">
        <v>107</v>
      </c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</row>
    <row r="99" spans="1:3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</row>
    <row r="100" spans="1:32">
      <c r="A100" s="105" t="s">
        <v>70</v>
      </c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</row>
    <row r="101" spans="1:3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</row>
    <row r="102" spans="1:32">
      <c r="A102" s="105" t="s">
        <v>108</v>
      </c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</row>
    <row r="103" spans="1:3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</row>
    <row r="104" spans="1:32">
      <c r="A104" s="105" t="s">
        <v>109</v>
      </c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</row>
    <row r="105" spans="1:3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</row>
    <row r="106" spans="1:3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</row>
    <row r="107" spans="1:3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</row>
    <row r="108" spans="1:32">
      <c r="A108" s="105" t="s">
        <v>110</v>
      </c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</row>
    <row r="109" spans="1:3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</row>
    <row r="110" spans="1:32">
      <c r="A110" s="105" t="s">
        <v>111</v>
      </c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</row>
    <row r="111" spans="1:3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</row>
    <row r="112" spans="1:32">
      <c r="A112" s="105" t="s">
        <v>112</v>
      </c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</row>
    <row r="113" spans="1:3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</row>
    <row r="114" spans="1:32">
      <c r="A114" s="105" t="s">
        <v>113</v>
      </c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</row>
    <row r="115" spans="1:3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</row>
    <row r="116" spans="1:32">
      <c r="A116" s="105" t="s">
        <v>122</v>
      </c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</row>
    <row r="117" spans="1:3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</row>
    <row r="118" spans="1:3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</row>
    <row r="119" spans="1:3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</row>
    <row r="120" spans="1:32">
      <c r="A120" s="105" t="s">
        <v>123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</row>
    <row r="121" spans="1:3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</row>
    <row r="122" spans="1:3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</row>
    <row r="123" spans="1:3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</row>
    <row r="124" spans="1:32">
      <c r="A124" s="105" t="s">
        <v>124</v>
      </c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</row>
    <row r="125" spans="1:32">
      <c r="A125" s="105" t="s">
        <v>125</v>
      </c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</row>
    <row r="126" spans="1:32">
      <c r="A126" s="105" t="s">
        <v>114</v>
      </c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</row>
    <row r="127" spans="1:3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</row>
    <row r="128" spans="1:32">
      <c r="A128" s="105" t="s">
        <v>115</v>
      </c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</row>
    <row r="129" spans="1:3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</row>
    <row r="130" spans="1:3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</row>
    <row r="131" spans="1:3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</row>
    <row r="132" spans="1:32">
      <c r="A132" s="5" t="s">
        <v>46</v>
      </c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</row>
    <row r="133" spans="1:32">
      <c r="A133" s="5" t="s">
        <v>128</v>
      </c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</row>
    <row r="134" spans="1:3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</row>
    <row r="135" spans="1:3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</row>
    <row r="136" spans="1:3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</row>
    <row r="137" spans="1:3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</row>
  </sheetData>
  <sheetProtection algorithmName="SHA-512" hashValue="ducVCL7trr0gvirUrWVkV6uJTAsGE78+6JrAqUmG0V1X/wdZAVCWYTass/jkN0yE9mGaZWYHsZ1OtTkNcbRDEA==" saltValue="h2did1MO9cZALhU5tYxa0w==" spinCount="100000" sheet="1" objects="1" scenarios="1" selectLockedCells="1" selectUnlockedCells="1"/>
  <hyperlinks>
    <hyperlink ref="A48" r:id="rId1" display="http://www.yscapgroup.com/" xr:uid="{AA3F529B-7553-4F58-9252-200275177E8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4" ma:contentTypeDescription="Create a new document." ma:contentTypeScope="" ma:versionID="64d2cbc56a22ac5cd338f08e0e4464ab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8a18193c64b0e2170cc0565e8c23d6ba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526491-0214-4477-9CAD-56A8526693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0F503A-3AEC-4D85-8D4C-F462191A1C38}"/>
</file>

<file path=customXml/itemProps3.xml><?xml version="1.0" encoding="utf-8"?>
<ds:datastoreItem xmlns:ds="http://schemas.openxmlformats.org/officeDocument/2006/customXml" ds:itemID="{DF0FDD8A-1920-41C9-B64C-0897980109B5}">
  <ds:schemaRefs>
    <ds:schemaRef ds:uri="http://schemas.microsoft.com/office/2006/metadata/properties"/>
    <ds:schemaRef ds:uri="http://schemas.microsoft.com/office/infopath/2007/PartnerControls"/>
    <ds:schemaRef ds:uri="d7eac4ec-cfe6-44c1-8384-f889af4f723e"/>
    <ds:schemaRef ds:uri="e8e991a0-14da-48f8-b377-886d3df094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YS Portfolio Tracker™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Bochner</dc:creator>
  <cp:lastModifiedBy>Yehuda Bochner</cp:lastModifiedBy>
  <dcterms:created xsi:type="dcterms:W3CDTF">2025-04-29T03:17:52Z</dcterms:created>
  <dcterms:modified xsi:type="dcterms:W3CDTF">2025-05-22T04:31:33Z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  <property fmtid="{D5CDD505-2E9C-101B-9397-08002B2CF9AE}" pid="3" name="MediaServiceImageTags">
    <vt:lpwstr/>
  </property>
</Properties>
</file>