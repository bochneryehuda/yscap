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yscapgroup-my.sharepoint.com/personal/yehuda_yscapgroup_com/Documents/Documents/YS CAPITAL INVESTOR SUITE - FINAL V1 - EXCEL FORMAT/"/>
    </mc:Choice>
  </mc:AlternateContent>
  <xr:revisionPtr revIDLastSave="587" documentId="8_{0BBB5C3B-A0C3-47F8-B4C8-4403B63DE305}" xr6:coauthVersionLast="47" xr6:coauthVersionMax="47" xr10:uidLastSave="{4CF45EA3-E899-45A6-966A-B92B12637326}"/>
  <bookViews>
    <workbookView xWindow="-108" yWindow="-108" windowWidth="23256" windowHeight="12456" xr2:uid="{00000000-000D-0000-FFFF-FFFF00000000}"/>
  </bookViews>
  <sheets>
    <sheet name="YS Portfolio Tracker™" sheetId="1" r:id="rId1"/>
    <sheet name="Instructions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" i="1" l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21" i="1"/>
  <c r="M21" i="1"/>
  <c r="L45" i="1"/>
  <c r="E45" i="1"/>
  <c r="F45" i="1"/>
  <c r="J45" i="1"/>
  <c r="H50" i="1" s="1"/>
  <c r="K45" i="1"/>
  <c r="C45" i="1"/>
  <c r="G45" i="1" l="1"/>
  <c r="H47" i="1" s="1"/>
  <c r="H52" i="1" s="1"/>
  <c r="M45" i="1"/>
  <c r="H48" i="1" s="1"/>
  <c r="H49" i="1" s="1"/>
  <c r="L47" i="1"/>
  <c r="H45" i="1"/>
  <c r="H51" i="1"/>
  <c r="L50" i="1" s="1"/>
  <c r="L49" i="1"/>
  <c r="L51" i="1"/>
  <c r="L48" i="1" l="1"/>
</calcChain>
</file>

<file path=xl/sharedStrings.xml><?xml version="1.0" encoding="utf-8"?>
<sst xmlns="http://schemas.openxmlformats.org/spreadsheetml/2006/main" count="148" uniqueCount="129">
  <si>
    <t>Property Address</t>
  </si>
  <si>
    <t>Property Type</t>
  </si>
  <si>
    <t>Purchase Price</t>
  </si>
  <si>
    <t>Date Purchased</t>
  </si>
  <si>
    <t>Current Value</t>
  </si>
  <si>
    <t>Outstanding Mortgage Principal</t>
  </si>
  <si>
    <t>Monthly Rental Income</t>
  </si>
  <si>
    <t>Other Monthly Expenses</t>
  </si>
  <si>
    <t>Monthly Mortgage Payment (PITI)</t>
  </si>
  <si>
    <t>Cash Flow</t>
  </si>
  <si>
    <t xml:space="preserve">Total Equity  </t>
  </si>
  <si>
    <t>REO Summary</t>
  </si>
  <si>
    <t>Equity &amp; Cashflow</t>
  </si>
  <si>
    <t>Net Monthly Cash Flow</t>
  </si>
  <si>
    <t>Net Annual Cash Flow</t>
  </si>
  <si>
    <t>Net Worth from REO</t>
  </si>
  <si>
    <t>Performance Ratios</t>
  </si>
  <si>
    <t>Portfolio Loan-to-Value (LTV)</t>
  </si>
  <si>
    <t>Portfolio Cash-on-Cash Return</t>
  </si>
  <si>
    <t>Portfolio Gross Rent Multiplier</t>
  </si>
  <si>
    <t xml:space="preserve">Gross annual rental income </t>
  </si>
  <si>
    <t>Total all annual expenses &amp; DSCR</t>
  </si>
  <si>
    <t>Portfolio all Expense Ratio &amp; DSCR</t>
  </si>
  <si>
    <t xml:space="preserve">Portfolio DSCR ratio  </t>
  </si>
  <si>
    <t>Cash Currently in Deal</t>
  </si>
  <si>
    <t xml:space="preserve"> Built-up Equity</t>
  </si>
  <si>
    <t>🏘️ YS Portfolio Tracker™</t>
  </si>
  <si>
    <t>Your Central Command for Real Estate Wealth Management</t>
  </si>
  <si>
    <t>📌 Purpose</t>
  </si>
  <si>
    <t>✅ How to Use</t>
  </si>
  <si>
    <t>Column</t>
  </si>
  <si>
    <t>What to Enter</t>
  </si>
  <si>
    <t>Enter the full address of each property</t>
  </si>
  <si>
    <t>e.g., Single Family, Duplex, Mixed Use</t>
  </si>
  <si>
    <t>Original acquisition cost</t>
  </si>
  <si>
    <t>Format: MM/DD/YYYY</t>
  </si>
  <si>
    <t>Best estimate of today's market value</t>
  </si>
  <si>
    <t>Current unpaid balance</t>
  </si>
  <si>
    <t>Auto-calculated: Value – Mortgage</t>
  </si>
  <si>
    <t>Total cash you've invested (down payment + rehab, etc.)</t>
  </si>
  <si>
    <t>Gross monthly rent received</t>
  </si>
  <si>
    <t>Full payment including taxes &amp; insurance</t>
  </si>
  <si>
    <t>Maintenance, utilities, HOA, etc.</t>
  </si>
  <si>
    <t>Auto-calculated: Rent – Mortgage – Expenses</t>
  </si>
  <si>
    <t>📈 Key Outcomes</t>
  </si>
  <si>
    <t>📞 Need Help or Want a Custom Dashboard?</t>
  </si>
  <si>
    <t>YS Capital Group</t>
  </si>
  <si>
    <t>🌐 www.yscapgroup.com</t>
  </si>
  <si>
    <t>Only fill in the white input cells. Everything else is automated.</t>
  </si>
  <si>
    <t>A – Property Address</t>
  </si>
  <si>
    <t>B – Property Type</t>
  </si>
  <si>
    <t>C – Purchase Price</t>
  </si>
  <si>
    <t>D – Date Purchased</t>
  </si>
  <si>
    <t>E – Current Value</t>
  </si>
  <si>
    <t>F – Outstanding Mortgage Principal</t>
  </si>
  <si>
    <t>G – Built-up Equity</t>
  </si>
  <si>
    <t>H – Cash Currently in Deal</t>
  </si>
  <si>
    <t>I – [Blank Column] (Can be used for notes or tenant name)</t>
  </si>
  <si>
    <t>J – Monthly Rental Income</t>
  </si>
  <si>
    <t>K – Monthly Mortgage Payment (PITI)</t>
  </si>
  <si>
    <t>L – Other Monthly Expenses</t>
  </si>
  <si>
    <t>M – Cash Flow</t>
  </si>
  <si>
    <t>🔢 Track Equity across your entire portfolio</t>
  </si>
  <si>
    <t>💸 Monitor Cash Flow per property and portfolio-wide</t>
  </si>
  <si>
    <t>🧮 Calculate ROI manually using the "Cash Currently in Deal" vs cash flow</t>
  </si>
  <si>
    <t>🏦 Prepare for Refinancing or Selling with up-to-date valuation vs principal data</t>
  </si>
  <si>
    <t>📱 718-831-2168</t>
  </si>
  <si>
    <t>📧 Sales@yscapgroup.com</t>
  </si>
  <si>
    <t>Total Equity</t>
  </si>
  <si>
    <t>Gross Annual Rental Income</t>
  </si>
  <si>
    <t>Gross Rent Multiplier</t>
  </si>
  <si>
    <t>Prepared by: Yehuda Bochner</t>
  </si>
  <si>
    <t>YS Portfolio Tracker™ - Powered by YS Capital Group The tool serious investors say YES to.</t>
  </si>
  <si>
    <t>📊 YS Portfolio Tracker™</t>
  </si>
  <si>
    <t>Powered by YS Capital Group</t>
  </si>
  <si>
    <t>The tool serious investors say YES to.</t>
  </si>
  <si>
    <t>✅ Purpose of This Sheet</t>
  </si>
  <si>
    <t>Whether you're managing 1 door or 100, this tracker gives you:</t>
  </si>
  <si>
    <t>Simple summaries that show you if your portfolio is actually working for you</t>
  </si>
  <si>
    <t>No more spreadsheets that confuse. This one delivers clarity.</t>
  </si>
  <si>
    <t>📝 What to Enter (Inputs)</t>
  </si>
  <si>
    <t>Just enter the data row-by-row — everything else is automated.</t>
  </si>
  <si>
    <t>🔹 Basic Property Info</t>
  </si>
  <si>
    <t>Street, unit, city, etc.</t>
  </si>
  <si>
    <t>1-Fam, Multi, Condo, etc.</t>
  </si>
  <si>
    <t>What you paid</t>
  </si>
  <si>
    <t>Date you closed</t>
  </si>
  <si>
    <t>Estimate based on market or appraisal</t>
  </si>
  <si>
    <t>What’s left on your loan</t>
  </si>
  <si>
    <t>How much of your cash is still in it</t>
  </si>
  <si>
    <t>🔹 Cash Flow Data</t>
  </si>
  <si>
    <t>Total rent collected</t>
  </si>
  <si>
    <t>Monthly Mortgage (PITI)</t>
  </si>
  <si>
    <t>Your full mortgage payment</t>
  </si>
  <si>
    <t>Insurance, maintenance, HOA, etc.</t>
  </si>
  <si>
    <t>📊 What You’ll See (Outputs)</t>
  </si>
  <si>
    <t>📌 REO Summary</t>
  </si>
  <si>
    <t>Auto-tallied totals for:</t>
  </si>
  <si>
    <t>Portfolio value</t>
  </si>
  <si>
    <t>Total mortgage balance</t>
  </si>
  <si>
    <t>Total equity</t>
  </si>
  <si>
    <t>Total cash in deal</t>
  </si>
  <si>
    <t>Total monthly income and expenses</t>
  </si>
  <si>
    <t>💰 Equity &amp; Cashflow Box</t>
  </si>
  <si>
    <t>Total Annual Expenses &amp; DSCR</t>
  </si>
  <si>
    <t>📈 Performance Ratios</t>
  </si>
  <si>
    <t>Automatically calculated:</t>
  </si>
  <si>
    <t>Cash-on-Cash Return</t>
  </si>
  <si>
    <t>Expense Ratio</t>
  </si>
  <si>
    <t>Portfolio DSCR (Debt Service Coverage Ratio)</t>
  </si>
  <si>
    <t>🔍 What This Sheet Tells You</t>
  </si>
  <si>
    <t>How much equity you’ve built</t>
  </si>
  <si>
    <t>How much cash flow you’re really keeping</t>
  </si>
  <si>
    <t>How your entire portfolio is performing — by the numbers</t>
  </si>
  <si>
    <t>🖥️ www.yscapgroup.com • ✉️ Sales@yscapgroup.com • 📞 718-831-2168</t>
  </si>
  <si>
    <t>“Own smarter. Track faster. Say YES to more.”</t>
  </si>
  <si>
    <t>This tool helps you organize, monitor, and evaluate your real estate portfolio — in one clean view.</t>
  </si>
  <si>
    <t>Clear oversight of equity, cash flow, and performance</t>
  </si>
  <si>
    <t>A real-time snapshot of your REO value, debt, income, and returns</t>
  </si>
  <si>
    <t>✅ The sheet automatically calculates built-up equity (value minus debt).</t>
  </si>
  <si>
    <t>✅ The sheet calculates net monthly cash flow (income minus expenses).</t>
  </si>
  <si>
    <t>Your Net Worth From REO ✅</t>
  </si>
  <si>
    <t>Whether it’s time to refi, sell, or scale</t>
  </si>
  <si>
    <t>📌 Pro Tip: Use this tracker monthly or quarterly to review your portfolio and make confident, data-driven decisions.</t>
  </si>
  <si>
    <t>📞 Need funding, exit advice, or acquisition capital?</t>
  </si>
  <si>
    <t>Let YS Capital Group help you expand.</t>
  </si>
  <si>
    <t>The YS Portfolio Tracker™ is your all-in-one command center to track, analyze, and manage your real estate holdings.</t>
  </si>
  <si>
    <t xml:space="preserve"> Designed for real estate investors and asset managers, this tool gives you complete visibility into your REO and rental property performance.</t>
  </si>
  <si>
    <t xml:space="preserve">NMLS ID 2609746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</si>
</sst>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00%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Aptos Narrow"/>
      <family val="2"/>
    </font>
    <font>
      <sz val="11"/>
      <name val="Calibri"/>
      <family val="2"/>
      <scheme val="minor"/>
    </font>
    <font>
      <b/>
      <sz val="20"/>
      <color theme="0"/>
      <name val="Courier New"/>
      <family val="3"/>
    </font>
    <font>
      <sz val="11"/>
      <color theme="1"/>
      <name val="Courier New"/>
      <family val="3"/>
    </font>
    <font>
      <sz val="11"/>
      <color theme="0"/>
      <name val="Courier New"/>
      <family val="3"/>
    </font>
    <font>
      <u/>
      <sz val="11"/>
      <color theme="10"/>
      <name val="Calibri"/>
      <family val="2"/>
      <scheme val="minor"/>
    </font>
    <font>
      <u/>
      <sz val="11"/>
      <color theme="0"/>
      <name val="Courier New"/>
      <family val="3"/>
    </font>
  </fonts>
  <fills count="7">
    <fill>
      <patternFill patternType="none"/>
    </fill>
    <fill>
      <patternFill patternType="gray125"/>
    </fill>
    <fill>
      <patternFill patternType="solid">
        <fgColor rgb="FF222932"/>
        <bgColor indexed="64"/>
      </patternFill>
    </fill>
    <fill>
      <patternFill patternType="solid">
        <fgColor rgb="FF222932"/>
        <bgColor rgb="FF222932"/>
      </patternFill>
    </fill>
    <fill>
      <patternFill patternType="solid">
        <fgColor rgb="FF76AAAC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CEDEE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auto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auto="1"/>
      </bottom>
      <diagonal/>
    </border>
    <border>
      <left style="thin">
        <color theme="0"/>
      </left>
      <right/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auto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auto="1"/>
      </bottom>
      <diagonal/>
    </border>
    <border>
      <left/>
      <right style="thin">
        <color theme="0"/>
      </right>
      <top/>
      <bottom/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114">
    <xf numFmtId="0" fontId="0" fillId="0" borderId="0" xfId="0"/>
    <xf numFmtId="0" fontId="3" fillId="2" borderId="0" xfId="0" applyFont="1" applyFill="1"/>
    <xf numFmtId="44" fontId="3" fillId="2" borderId="0" xfId="1" applyFont="1" applyFill="1"/>
    <xf numFmtId="14" fontId="3" fillId="2" borderId="0" xfId="0" applyNumberFormat="1" applyFont="1" applyFill="1"/>
    <xf numFmtId="0" fontId="3" fillId="0" borderId="0" xfId="0" applyFont="1"/>
    <xf numFmtId="0" fontId="3" fillId="2" borderId="1" xfId="0" applyFont="1" applyFill="1" applyBorder="1"/>
    <xf numFmtId="0" fontId="3" fillId="2" borderId="3" xfId="0" applyFont="1" applyFill="1" applyBorder="1"/>
    <xf numFmtId="44" fontId="3" fillId="2" borderId="0" xfId="1" applyFont="1" applyFill="1" applyBorder="1"/>
    <xf numFmtId="0" fontId="3" fillId="2" borderId="2" xfId="0" applyFont="1" applyFill="1" applyBorder="1"/>
    <xf numFmtId="44" fontId="3" fillId="0" borderId="0" xfId="1" applyFont="1"/>
    <xf numFmtId="14" fontId="3" fillId="0" borderId="0" xfId="0" applyNumberFormat="1" applyFont="1"/>
    <xf numFmtId="0" fontId="4" fillId="3" borderId="4" xfId="0" applyFont="1" applyFill="1" applyBorder="1"/>
    <xf numFmtId="0" fontId="3" fillId="2" borderId="0" xfId="0" applyFont="1" applyFill="1" applyAlignment="1">
      <alignment horizontal="center" vertical="center"/>
    </xf>
    <xf numFmtId="44" fontId="2" fillId="2" borderId="8" xfId="1" applyFont="1" applyFill="1" applyBorder="1" applyAlignment="1">
      <alignment horizontal="center" vertical="top"/>
    </xf>
    <xf numFmtId="0" fontId="2" fillId="2" borderId="6" xfId="0" applyFont="1" applyFill="1" applyBorder="1" applyAlignment="1">
      <alignment horizontal="center" vertical="top"/>
    </xf>
    <xf numFmtId="0" fontId="2" fillId="2" borderId="5" xfId="0" applyFont="1" applyFill="1" applyBorder="1" applyAlignment="1">
      <alignment horizontal="center" vertical="top"/>
    </xf>
    <xf numFmtId="44" fontId="2" fillId="2" borderId="6" xfId="1" applyFont="1" applyFill="1" applyBorder="1" applyAlignment="1">
      <alignment horizontal="center" vertical="top"/>
    </xf>
    <xf numFmtId="14" fontId="2" fillId="2" borderId="6" xfId="0" applyNumberFormat="1" applyFont="1" applyFill="1" applyBorder="1" applyAlignment="1">
      <alignment horizontal="center" vertical="top"/>
    </xf>
    <xf numFmtId="44" fontId="2" fillId="2" borderId="5" xfId="1" applyFont="1" applyFill="1" applyBorder="1" applyAlignment="1">
      <alignment horizontal="center" vertical="top"/>
    </xf>
    <xf numFmtId="44" fontId="2" fillId="2" borderId="7" xfId="1" applyFont="1" applyFill="1" applyBorder="1" applyAlignment="1">
      <alignment horizontal="center" vertical="top"/>
    </xf>
    <xf numFmtId="0" fontId="3" fillId="2" borderId="6" xfId="0" applyFont="1" applyFill="1" applyBorder="1"/>
    <xf numFmtId="0" fontId="3" fillId="2" borderId="7" xfId="0" applyFont="1" applyFill="1" applyBorder="1"/>
    <xf numFmtId="44" fontId="3" fillId="2" borderId="7" xfId="1" applyFont="1" applyFill="1" applyBorder="1"/>
    <xf numFmtId="0" fontId="3" fillId="2" borderId="22" xfId="0" applyFont="1" applyFill="1" applyBorder="1"/>
    <xf numFmtId="0" fontId="3" fillId="2" borderId="24" xfId="0" applyFont="1" applyFill="1" applyBorder="1"/>
    <xf numFmtId="44" fontId="3" fillId="2" borderId="5" xfId="1" applyFont="1" applyFill="1" applyBorder="1"/>
    <xf numFmtId="44" fontId="3" fillId="2" borderId="17" xfId="1" applyFont="1" applyFill="1" applyBorder="1"/>
    <xf numFmtId="44" fontId="3" fillId="2" borderId="11" xfId="1" applyFont="1" applyFill="1" applyBorder="1"/>
    <xf numFmtId="44" fontId="3" fillId="2" borderId="16" xfId="1" applyFont="1" applyFill="1" applyBorder="1"/>
    <xf numFmtId="0" fontId="3" fillId="2" borderId="26" xfId="0" applyFont="1" applyFill="1" applyBorder="1"/>
    <xf numFmtId="0" fontId="3" fillId="2" borderId="18" xfId="0" applyFont="1" applyFill="1" applyBorder="1"/>
    <xf numFmtId="44" fontId="2" fillId="2" borderId="5" xfId="1" applyFont="1" applyFill="1" applyBorder="1"/>
    <xf numFmtId="0" fontId="3" fillId="2" borderId="15" xfId="0" applyFont="1" applyFill="1" applyBorder="1"/>
    <xf numFmtId="0" fontId="3" fillId="2" borderId="20" xfId="0" applyFont="1" applyFill="1" applyBorder="1"/>
    <xf numFmtId="0" fontId="3" fillId="2" borderId="20" xfId="0" applyFont="1" applyFill="1" applyBorder="1" applyAlignment="1">
      <alignment horizontal="left" vertical="top" wrapText="1"/>
    </xf>
    <xf numFmtId="0" fontId="3" fillId="4" borderId="1" xfId="0" applyFont="1" applyFill="1" applyBorder="1" applyProtection="1">
      <protection locked="0"/>
    </xf>
    <xf numFmtId="0" fontId="3" fillId="4" borderId="11" xfId="0" applyFont="1" applyFill="1" applyBorder="1" applyProtection="1">
      <protection locked="0"/>
    </xf>
    <xf numFmtId="44" fontId="3" fillId="4" borderId="0" xfId="1" applyFont="1" applyFill="1" applyBorder="1" applyProtection="1">
      <protection locked="0"/>
    </xf>
    <xf numFmtId="14" fontId="3" fillId="4" borderId="18" xfId="0" applyNumberFormat="1" applyFont="1" applyFill="1" applyBorder="1" applyProtection="1">
      <protection locked="0"/>
    </xf>
    <xf numFmtId="44" fontId="3" fillId="4" borderId="18" xfId="1" applyFont="1" applyFill="1" applyBorder="1" applyProtection="1">
      <protection locked="0"/>
    </xf>
    <xf numFmtId="44" fontId="3" fillId="4" borderId="11" xfId="1" applyFont="1" applyFill="1" applyBorder="1" applyProtection="1">
      <protection locked="0"/>
    </xf>
    <xf numFmtId="0" fontId="3" fillId="4" borderId="15" xfId="0" applyFont="1" applyFill="1" applyBorder="1" applyProtection="1">
      <protection locked="0"/>
    </xf>
    <xf numFmtId="0" fontId="3" fillId="4" borderId="17" xfId="0" applyFont="1" applyFill="1" applyBorder="1" applyProtection="1">
      <protection locked="0"/>
    </xf>
    <xf numFmtId="44" fontId="3" fillId="4" borderId="21" xfId="1" applyFont="1" applyFill="1" applyBorder="1" applyProtection="1">
      <protection locked="0"/>
    </xf>
    <xf numFmtId="14" fontId="3" fillId="4" borderId="15" xfId="0" applyNumberFormat="1" applyFont="1" applyFill="1" applyBorder="1" applyProtection="1">
      <protection locked="0"/>
    </xf>
    <xf numFmtId="44" fontId="3" fillId="4" borderId="15" xfId="1" applyFont="1" applyFill="1" applyBorder="1" applyProtection="1">
      <protection locked="0"/>
    </xf>
    <xf numFmtId="44" fontId="3" fillId="4" borderId="17" xfId="1" applyFont="1" applyFill="1" applyBorder="1" applyProtection="1">
      <protection locked="0"/>
    </xf>
    <xf numFmtId="0" fontId="3" fillId="4" borderId="5" xfId="0" applyFont="1" applyFill="1" applyBorder="1" applyProtection="1">
      <protection locked="0"/>
    </xf>
    <xf numFmtId="44" fontId="3" fillId="4" borderId="7" xfId="1" applyFont="1" applyFill="1" applyBorder="1" applyProtection="1">
      <protection locked="0"/>
    </xf>
    <xf numFmtId="14" fontId="3" fillId="4" borderId="5" xfId="0" applyNumberFormat="1" applyFont="1" applyFill="1" applyBorder="1" applyProtection="1">
      <protection locked="0"/>
    </xf>
    <xf numFmtId="44" fontId="3" fillId="4" borderId="6" xfId="1" applyFont="1" applyFill="1" applyBorder="1" applyProtection="1">
      <protection locked="0"/>
    </xf>
    <xf numFmtId="44" fontId="3" fillId="4" borderId="5" xfId="1" applyFont="1" applyFill="1" applyBorder="1" applyProtection="1">
      <protection locked="0"/>
    </xf>
    <xf numFmtId="0" fontId="3" fillId="4" borderId="16" xfId="0" applyFont="1" applyFill="1" applyBorder="1" applyProtection="1">
      <protection locked="0"/>
    </xf>
    <xf numFmtId="44" fontId="3" fillId="4" borderId="23" xfId="1" applyFont="1" applyFill="1" applyBorder="1" applyProtection="1">
      <protection locked="0"/>
    </xf>
    <xf numFmtId="14" fontId="3" fillId="4" borderId="16" xfId="0" applyNumberFormat="1" applyFont="1" applyFill="1" applyBorder="1" applyProtection="1">
      <protection locked="0"/>
    </xf>
    <xf numFmtId="44" fontId="3" fillId="4" borderId="22" xfId="1" applyFont="1" applyFill="1" applyBorder="1" applyProtection="1">
      <protection locked="0"/>
    </xf>
    <xf numFmtId="44" fontId="3" fillId="4" borderId="16" xfId="1" applyFont="1" applyFill="1" applyBorder="1" applyProtection="1">
      <protection locked="0"/>
    </xf>
    <xf numFmtId="14" fontId="3" fillId="4" borderId="22" xfId="0" applyNumberFormat="1" applyFont="1" applyFill="1" applyBorder="1" applyProtection="1">
      <protection locked="0"/>
    </xf>
    <xf numFmtId="0" fontId="3" fillId="4" borderId="0" xfId="0" applyFont="1" applyFill="1" applyProtection="1">
      <protection locked="0"/>
    </xf>
    <xf numFmtId="14" fontId="3" fillId="4" borderId="0" xfId="0" applyNumberFormat="1" applyFont="1" applyFill="1" applyProtection="1">
      <protection locked="0"/>
    </xf>
    <xf numFmtId="44" fontId="3" fillId="4" borderId="20" xfId="1" applyFont="1" applyFill="1" applyBorder="1" applyProtection="1">
      <protection locked="0"/>
    </xf>
    <xf numFmtId="44" fontId="3" fillId="4" borderId="26" xfId="1" applyFont="1" applyFill="1" applyBorder="1" applyProtection="1">
      <protection locked="0"/>
    </xf>
    <xf numFmtId="14" fontId="3" fillId="4" borderId="11" xfId="0" applyNumberFormat="1" applyFont="1" applyFill="1" applyBorder="1" applyProtection="1">
      <protection locked="0"/>
    </xf>
    <xf numFmtId="44" fontId="3" fillId="4" borderId="8" xfId="1" applyFont="1" applyFill="1" applyBorder="1" applyProtection="1">
      <protection locked="0"/>
    </xf>
    <xf numFmtId="14" fontId="3" fillId="4" borderId="17" xfId="0" applyNumberFormat="1" applyFont="1" applyFill="1" applyBorder="1" applyProtection="1">
      <protection locked="0"/>
    </xf>
    <xf numFmtId="44" fontId="3" fillId="4" borderId="24" xfId="1" applyFont="1" applyFill="1" applyBorder="1" applyProtection="1">
      <protection locked="0"/>
    </xf>
    <xf numFmtId="0" fontId="3" fillId="4" borderId="23" xfId="0" applyFont="1" applyFill="1" applyBorder="1" applyProtection="1">
      <protection locked="0"/>
    </xf>
    <xf numFmtId="0" fontId="3" fillId="4" borderId="6" xfId="0" applyFont="1" applyFill="1" applyBorder="1" applyProtection="1">
      <protection locked="0"/>
    </xf>
    <xf numFmtId="0" fontId="3" fillId="4" borderId="18" xfId="0" applyFont="1" applyFill="1" applyBorder="1" applyProtection="1">
      <protection locked="0"/>
    </xf>
    <xf numFmtId="0" fontId="3" fillId="4" borderId="25" xfId="0" applyFont="1" applyFill="1" applyBorder="1" applyProtection="1">
      <protection locked="0"/>
    </xf>
    <xf numFmtId="44" fontId="3" fillId="4" borderId="20" xfId="1" applyFont="1" applyFill="1" applyBorder="1" applyAlignment="1" applyProtection="1">
      <alignment wrapText="1"/>
      <protection locked="0"/>
    </xf>
    <xf numFmtId="44" fontId="3" fillId="4" borderId="27" xfId="1" applyFont="1" applyFill="1" applyBorder="1" applyProtection="1">
      <protection locked="0"/>
    </xf>
    <xf numFmtId="44" fontId="3" fillId="5" borderId="5" xfId="1" applyFont="1" applyFill="1" applyBorder="1"/>
    <xf numFmtId="14" fontId="3" fillId="5" borderId="5" xfId="0" applyNumberFormat="1" applyFont="1" applyFill="1" applyBorder="1"/>
    <xf numFmtId="44" fontId="3" fillId="5" borderId="8" xfId="1" applyFont="1" applyFill="1" applyBorder="1"/>
    <xf numFmtId="10" fontId="3" fillId="5" borderId="8" xfId="2" applyNumberFormat="1" applyFont="1" applyFill="1" applyBorder="1"/>
    <xf numFmtId="14" fontId="3" fillId="5" borderId="15" xfId="0" applyNumberFormat="1" applyFont="1" applyFill="1" applyBorder="1"/>
    <xf numFmtId="44" fontId="3" fillId="5" borderId="12" xfId="1" applyFont="1" applyFill="1" applyBorder="1"/>
    <xf numFmtId="164" fontId="3" fillId="5" borderId="19" xfId="2" applyNumberFormat="1" applyFont="1" applyFill="1" applyBorder="1"/>
    <xf numFmtId="14" fontId="3" fillId="5" borderId="18" xfId="0" applyNumberFormat="1" applyFont="1" applyFill="1" applyBorder="1"/>
    <xf numFmtId="44" fontId="3" fillId="5" borderId="13" xfId="1" applyFont="1" applyFill="1" applyBorder="1"/>
    <xf numFmtId="2" fontId="3" fillId="5" borderId="9" xfId="2" applyNumberFormat="1" applyFont="1" applyFill="1" applyBorder="1"/>
    <xf numFmtId="10" fontId="3" fillId="5" borderId="9" xfId="2" applyNumberFormat="1" applyFont="1" applyFill="1" applyBorder="1"/>
    <xf numFmtId="14" fontId="3" fillId="5" borderId="22" xfId="0" applyNumberFormat="1" applyFont="1" applyFill="1" applyBorder="1"/>
    <xf numFmtId="44" fontId="3" fillId="5" borderId="10" xfId="1" applyFont="1" applyFill="1" applyBorder="1"/>
    <xf numFmtId="0" fontId="3" fillId="5" borderId="14" xfId="1" applyNumberFormat="1" applyFont="1" applyFill="1" applyBorder="1"/>
    <xf numFmtId="44" fontId="3" fillId="5" borderId="16" xfId="1" applyFont="1" applyFill="1" applyBorder="1"/>
    <xf numFmtId="44" fontId="5" fillId="6" borderId="5" xfId="1" applyFont="1" applyFill="1" applyBorder="1"/>
    <xf numFmtId="44" fontId="5" fillId="6" borderId="24" xfId="1" applyFont="1" applyFill="1" applyBorder="1"/>
    <xf numFmtId="44" fontId="5" fillId="6" borderId="8" xfId="1" applyFont="1" applyFill="1" applyBorder="1"/>
    <xf numFmtId="44" fontId="5" fillId="6" borderId="7" xfId="1" applyFont="1" applyFill="1" applyBorder="1"/>
    <xf numFmtId="44" fontId="3" fillId="2" borderId="24" xfId="1" applyFont="1" applyFill="1" applyBorder="1"/>
    <xf numFmtId="44" fontId="3" fillId="2" borderId="8" xfId="1" applyFont="1" applyFill="1" applyBorder="1"/>
    <xf numFmtId="44" fontId="5" fillId="6" borderId="22" xfId="1" applyFont="1" applyFill="1" applyBorder="1"/>
    <xf numFmtId="0" fontId="3" fillId="5" borderId="18" xfId="0" applyFont="1" applyFill="1" applyBorder="1"/>
    <xf numFmtId="0" fontId="3" fillId="5" borderId="22" xfId="0" applyFont="1" applyFill="1" applyBorder="1"/>
    <xf numFmtId="0" fontId="3" fillId="5" borderId="5" xfId="0" applyFont="1" applyFill="1" applyBorder="1"/>
    <xf numFmtId="44" fontId="3" fillId="5" borderId="8" xfId="0" applyNumberFormat="1" applyFont="1" applyFill="1" applyBorder="1"/>
    <xf numFmtId="44" fontId="3" fillId="5" borderId="17" xfId="1" applyFont="1" applyFill="1" applyBorder="1"/>
    <xf numFmtId="44" fontId="3" fillId="5" borderId="26" xfId="0" applyNumberFormat="1" applyFont="1" applyFill="1" applyBorder="1"/>
    <xf numFmtId="44" fontId="3" fillId="5" borderId="26" xfId="1" applyFont="1" applyFill="1" applyBorder="1"/>
    <xf numFmtId="44" fontId="3" fillId="5" borderId="24" xfId="0" applyNumberFormat="1" applyFont="1" applyFill="1" applyBorder="1"/>
    <xf numFmtId="0" fontId="8" fillId="2" borderId="0" xfId="0" applyFont="1" applyFill="1" applyAlignment="1">
      <alignment horizontal="left" wrapText="1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0" xfId="0" applyFont="1" applyFill="1" applyAlignment="1">
      <alignment horizontal="left"/>
    </xf>
    <xf numFmtId="0" fontId="10" fillId="2" borderId="0" xfId="3" applyFont="1" applyFill="1" applyBorder="1" applyAlignment="1">
      <alignment horizontal="left"/>
    </xf>
    <xf numFmtId="0" fontId="8" fillId="2" borderId="0" xfId="0" applyFont="1" applyFill="1" applyAlignment="1">
      <alignment horizontal="left" indent="1"/>
    </xf>
    <xf numFmtId="0" fontId="8" fillId="2" borderId="0" xfId="0" applyFont="1" applyFill="1" applyAlignment="1">
      <alignment horizontal="left" indent="2"/>
    </xf>
    <xf numFmtId="0" fontId="8" fillId="0" borderId="0" xfId="0" applyFont="1" applyAlignment="1">
      <alignment horizontal="left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30" xfId="0" applyFont="1" applyFill="1" applyBorder="1" applyAlignment="1">
      <alignment horizontal="left" vertical="center"/>
    </xf>
    <xf numFmtId="0" fontId="0" fillId="2" borderId="0" xfId="0" applyFill="1"/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0"/>
  <tableStyles count="0" defaultTableStyle="TableStyleMedium9" defaultPivotStyle="PivotStyleLight16"/>
  <colors>
    <mruColors>
      <color rgb="FF222932"/>
      <color rgb="FFECED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5</xdr:col>
      <xdr:colOff>0</xdr:colOff>
      <xdr:row>11</xdr:row>
      <xdr:rowOff>25400</xdr:rowOff>
    </xdr:to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9DB81E3A-8B4A-419C-B2FA-26347CD88F3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6883400" cy="1981200"/>
        </a:xfrm>
        <a:prstGeom prst="rect">
          <a:avLst/>
        </a:prstGeom>
        <a:noFill/>
      </xdr:spPr>
    </xdr:pic>
    <xdr:clientData/>
  </xdr:twoCellAnchor>
  <xdr:twoCellAnchor editAs="absolute">
    <xdr:from>
      <xdr:col>4</xdr:col>
      <xdr:colOff>1066800</xdr:colOff>
      <xdr:row>0</xdr:row>
      <xdr:rowOff>0</xdr:rowOff>
    </xdr:from>
    <xdr:to>
      <xdr:col>9</xdr:col>
      <xdr:colOff>292100</xdr:colOff>
      <xdr:row>11</xdr:row>
      <xdr:rowOff>38100</xdr:rowOff>
    </xdr:to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F94E1B2F-4C47-40F6-93B6-AC7F4C66104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642100" y="0"/>
          <a:ext cx="7975600" cy="1993900"/>
        </a:xfrm>
        <a:prstGeom prst="rect">
          <a:avLst/>
        </a:prstGeom>
        <a:noFill/>
      </xdr:spPr>
    </xdr:pic>
    <xdr:clientData/>
  </xdr:twoCellAnchor>
  <xdr:twoCellAnchor editAs="absolute">
    <xdr:from>
      <xdr:col>9</xdr:col>
      <xdr:colOff>25400</xdr:colOff>
      <xdr:row>0</xdr:row>
      <xdr:rowOff>0</xdr:rowOff>
    </xdr:from>
    <xdr:to>
      <xdr:col>14</xdr:col>
      <xdr:colOff>177800</xdr:colOff>
      <xdr:row>11</xdr:row>
      <xdr:rowOff>38100</xdr:rowOff>
    </xdr:to>
    <xdr:pic>
      <xdr:nvPicPr>
        <xdr:cNvPr id="4" name="image1.png" title="Image">
          <a:extLst>
            <a:ext uri="{FF2B5EF4-FFF2-40B4-BE49-F238E27FC236}">
              <a16:creationId xmlns:a16="http://schemas.microsoft.com/office/drawing/2014/main" id="{4E142F93-DCE1-48B2-851F-118434388A36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4351000" y="0"/>
          <a:ext cx="7975600" cy="1993900"/>
        </a:xfrm>
        <a:prstGeom prst="rect">
          <a:avLst/>
        </a:prstGeom>
        <a:noFill/>
      </xdr:spPr>
    </xdr:pic>
    <xdr:clientData/>
  </xdr:twoCellAnchor>
  <xdr:twoCellAnchor editAs="absolute">
    <xdr:from>
      <xdr:col>13</xdr:col>
      <xdr:colOff>495300</xdr:colOff>
      <xdr:row>0</xdr:row>
      <xdr:rowOff>0</xdr:rowOff>
    </xdr:from>
    <xdr:to>
      <xdr:col>16</xdr:col>
      <xdr:colOff>2730500</xdr:colOff>
      <xdr:row>11</xdr:row>
      <xdr:rowOff>38100</xdr:rowOff>
    </xdr:to>
    <xdr:pic>
      <xdr:nvPicPr>
        <xdr:cNvPr id="5" name="image1.png" title="Image">
          <a:extLst>
            <a:ext uri="{FF2B5EF4-FFF2-40B4-BE49-F238E27FC236}">
              <a16:creationId xmlns:a16="http://schemas.microsoft.com/office/drawing/2014/main" id="{811632A9-F105-4280-A879-DFC3E050229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2034500" y="0"/>
          <a:ext cx="7975600" cy="1993900"/>
        </a:xfrm>
        <a:prstGeom prst="rect">
          <a:avLst/>
        </a:prstGeom>
        <a:noFill/>
      </xdr:spPr>
    </xdr:pic>
    <xdr:clientData/>
  </xdr:twoCellAnchor>
  <xdr:twoCellAnchor editAs="absolute">
    <xdr:from>
      <xdr:col>16</xdr:col>
      <xdr:colOff>2438400</xdr:colOff>
      <xdr:row>0</xdr:row>
      <xdr:rowOff>0</xdr:rowOff>
    </xdr:from>
    <xdr:to>
      <xdr:col>30</xdr:col>
      <xdr:colOff>25400</xdr:colOff>
      <xdr:row>11</xdr:row>
      <xdr:rowOff>38100</xdr:rowOff>
    </xdr:to>
    <xdr:pic>
      <xdr:nvPicPr>
        <xdr:cNvPr id="6" name="image1.png" title="Image">
          <a:extLst>
            <a:ext uri="{FF2B5EF4-FFF2-40B4-BE49-F238E27FC236}">
              <a16:creationId xmlns:a16="http://schemas.microsoft.com/office/drawing/2014/main" id="{06D15008-F95F-48F1-BCAB-A6E80E1631FA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9718000" y="0"/>
          <a:ext cx="7975600" cy="1993900"/>
        </a:xfrm>
        <a:prstGeom prst="rect">
          <a:avLst/>
        </a:prstGeom>
        <a:noFill/>
      </xdr:spPr>
    </xdr:pic>
    <xdr:clientData/>
  </xdr:twoCellAnchor>
  <xdr:twoCellAnchor editAs="absolute">
    <xdr:from>
      <xdr:col>0</xdr:col>
      <xdr:colOff>0</xdr:colOff>
      <xdr:row>71</xdr:row>
      <xdr:rowOff>38100</xdr:rowOff>
    </xdr:from>
    <xdr:to>
      <xdr:col>5</xdr:col>
      <xdr:colOff>1092200</xdr:colOff>
      <xdr:row>82</xdr:row>
      <xdr:rowOff>63500</xdr:rowOff>
    </xdr:to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CE122E1F-35F8-4407-875E-6A9AA0BF3684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12903200"/>
          <a:ext cx="7975600" cy="1993900"/>
        </a:xfrm>
        <a:prstGeom prst="rect">
          <a:avLst/>
        </a:prstGeom>
        <a:noFill/>
      </xdr:spPr>
    </xdr:pic>
    <xdr:clientData/>
  </xdr:twoCellAnchor>
  <xdr:twoCellAnchor editAs="absolute">
    <xdr:from>
      <xdr:col>5</xdr:col>
      <xdr:colOff>406400</xdr:colOff>
      <xdr:row>71</xdr:row>
      <xdr:rowOff>25400</xdr:rowOff>
    </xdr:from>
    <xdr:to>
      <xdr:col>9</xdr:col>
      <xdr:colOff>939800</xdr:colOff>
      <xdr:row>82</xdr:row>
      <xdr:rowOff>50800</xdr:rowOff>
    </xdr:to>
    <xdr:pic>
      <xdr:nvPicPr>
        <xdr:cNvPr id="8" name="image1.png" title="Image">
          <a:extLst>
            <a:ext uri="{FF2B5EF4-FFF2-40B4-BE49-F238E27FC236}">
              <a16:creationId xmlns:a16="http://schemas.microsoft.com/office/drawing/2014/main" id="{25FE1384-22FD-443F-9539-A9F61CA8EE73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289800" y="12890500"/>
          <a:ext cx="7975600" cy="1993900"/>
        </a:xfrm>
        <a:prstGeom prst="rect">
          <a:avLst/>
        </a:prstGeom>
        <a:noFill/>
      </xdr:spPr>
    </xdr:pic>
    <xdr:clientData/>
  </xdr:twoCellAnchor>
  <xdr:twoCellAnchor editAs="absolute">
    <xdr:from>
      <xdr:col>9</xdr:col>
      <xdr:colOff>660400</xdr:colOff>
      <xdr:row>71</xdr:row>
      <xdr:rowOff>12700</xdr:rowOff>
    </xdr:from>
    <xdr:to>
      <xdr:col>15</xdr:col>
      <xdr:colOff>203200</xdr:colOff>
      <xdr:row>82</xdr:row>
      <xdr:rowOff>38100</xdr:rowOff>
    </xdr:to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3AF7C93D-2D68-4609-A180-DE01058C993A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4986000" y="12877800"/>
          <a:ext cx="7975600" cy="1993900"/>
        </a:xfrm>
        <a:prstGeom prst="rect">
          <a:avLst/>
        </a:prstGeom>
        <a:noFill/>
      </xdr:spPr>
    </xdr:pic>
    <xdr:clientData/>
  </xdr:twoCellAnchor>
  <xdr:twoCellAnchor editAs="absolute">
    <xdr:from>
      <xdr:col>14</xdr:col>
      <xdr:colOff>533400</xdr:colOff>
      <xdr:row>71</xdr:row>
      <xdr:rowOff>12700</xdr:rowOff>
    </xdr:from>
    <xdr:to>
      <xdr:col>17</xdr:col>
      <xdr:colOff>203200</xdr:colOff>
      <xdr:row>82</xdr:row>
      <xdr:rowOff>38100</xdr:rowOff>
    </xdr:to>
    <xdr:pic>
      <xdr:nvPicPr>
        <xdr:cNvPr id="10" name="image1.png" title="Image">
          <a:extLst>
            <a:ext uri="{FF2B5EF4-FFF2-40B4-BE49-F238E27FC236}">
              <a16:creationId xmlns:a16="http://schemas.microsoft.com/office/drawing/2014/main" id="{63551A6D-0D9D-4ECB-939C-A6024D099E1E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2682200" y="12877800"/>
          <a:ext cx="7975600" cy="1993900"/>
        </a:xfrm>
        <a:prstGeom prst="rect">
          <a:avLst/>
        </a:prstGeom>
        <a:noFill/>
      </xdr:spPr>
    </xdr:pic>
    <xdr:clientData/>
  </xdr:twoCellAnchor>
  <xdr:twoCellAnchor editAs="absolute">
    <xdr:from>
      <xdr:col>16</xdr:col>
      <xdr:colOff>2298700</xdr:colOff>
      <xdr:row>71</xdr:row>
      <xdr:rowOff>0</xdr:rowOff>
    </xdr:from>
    <xdr:to>
      <xdr:col>28</xdr:col>
      <xdr:colOff>393700</xdr:colOff>
      <xdr:row>82</xdr:row>
      <xdr:rowOff>25400</xdr:rowOff>
    </xdr:to>
    <xdr:pic>
      <xdr:nvPicPr>
        <xdr:cNvPr id="11" name="image1.png" title="Image">
          <a:extLst>
            <a:ext uri="{FF2B5EF4-FFF2-40B4-BE49-F238E27FC236}">
              <a16:creationId xmlns:a16="http://schemas.microsoft.com/office/drawing/2014/main" id="{FF8D647E-745A-43A5-B3F0-4545875C5477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9578300" y="12877800"/>
          <a:ext cx="7975600" cy="1993900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179542</xdr:colOff>
      <xdr:row>71</xdr:row>
      <xdr:rowOff>38099</xdr:rowOff>
    </xdr:from>
    <xdr:to>
      <xdr:col>0</xdr:col>
      <xdr:colOff>1008377</xdr:colOff>
      <xdr:row>76</xdr:row>
      <xdr:rowOff>30478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94285B1-4E56-F67A-91C5-63E45D9F1D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9542" y="12915899"/>
          <a:ext cx="828835" cy="8940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6857048" cy="149352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CDF751C8-38C6-45E8-BF82-D692CD2926F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6857048" cy="1493520"/>
        </a:xfrm>
        <a:prstGeom prst="rect">
          <a:avLst/>
        </a:prstGeom>
        <a:noFill/>
      </xdr:spPr>
    </xdr:pic>
    <xdr:clientData/>
  </xdr:absoluteAnchor>
  <xdr:absoluteAnchor>
    <xdr:pos x="6620829" y="0"/>
    <xdr:ext cx="7777162" cy="1501140"/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1796F2AC-A75D-4799-A488-FA7792ADC34D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620829" y="0"/>
          <a:ext cx="7777162" cy="1501140"/>
        </a:xfrm>
        <a:prstGeom prst="rect">
          <a:avLst/>
        </a:prstGeom>
        <a:noFill/>
      </xdr:spPr>
    </xdr:pic>
    <xdr:clientData/>
  </xdr:absoluteAnchor>
  <xdr:absoluteAnchor>
    <xdr:pos x="13716953" y="0"/>
    <xdr:ext cx="7800022" cy="1501140"/>
    <xdr:pic>
      <xdr:nvPicPr>
        <xdr:cNvPr id="4" name="image1.png" title="Image">
          <a:extLst>
            <a:ext uri="{FF2B5EF4-FFF2-40B4-BE49-F238E27FC236}">
              <a16:creationId xmlns:a16="http://schemas.microsoft.com/office/drawing/2014/main" id="{844E8EB5-B62E-4078-9787-BD31DEB973E7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3716953" y="0"/>
          <a:ext cx="7800022" cy="1501140"/>
        </a:xfrm>
        <a:prstGeom prst="rect">
          <a:avLst/>
        </a:prstGeom>
        <a:noFill/>
      </xdr:spPr>
    </xdr:pic>
    <xdr:clientData/>
  </xdr:absoluteAnchor>
  <xdr:twoCellAnchor editAs="oneCell">
    <xdr:from>
      <xdr:col>0</xdr:col>
      <xdr:colOff>175261</xdr:colOff>
      <xdr:row>133</xdr:row>
      <xdr:rowOff>124171</xdr:rowOff>
    </xdr:from>
    <xdr:to>
      <xdr:col>0</xdr:col>
      <xdr:colOff>662940</xdr:colOff>
      <xdr:row>136</xdr:row>
      <xdr:rowOff>101598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8F26212-790F-4717-B85B-690C2CF48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5261" y="24843451"/>
          <a:ext cx="487679" cy="5260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absoluteAnchor>
    <xdr:pos x="16101060" y="0"/>
    <xdr:ext cx="7800022" cy="1501140"/>
    <xdr:pic>
      <xdr:nvPicPr>
        <xdr:cNvPr id="6" name="image1.png" title="Image">
          <a:extLst>
            <a:ext uri="{FF2B5EF4-FFF2-40B4-BE49-F238E27FC236}">
              <a16:creationId xmlns:a16="http://schemas.microsoft.com/office/drawing/2014/main" id="{A49A95F8-8769-4764-B70C-3ADF478A8CBD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6101060" y="0"/>
          <a:ext cx="7800022" cy="1501140"/>
        </a:xfrm>
        <a:prstGeom prst="rect">
          <a:avLst/>
        </a:prstGeom>
        <a:noFill/>
      </xdr:spPr>
    </xdr:pic>
    <xdr:clientData/>
  </xdr:absolute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://www.yscapgroup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77"/>
  <sheetViews>
    <sheetView tabSelected="1" zoomScale="60" zoomScaleNormal="60" workbookViewId="0">
      <selection activeCell="A21" sqref="A21"/>
    </sheetView>
  </sheetViews>
  <sheetFormatPr defaultColWidth="8.88671875" defaultRowHeight="14.4"/>
  <cols>
    <col min="1" max="1" width="22.44140625" style="4" customWidth="1"/>
    <col min="2" max="2" width="17.77734375" style="4" bestFit="1" customWidth="1"/>
    <col min="3" max="3" width="21" style="9" bestFit="1" customWidth="1"/>
    <col min="4" max="4" width="20.109375" style="10" bestFit="1" customWidth="1"/>
    <col min="5" max="5" width="19.109375" style="9" bestFit="1" customWidth="1"/>
    <col min="6" max="6" width="40.109375" style="9" bestFit="1" customWidth="1"/>
    <col min="7" max="7" width="32.21875" style="9" bestFit="1" customWidth="1"/>
    <col min="8" max="8" width="25.88671875" style="9" customWidth="1"/>
    <col min="9" max="9" width="10.21875" style="9" customWidth="1"/>
    <col min="10" max="10" width="25" style="9" customWidth="1"/>
    <col min="11" max="11" width="40.109375" style="9" customWidth="1"/>
    <col min="12" max="12" width="26.44140625" style="9" customWidth="1"/>
    <col min="13" max="13" width="13.5546875" style="4" customWidth="1"/>
    <col min="14" max="15" width="8.88671875" style="4"/>
    <col min="16" max="16" width="66" style="4" customWidth="1"/>
    <col min="17" max="17" width="46.21875" style="4" customWidth="1"/>
    <col min="18" max="28" width="8.88671875" style="4"/>
    <col min="29" max="29" width="7.44140625" style="4" customWidth="1"/>
    <col min="30" max="30" width="0.77734375" style="4" hidden="1" customWidth="1"/>
    <col min="31" max="16384" width="8.88671875" style="4"/>
  </cols>
  <sheetData>
    <row r="1" spans="1:30">
      <c r="A1" s="1"/>
      <c r="B1" s="1"/>
      <c r="C1" s="2"/>
      <c r="D1" s="3"/>
      <c r="E1" s="2"/>
      <c r="F1" s="2"/>
      <c r="G1" s="2"/>
      <c r="H1" s="2"/>
      <c r="I1" s="2"/>
      <c r="J1" s="2"/>
      <c r="K1" s="2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>
      <c r="A2" s="1"/>
      <c r="B2" s="1"/>
      <c r="C2" s="2"/>
      <c r="D2" s="3"/>
      <c r="E2" s="2"/>
      <c r="F2" s="2"/>
      <c r="G2" s="2"/>
      <c r="H2" s="2"/>
      <c r="I2" s="2"/>
      <c r="J2" s="2"/>
      <c r="K2" s="2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>
      <c r="A3" s="1"/>
      <c r="B3" s="1"/>
      <c r="C3" s="2"/>
      <c r="D3" s="3"/>
      <c r="E3" s="2"/>
      <c r="F3" s="2"/>
      <c r="G3" s="2"/>
      <c r="H3" s="2"/>
      <c r="I3" s="2"/>
      <c r="J3" s="2"/>
      <c r="K3" s="2"/>
      <c r="L3" s="2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>
      <c r="A4" s="1"/>
      <c r="B4" s="1"/>
      <c r="C4" s="2"/>
      <c r="D4" s="3"/>
      <c r="E4" s="2"/>
      <c r="F4" s="2"/>
      <c r="G4" s="2"/>
      <c r="H4" s="2"/>
      <c r="I4" s="2"/>
      <c r="J4" s="2"/>
      <c r="K4" s="2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>
      <c r="A5" s="1"/>
      <c r="B5" s="1"/>
      <c r="C5" s="2"/>
      <c r="D5" s="3"/>
      <c r="E5" s="2"/>
      <c r="F5" s="2"/>
      <c r="G5" s="2"/>
      <c r="H5" s="2"/>
      <c r="I5" s="2"/>
      <c r="J5" s="2"/>
      <c r="K5" s="2"/>
      <c r="L5" s="2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>
      <c r="A6" s="1"/>
      <c r="B6" s="1"/>
      <c r="C6" s="2"/>
      <c r="D6" s="3"/>
      <c r="E6" s="2"/>
      <c r="F6" s="2"/>
      <c r="G6" s="2"/>
      <c r="H6" s="2"/>
      <c r="I6" s="2"/>
      <c r="J6" s="2"/>
      <c r="K6" s="2"/>
      <c r="L6" s="2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>
      <c r="A7" s="1"/>
      <c r="B7" s="1"/>
      <c r="C7" s="2"/>
      <c r="D7" s="3"/>
      <c r="E7" s="2"/>
      <c r="F7" s="2"/>
      <c r="G7" s="2"/>
      <c r="H7" s="2"/>
      <c r="I7" s="2"/>
      <c r="J7" s="2"/>
      <c r="K7" s="2"/>
      <c r="L7" s="2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>
      <c r="A8" s="1"/>
      <c r="B8" s="1"/>
      <c r="C8" s="2"/>
      <c r="D8" s="3"/>
      <c r="E8" s="2"/>
      <c r="F8" s="2"/>
      <c r="G8" s="2"/>
      <c r="H8" s="2"/>
      <c r="I8" s="2"/>
      <c r="J8" s="2"/>
      <c r="K8" s="2"/>
      <c r="L8" s="2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>
      <c r="A9" s="1"/>
      <c r="B9" s="1"/>
      <c r="C9" s="2"/>
      <c r="D9" s="3"/>
      <c r="E9" s="2"/>
      <c r="F9" s="2"/>
      <c r="G9" s="2"/>
      <c r="H9" s="2"/>
      <c r="I9" s="2"/>
      <c r="J9" s="2"/>
      <c r="K9" s="2"/>
      <c r="L9" s="2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>
      <c r="A10" s="1"/>
      <c r="B10" s="1"/>
      <c r="C10" s="2"/>
      <c r="D10" s="3"/>
      <c r="E10" s="2"/>
      <c r="F10" s="2"/>
      <c r="G10" s="2"/>
      <c r="H10" s="2"/>
      <c r="I10" s="2"/>
      <c r="J10" s="2"/>
      <c r="K10" s="2"/>
      <c r="L10" s="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>
      <c r="A11" s="1"/>
      <c r="B11" s="1"/>
      <c r="C11" s="2"/>
      <c r="D11" s="3"/>
      <c r="E11" s="2"/>
      <c r="F11" s="2"/>
      <c r="G11" s="2"/>
      <c r="H11" s="2"/>
      <c r="I11" s="2"/>
      <c r="J11" s="2"/>
      <c r="K11" s="2"/>
      <c r="L11" s="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>
      <c r="A12" s="1"/>
      <c r="B12" s="1"/>
      <c r="C12" s="2"/>
      <c r="D12" s="3"/>
      <c r="E12" s="2"/>
      <c r="F12" s="2"/>
      <c r="G12" s="2"/>
      <c r="H12" s="2"/>
      <c r="I12" s="2"/>
      <c r="J12" s="2"/>
      <c r="K12" s="2"/>
      <c r="L12" s="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>
      <c r="A13" s="1"/>
      <c r="B13" s="1"/>
      <c r="C13" s="2"/>
      <c r="D13" s="3"/>
      <c r="E13" s="2"/>
      <c r="F13" s="2"/>
      <c r="G13" s="2"/>
      <c r="H13" s="2"/>
      <c r="I13" s="2"/>
      <c r="J13" s="2"/>
      <c r="K13" s="2"/>
      <c r="L13" s="2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spans="1:30">
      <c r="A14" s="1"/>
      <c r="B14" s="1"/>
      <c r="C14" s="2"/>
      <c r="D14" s="3"/>
      <c r="E14" s="2"/>
      <c r="F14" s="2"/>
      <c r="G14" s="2"/>
      <c r="H14" s="2"/>
      <c r="I14" s="2"/>
      <c r="J14" s="2"/>
      <c r="K14" s="2"/>
      <c r="L14" s="2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spans="1:30">
      <c r="A15" s="11" t="s">
        <v>71</v>
      </c>
      <c r="B15" s="1"/>
      <c r="C15" s="2"/>
      <c r="D15" s="3"/>
      <c r="E15" s="2"/>
      <c r="F15" s="2"/>
      <c r="G15" s="2"/>
      <c r="H15" s="2"/>
      <c r="I15" s="2"/>
      <c r="J15" s="2"/>
      <c r="K15" s="2"/>
      <c r="L15" s="2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spans="1:30" ht="15" thickBot="1">
      <c r="A16" s="1"/>
      <c r="B16" s="1"/>
      <c r="C16" s="2"/>
      <c r="D16" s="3"/>
      <c r="E16" s="2"/>
      <c r="F16" s="2"/>
      <c r="G16" s="2"/>
      <c r="H16" s="2"/>
      <c r="I16" s="2"/>
      <c r="J16" s="2"/>
      <c r="K16" s="2"/>
      <c r="L16" s="2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spans="1:30" ht="28.8" customHeight="1" thickBot="1">
      <c r="A17" s="110" t="s">
        <v>72</v>
      </c>
      <c r="B17" s="111"/>
      <c r="C17" s="111"/>
      <c r="D17" s="111"/>
      <c r="E17" s="111"/>
      <c r="F17" s="111"/>
      <c r="G17" s="111"/>
      <c r="H17" s="112"/>
      <c r="I17" s="2"/>
      <c r="J17" s="2"/>
      <c r="K17" s="2"/>
      <c r="L17" s="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spans="1:30">
      <c r="A18" s="12"/>
      <c r="B18" s="1"/>
      <c r="C18" s="2"/>
      <c r="D18" s="3"/>
      <c r="E18" s="2"/>
      <c r="F18" s="2"/>
      <c r="G18" s="2"/>
      <c r="H18" s="2"/>
      <c r="I18" s="2"/>
      <c r="J18" s="2"/>
      <c r="K18" s="2"/>
      <c r="L18" s="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spans="1:30">
      <c r="A19" s="1"/>
      <c r="B19" s="1"/>
      <c r="C19" s="2"/>
      <c r="D19" s="3"/>
      <c r="E19" s="2"/>
      <c r="F19" s="2"/>
      <c r="G19" s="2"/>
      <c r="H19" s="2"/>
      <c r="I19" s="2"/>
      <c r="J19" s="2"/>
      <c r="K19" s="2"/>
      <c r="L19" s="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spans="1:30" ht="15.6" customHeight="1">
      <c r="A20" s="14" t="s">
        <v>0</v>
      </c>
      <c r="B20" s="15" t="s">
        <v>1</v>
      </c>
      <c r="C20" s="16" t="s">
        <v>2</v>
      </c>
      <c r="D20" s="17" t="s">
        <v>3</v>
      </c>
      <c r="E20" s="16" t="s">
        <v>4</v>
      </c>
      <c r="F20" s="18" t="s">
        <v>5</v>
      </c>
      <c r="G20" s="18" t="s">
        <v>25</v>
      </c>
      <c r="H20" s="18" t="s">
        <v>24</v>
      </c>
      <c r="I20" s="2"/>
      <c r="J20" s="31" t="s">
        <v>6</v>
      </c>
      <c r="K20" s="13" t="s">
        <v>8</v>
      </c>
      <c r="L20" s="19" t="s">
        <v>7</v>
      </c>
      <c r="M20" s="18" t="s">
        <v>9</v>
      </c>
      <c r="N20" s="30"/>
      <c r="O20" s="1"/>
      <c r="P20" s="32" t="s">
        <v>26</v>
      </c>
      <c r="Q20" s="29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spans="1:30">
      <c r="A21" s="35"/>
      <c r="B21" s="36"/>
      <c r="C21" s="37"/>
      <c r="D21" s="38"/>
      <c r="E21" s="39"/>
      <c r="F21" s="40"/>
      <c r="G21" s="28">
        <f>E21-F21</f>
        <v>0</v>
      </c>
      <c r="H21" s="28">
        <f>C21-F21</f>
        <v>0</v>
      </c>
      <c r="I21" s="2"/>
      <c r="J21" s="51"/>
      <c r="K21" s="55"/>
      <c r="L21" s="56"/>
      <c r="M21" s="28">
        <f>J21-K21-L21</f>
        <v>0</v>
      </c>
      <c r="N21" s="1"/>
      <c r="O21" s="1"/>
      <c r="P21" s="30" t="s">
        <v>27</v>
      </c>
      <c r="Q21" s="33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spans="1:30">
      <c r="A22" s="41"/>
      <c r="B22" s="42"/>
      <c r="C22" s="43"/>
      <c r="D22" s="44"/>
      <c r="E22" s="45"/>
      <c r="F22" s="46"/>
      <c r="G22" s="25">
        <f>E22-F22</f>
        <v>0</v>
      </c>
      <c r="H22" s="25">
        <f t="shared" ref="H22:H44" si="0">C22-F22</f>
        <v>0</v>
      </c>
      <c r="I22" s="2"/>
      <c r="J22" s="51"/>
      <c r="K22" s="43"/>
      <c r="L22" s="45"/>
      <c r="M22" s="25">
        <f t="shared" ref="M22:M44" si="1">J22-K22-L22</f>
        <v>0</v>
      </c>
      <c r="N22" s="1"/>
      <c r="O22" s="1"/>
      <c r="P22" s="30"/>
      <c r="Q22" s="33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spans="1:30">
      <c r="A23" s="42"/>
      <c r="B23" s="47"/>
      <c r="C23" s="48"/>
      <c r="D23" s="49"/>
      <c r="E23" s="50"/>
      <c r="F23" s="51"/>
      <c r="G23" s="26">
        <f t="shared" ref="G23:G44" si="2">E23-F23</f>
        <v>0</v>
      </c>
      <c r="H23" s="27">
        <f t="shared" si="0"/>
        <v>0</v>
      </c>
      <c r="I23" s="2"/>
      <c r="J23" s="45"/>
      <c r="K23" s="51"/>
      <c r="L23" s="48"/>
      <c r="M23" s="28">
        <f t="shared" si="1"/>
        <v>0</v>
      </c>
      <c r="N23" s="1"/>
      <c r="O23" s="1"/>
      <c r="P23" s="30" t="s">
        <v>28</v>
      </c>
      <c r="Q23" s="33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spans="1:30">
      <c r="A24" s="42"/>
      <c r="B24" s="52"/>
      <c r="C24" s="53"/>
      <c r="D24" s="54"/>
      <c r="E24" s="55"/>
      <c r="F24" s="56"/>
      <c r="G24" s="25">
        <f t="shared" si="2"/>
        <v>0</v>
      </c>
      <c r="H24" s="25">
        <f t="shared" si="0"/>
        <v>0</v>
      </c>
      <c r="I24" s="2"/>
      <c r="J24" s="46"/>
      <c r="K24" s="60"/>
      <c r="L24" s="37"/>
      <c r="M24" s="27">
        <f t="shared" si="1"/>
        <v>0</v>
      </c>
      <c r="N24" s="1"/>
      <c r="O24" s="1"/>
      <c r="P24" s="30"/>
      <c r="Q24" s="33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spans="1:30">
      <c r="A25" s="42"/>
      <c r="B25" s="52"/>
      <c r="C25" s="37"/>
      <c r="D25" s="57"/>
      <c r="E25" s="39"/>
      <c r="F25" s="56"/>
      <c r="G25" s="27">
        <f t="shared" si="2"/>
        <v>0</v>
      </c>
      <c r="H25" s="25">
        <f t="shared" si="0"/>
        <v>0</v>
      </c>
      <c r="I25" s="2"/>
      <c r="J25" s="51"/>
      <c r="K25" s="63"/>
      <c r="L25" s="48"/>
      <c r="M25" s="26">
        <f t="shared" si="1"/>
        <v>0</v>
      </c>
      <c r="N25" s="1"/>
      <c r="O25" s="1"/>
      <c r="P25" s="30" t="s">
        <v>126</v>
      </c>
      <c r="Q25" s="34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spans="1:30">
      <c r="A26" s="42"/>
      <c r="B26" s="58"/>
      <c r="C26" s="46"/>
      <c r="D26" s="59"/>
      <c r="E26" s="51"/>
      <c r="F26" s="60"/>
      <c r="G26" s="26">
        <f t="shared" si="2"/>
        <v>0</v>
      </c>
      <c r="H26" s="25">
        <f t="shared" si="0"/>
        <v>0</v>
      </c>
      <c r="I26" s="2"/>
      <c r="J26" s="40"/>
      <c r="K26" s="70"/>
      <c r="L26" s="37"/>
      <c r="M26" s="26">
        <f t="shared" si="1"/>
        <v>0</v>
      </c>
      <c r="N26" s="1"/>
      <c r="O26" s="1"/>
      <c r="P26" s="30" t="s">
        <v>127</v>
      </c>
      <c r="Q26" s="33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spans="1:30">
      <c r="A27" s="42"/>
      <c r="B27" s="42"/>
      <c r="C27" s="51"/>
      <c r="D27" s="49"/>
      <c r="E27" s="40"/>
      <c r="F27" s="61"/>
      <c r="G27" s="25">
        <f t="shared" si="2"/>
        <v>0</v>
      </c>
      <c r="H27" s="27">
        <f t="shared" si="0"/>
        <v>0</v>
      </c>
      <c r="I27" s="2"/>
      <c r="J27" s="51"/>
      <c r="K27" s="63"/>
      <c r="L27" s="48"/>
      <c r="M27" s="26">
        <f t="shared" si="1"/>
        <v>0</v>
      </c>
      <c r="N27" s="1"/>
      <c r="O27" s="1"/>
      <c r="P27" s="30" t="s">
        <v>29</v>
      </c>
      <c r="Q27" s="33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0">
      <c r="A28" s="42"/>
      <c r="B28" s="42"/>
      <c r="C28" s="56"/>
      <c r="D28" s="62"/>
      <c r="E28" s="51"/>
      <c r="F28" s="63"/>
      <c r="G28" s="25">
        <f t="shared" si="2"/>
        <v>0</v>
      </c>
      <c r="H28" s="25">
        <f t="shared" si="0"/>
        <v>0</v>
      </c>
      <c r="I28" s="2"/>
      <c r="J28" s="56"/>
      <c r="K28" s="60"/>
      <c r="L28" s="37"/>
      <c r="M28" s="25">
        <f t="shared" si="1"/>
        <v>0</v>
      </c>
      <c r="N28" s="1"/>
      <c r="O28" s="1"/>
      <c r="P28" s="30"/>
      <c r="Q28" s="33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1:30">
      <c r="A29" s="47"/>
      <c r="B29" s="47"/>
      <c r="C29" s="46"/>
      <c r="D29" s="64"/>
      <c r="E29" s="40"/>
      <c r="F29" s="60"/>
      <c r="G29" s="28">
        <f t="shared" si="2"/>
        <v>0</v>
      </c>
      <c r="H29" s="91">
        <f t="shared" si="0"/>
        <v>0</v>
      </c>
      <c r="I29" s="2"/>
      <c r="J29" s="40"/>
      <c r="K29" s="63"/>
      <c r="L29" s="50"/>
      <c r="M29" s="28">
        <f t="shared" si="1"/>
        <v>0</v>
      </c>
      <c r="N29" s="1"/>
      <c r="O29" s="1"/>
      <c r="P29" s="30" t="s">
        <v>48</v>
      </c>
      <c r="Q29" s="33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1:30">
      <c r="A30" s="47"/>
      <c r="B30" s="36"/>
      <c r="C30" s="51"/>
      <c r="D30" s="49"/>
      <c r="E30" s="51"/>
      <c r="F30" s="63"/>
      <c r="G30" s="25">
        <f t="shared" si="2"/>
        <v>0</v>
      </c>
      <c r="H30" s="92">
        <f t="shared" si="0"/>
        <v>0</v>
      </c>
      <c r="I30" s="2"/>
      <c r="J30" s="46"/>
      <c r="K30" s="60"/>
      <c r="L30" s="37"/>
      <c r="M30" s="26">
        <f t="shared" si="1"/>
        <v>0</v>
      </c>
      <c r="N30" s="1"/>
      <c r="O30" s="1"/>
      <c r="P30" s="30"/>
      <c r="Q30" s="33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0">
      <c r="A31" s="52"/>
      <c r="B31" s="42"/>
      <c r="C31" s="51"/>
      <c r="D31" s="54"/>
      <c r="E31" s="56"/>
      <c r="F31" s="65"/>
      <c r="G31" s="28">
        <f t="shared" si="2"/>
        <v>0</v>
      </c>
      <c r="H31" s="91">
        <f t="shared" si="0"/>
        <v>0</v>
      </c>
      <c r="I31" s="2"/>
      <c r="J31" s="51"/>
      <c r="K31" s="63"/>
      <c r="L31" s="48"/>
      <c r="M31" s="25">
        <f t="shared" si="1"/>
        <v>0</v>
      </c>
      <c r="N31" s="1"/>
      <c r="O31" s="1"/>
      <c r="P31" s="30" t="s">
        <v>30</v>
      </c>
      <c r="Q31" s="33" t="s">
        <v>31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0">
      <c r="A32" s="52"/>
      <c r="B32" s="47"/>
      <c r="C32" s="56"/>
      <c r="D32" s="64"/>
      <c r="E32" s="46"/>
      <c r="F32" s="61"/>
      <c r="G32" s="27">
        <f t="shared" si="2"/>
        <v>0</v>
      </c>
      <c r="H32" s="26">
        <f t="shared" si="0"/>
        <v>0</v>
      </c>
      <c r="I32" s="2"/>
      <c r="J32" s="46"/>
      <c r="K32" s="61"/>
      <c r="L32" s="43"/>
      <c r="M32" s="26">
        <f t="shared" si="1"/>
        <v>0</v>
      </c>
      <c r="N32" s="1"/>
      <c r="O32" s="1"/>
      <c r="P32" s="30" t="s">
        <v>49</v>
      </c>
      <c r="Q32" s="33" t="s">
        <v>32</v>
      </c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:30">
      <c r="A33" s="52"/>
      <c r="B33" s="52"/>
      <c r="C33" s="40"/>
      <c r="D33" s="49"/>
      <c r="E33" s="51"/>
      <c r="F33" s="63"/>
      <c r="G33" s="26">
        <f t="shared" si="2"/>
        <v>0</v>
      </c>
      <c r="H33" s="26">
        <f t="shared" si="0"/>
        <v>0</v>
      </c>
      <c r="I33" s="2"/>
      <c r="J33" s="51"/>
      <c r="K33" s="63"/>
      <c r="L33" s="48"/>
      <c r="M33" s="26">
        <f t="shared" si="1"/>
        <v>0</v>
      </c>
      <c r="N33" s="1"/>
      <c r="O33" s="1"/>
      <c r="P33" s="30" t="s">
        <v>50</v>
      </c>
      <c r="Q33" s="33" t="s">
        <v>33</v>
      </c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:30">
      <c r="A34" s="52"/>
      <c r="B34" s="66"/>
      <c r="C34" s="51"/>
      <c r="D34" s="49"/>
      <c r="E34" s="56"/>
      <c r="F34" s="65"/>
      <c r="G34" s="25">
        <f t="shared" si="2"/>
        <v>0</v>
      </c>
      <c r="H34" s="25">
        <f t="shared" si="0"/>
        <v>0</v>
      </c>
      <c r="I34" s="2"/>
      <c r="J34" s="56"/>
      <c r="K34" s="65"/>
      <c r="L34" s="37"/>
      <c r="M34" s="25">
        <f t="shared" si="1"/>
        <v>0</v>
      </c>
      <c r="N34" s="1"/>
      <c r="O34" s="1"/>
      <c r="P34" s="30" t="s">
        <v>51</v>
      </c>
      <c r="Q34" s="33" t="s">
        <v>34</v>
      </c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:30" ht="15" thickBot="1">
      <c r="A35" s="36"/>
      <c r="B35" s="58"/>
      <c r="C35" s="51"/>
      <c r="D35" s="49"/>
      <c r="E35" s="51"/>
      <c r="F35" s="63"/>
      <c r="G35" s="27">
        <f t="shared" si="2"/>
        <v>0</v>
      </c>
      <c r="H35" s="27">
        <f t="shared" si="0"/>
        <v>0</v>
      </c>
      <c r="I35" s="2"/>
      <c r="J35" s="40"/>
      <c r="K35" s="60"/>
      <c r="L35" s="51"/>
      <c r="M35" s="27">
        <f t="shared" si="1"/>
        <v>0</v>
      </c>
      <c r="N35" s="1"/>
      <c r="O35" s="1"/>
      <c r="P35" s="30" t="s">
        <v>52</v>
      </c>
      <c r="Q35" s="33" t="s">
        <v>35</v>
      </c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:30" ht="15" thickBot="1">
      <c r="A36" s="67"/>
      <c r="B36" s="47"/>
      <c r="C36" s="40"/>
      <c r="D36" s="62"/>
      <c r="E36" s="40"/>
      <c r="F36" s="60"/>
      <c r="G36" s="25">
        <f t="shared" si="2"/>
        <v>0</v>
      </c>
      <c r="H36" s="25">
        <f t="shared" si="0"/>
        <v>0</v>
      </c>
      <c r="I36" s="2"/>
      <c r="J36" s="46"/>
      <c r="K36" s="71"/>
      <c r="L36" s="55"/>
      <c r="M36" s="25">
        <f t="shared" si="1"/>
        <v>0</v>
      </c>
      <c r="N36" s="1"/>
      <c r="O36" s="1"/>
      <c r="P36" s="30" t="s">
        <v>53</v>
      </c>
      <c r="Q36" s="33" t="s">
        <v>36</v>
      </c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>
      <c r="A37" s="52"/>
      <c r="B37" s="47"/>
      <c r="C37" s="46"/>
      <c r="D37" s="64"/>
      <c r="E37" s="46"/>
      <c r="F37" s="61"/>
      <c r="G37" s="27">
        <f t="shared" si="2"/>
        <v>0</v>
      </c>
      <c r="H37" s="27">
        <f t="shared" si="0"/>
        <v>0</v>
      </c>
      <c r="I37" s="2"/>
      <c r="J37" s="51"/>
      <c r="K37" s="60"/>
      <c r="L37" s="37"/>
      <c r="M37" s="27">
        <f t="shared" si="1"/>
        <v>0</v>
      </c>
      <c r="N37" s="1"/>
      <c r="O37" s="1"/>
      <c r="P37" s="30" t="s">
        <v>54</v>
      </c>
      <c r="Q37" s="33" t="s">
        <v>37</v>
      </c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>
      <c r="A38" s="52"/>
      <c r="B38" s="47"/>
      <c r="C38" s="51"/>
      <c r="D38" s="49"/>
      <c r="E38" s="51"/>
      <c r="F38" s="63"/>
      <c r="G38" s="25">
        <f t="shared" si="2"/>
        <v>0</v>
      </c>
      <c r="H38" s="25">
        <f t="shared" si="0"/>
        <v>0</v>
      </c>
      <c r="I38" s="2"/>
      <c r="J38" s="46"/>
      <c r="K38" s="61"/>
      <c r="L38" s="61"/>
      <c r="M38" s="25">
        <f t="shared" si="1"/>
        <v>0</v>
      </c>
      <c r="N38" s="1"/>
      <c r="O38" s="1"/>
      <c r="P38" s="30" t="s">
        <v>55</v>
      </c>
      <c r="Q38" s="33" t="s">
        <v>38</v>
      </c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>
      <c r="A39" s="47"/>
      <c r="B39" s="36"/>
      <c r="C39" s="40"/>
      <c r="D39" s="62"/>
      <c r="E39" s="40"/>
      <c r="F39" s="60"/>
      <c r="G39" s="26">
        <f t="shared" si="2"/>
        <v>0</v>
      </c>
      <c r="H39" s="26">
        <f t="shared" si="0"/>
        <v>0</v>
      </c>
      <c r="I39" s="2"/>
      <c r="J39" s="51"/>
      <c r="K39" s="63"/>
      <c r="L39" s="63"/>
      <c r="M39" s="28">
        <f t="shared" si="1"/>
        <v>0</v>
      </c>
      <c r="N39" s="1"/>
      <c r="O39" s="1"/>
      <c r="P39" s="30" t="s">
        <v>56</v>
      </c>
      <c r="Q39" s="33" t="s">
        <v>39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>
      <c r="A40" s="68"/>
      <c r="B40" s="47"/>
      <c r="C40" s="46"/>
      <c r="D40" s="64"/>
      <c r="E40" s="46"/>
      <c r="F40" s="61"/>
      <c r="G40" s="25">
        <f t="shared" si="2"/>
        <v>0</v>
      </c>
      <c r="H40" s="25">
        <f t="shared" si="0"/>
        <v>0</v>
      </c>
      <c r="I40" s="2"/>
      <c r="J40" s="56"/>
      <c r="K40" s="65"/>
      <c r="L40" s="37"/>
      <c r="M40" s="26">
        <f t="shared" si="1"/>
        <v>0</v>
      </c>
      <c r="N40" s="1"/>
      <c r="O40" s="1"/>
      <c r="P40" s="30" t="s">
        <v>57</v>
      </c>
      <c r="Q40" s="33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>
      <c r="A41" s="47"/>
      <c r="B41" s="52"/>
      <c r="C41" s="51"/>
      <c r="D41" s="49"/>
      <c r="E41" s="51"/>
      <c r="F41" s="63"/>
      <c r="G41" s="27">
        <f t="shared" si="2"/>
        <v>0</v>
      </c>
      <c r="H41" s="27">
        <f t="shared" si="0"/>
        <v>0</v>
      </c>
      <c r="I41" s="2"/>
      <c r="J41" s="40"/>
      <c r="K41" s="37"/>
      <c r="L41" s="46"/>
      <c r="M41" s="26">
        <f t="shared" si="1"/>
        <v>0</v>
      </c>
      <c r="N41" s="1"/>
      <c r="O41" s="1"/>
      <c r="P41" s="30" t="s">
        <v>58</v>
      </c>
      <c r="Q41" s="33" t="s">
        <v>40</v>
      </c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>
      <c r="A42" s="69"/>
      <c r="B42" s="52"/>
      <c r="C42" s="56"/>
      <c r="D42" s="54"/>
      <c r="E42" s="56"/>
      <c r="F42" s="65"/>
      <c r="G42" s="25">
        <f t="shared" si="2"/>
        <v>0</v>
      </c>
      <c r="H42" s="25">
        <f t="shared" si="0"/>
        <v>0</v>
      </c>
      <c r="I42" s="2"/>
      <c r="J42" s="51"/>
      <c r="K42" s="63"/>
      <c r="L42" s="51"/>
      <c r="M42" s="26">
        <f t="shared" si="1"/>
        <v>0</v>
      </c>
      <c r="N42" s="1"/>
      <c r="O42" s="1"/>
      <c r="P42" s="30" t="s">
        <v>59</v>
      </c>
      <c r="Q42" s="33" t="s">
        <v>41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>
      <c r="A43" s="69"/>
      <c r="B43" s="42"/>
      <c r="C43" s="40"/>
      <c r="D43" s="62"/>
      <c r="E43" s="40"/>
      <c r="F43" s="60"/>
      <c r="G43" s="28">
        <f t="shared" si="2"/>
        <v>0</v>
      </c>
      <c r="H43" s="27">
        <f t="shared" si="0"/>
        <v>0</v>
      </c>
      <c r="I43" s="2"/>
      <c r="J43" s="40"/>
      <c r="K43" s="37"/>
      <c r="L43" s="56"/>
      <c r="M43" s="25">
        <f t="shared" si="1"/>
        <v>0</v>
      </c>
      <c r="N43" s="1"/>
      <c r="O43" s="1"/>
      <c r="P43" s="30" t="s">
        <v>60</v>
      </c>
      <c r="Q43" s="33" t="s">
        <v>42</v>
      </c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>
      <c r="A44" s="69"/>
      <c r="B44" s="42"/>
      <c r="C44" s="46"/>
      <c r="D44" s="64"/>
      <c r="E44" s="46"/>
      <c r="F44" s="61"/>
      <c r="G44" s="26">
        <f t="shared" si="2"/>
        <v>0</v>
      </c>
      <c r="H44" s="25">
        <f t="shared" si="0"/>
        <v>0</v>
      </c>
      <c r="I44" s="2"/>
      <c r="J44" s="51"/>
      <c r="K44" s="63"/>
      <c r="L44" s="65"/>
      <c r="M44" s="28">
        <f t="shared" si="1"/>
        <v>0</v>
      </c>
      <c r="N44" s="1"/>
      <c r="O44" s="1"/>
      <c r="P44" s="30" t="s">
        <v>61</v>
      </c>
      <c r="Q44" s="33" t="s">
        <v>43</v>
      </c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>
      <c r="A45" s="20" t="s">
        <v>11</v>
      </c>
      <c r="B45" s="21"/>
      <c r="C45" s="87">
        <f>SUM(C21:C44)</f>
        <v>0</v>
      </c>
      <c r="D45" s="22"/>
      <c r="E45" s="90">
        <f t="shared" ref="E45:H45" si="3">SUM(E21:E44)</f>
        <v>0</v>
      </c>
      <c r="F45" s="89">
        <f t="shared" si="3"/>
        <v>0</v>
      </c>
      <c r="G45" s="72">
        <f t="shared" si="3"/>
        <v>0</v>
      </c>
      <c r="H45" s="72">
        <f t="shared" si="3"/>
        <v>0</v>
      </c>
      <c r="I45" s="2"/>
      <c r="J45" s="93">
        <f>SUM(J21:J44)</f>
        <v>0</v>
      </c>
      <c r="K45" s="88">
        <f>SUM(K21:K44)</f>
        <v>0</v>
      </c>
      <c r="L45" s="87">
        <f>SUM(L21:L44)</f>
        <v>0</v>
      </c>
      <c r="M45" s="86">
        <f>SUM(M21:M44)</f>
        <v>0</v>
      </c>
      <c r="N45" s="1"/>
      <c r="O45" s="1"/>
      <c r="P45" s="30"/>
      <c r="Q45" s="33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>
      <c r="A46" s="1"/>
      <c r="B46" s="1"/>
      <c r="C46" s="2"/>
      <c r="D46" s="3"/>
      <c r="E46" s="2"/>
      <c r="F46" s="2"/>
      <c r="G46" s="2"/>
      <c r="H46" s="2"/>
      <c r="I46" s="2"/>
      <c r="J46" s="2"/>
      <c r="K46" s="2"/>
      <c r="L46" s="2"/>
      <c r="M46" s="1"/>
      <c r="N46" s="1"/>
      <c r="O46" s="1"/>
      <c r="P46" s="30"/>
      <c r="Q46" s="33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>
      <c r="A47" s="1"/>
      <c r="B47" s="1"/>
      <c r="C47" s="2"/>
      <c r="D47" s="3"/>
      <c r="E47" s="2"/>
      <c r="F47" s="96" t="s">
        <v>12</v>
      </c>
      <c r="G47" s="72" t="s">
        <v>10</v>
      </c>
      <c r="H47" s="97">
        <f>G45</f>
        <v>0</v>
      </c>
      <c r="I47" s="2"/>
      <c r="J47" s="73" t="s">
        <v>16</v>
      </c>
      <c r="K47" s="74" t="s">
        <v>17</v>
      </c>
      <c r="L47" s="75" t="e">
        <f>F45/E45</f>
        <v>#DIV/0!</v>
      </c>
      <c r="M47" s="1"/>
      <c r="N47" s="1"/>
      <c r="O47" s="1"/>
      <c r="P47" s="30" t="s">
        <v>44</v>
      </c>
      <c r="Q47" s="33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>
      <c r="A48" s="1"/>
      <c r="B48" s="1"/>
      <c r="C48" s="2"/>
      <c r="D48" s="3"/>
      <c r="E48" s="2"/>
      <c r="F48" s="94"/>
      <c r="G48" s="98" t="s">
        <v>13</v>
      </c>
      <c r="H48" s="99">
        <f>M45</f>
        <v>0</v>
      </c>
      <c r="I48" s="2"/>
      <c r="J48" s="76"/>
      <c r="K48" s="77" t="s">
        <v>18</v>
      </c>
      <c r="L48" s="78" t="e">
        <f>M45/H45</f>
        <v>#DIV/0!</v>
      </c>
      <c r="M48" s="1"/>
      <c r="N48" s="1"/>
      <c r="O48" s="1"/>
      <c r="P48" s="30" t="s">
        <v>62</v>
      </c>
      <c r="Q48" s="33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>
      <c r="A49" s="1"/>
      <c r="B49" s="1"/>
      <c r="C49" s="2"/>
      <c r="D49" s="3"/>
      <c r="E49" s="2"/>
      <c r="F49" s="94"/>
      <c r="G49" s="72" t="s">
        <v>14</v>
      </c>
      <c r="H49" s="74">
        <f>H48*12</f>
        <v>0</v>
      </c>
      <c r="I49" s="2"/>
      <c r="J49" s="79"/>
      <c r="K49" s="80" t="s">
        <v>19</v>
      </c>
      <c r="L49" s="81" t="e">
        <f>C45/H50</f>
        <v>#DIV/0!</v>
      </c>
      <c r="M49" s="1"/>
      <c r="N49" s="1"/>
      <c r="O49" s="1"/>
      <c r="P49" s="30" t="s">
        <v>63</v>
      </c>
      <c r="Q49" s="33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>
      <c r="A50" s="1"/>
      <c r="B50" s="1"/>
      <c r="C50" s="2"/>
      <c r="D50" s="3"/>
      <c r="E50" s="2"/>
      <c r="F50" s="94"/>
      <c r="G50" s="72" t="s">
        <v>20</v>
      </c>
      <c r="H50" s="100">
        <f>J45*12</f>
        <v>0</v>
      </c>
      <c r="I50" s="2"/>
      <c r="J50" s="79"/>
      <c r="K50" s="80" t="s">
        <v>22</v>
      </c>
      <c r="L50" s="82" t="e">
        <f>H51/H50</f>
        <v>#DIV/0!</v>
      </c>
      <c r="M50" s="1"/>
      <c r="N50" s="1"/>
      <c r="O50" s="1"/>
      <c r="P50" s="30" t="s">
        <v>64</v>
      </c>
      <c r="Q50" s="33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>
      <c r="A51" s="1"/>
      <c r="B51" s="1"/>
      <c r="C51" s="2"/>
      <c r="D51" s="3"/>
      <c r="E51" s="2"/>
      <c r="F51" s="94"/>
      <c r="G51" s="86" t="s">
        <v>21</v>
      </c>
      <c r="H51" s="72">
        <f>K45*12+L45*12</f>
        <v>0</v>
      </c>
      <c r="I51" s="2"/>
      <c r="J51" s="83"/>
      <c r="K51" s="84" t="s">
        <v>23</v>
      </c>
      <c r="L51" s="85" t="e">
        <f>J45/K45</f>
        <v>#DIV/0!</v>
      </c>
      <c r="M51" s="1"/>
      <c r="N51" s="1"/>
      <c r="O51" s="1"/>
      <c r="P51" s="30" t="s">
        <v>65</v>
      </c>
      <c r="Q51" s="33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>
      <c r="A52" s="1"/>
      <c r="B52" s="1"/>
      <c r="C52" s="2"/>
      <c r="D52" s="3"/>
      <c r="E52" s="2"/>
      <c r="F52" s="95"/>
      <c r="G52" s="86" t="s">
        <v>15</v>
      </c>
      <c r="H52" s="101">
        <f>H47</f>
        <v>0</v>
      </c>
      <c r="I52" s="2"/>
      <c r="J52" s="2"/>
      <c r="K52" s="2"/>
      <c r="L52" s="2"/>
      <c r="M52" s="1"/>
      <c r="N52" s="1"/>
      <c r="O52" s="1"/>
      <c r="P52" s="30"/>
      <c r="Q52" s="33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>
      <c r="A53" s="1"/>
      <c r="B53" s="1"/>
      <c r="C53" s="2"/>
      <c r="D53" s="3"/>
      <c r="E53" s="2"/>
      <c r="F53" s="2"/>
      <c r="G53" s="2"/>
      <c r="H53" s="2"/>
      <c r="I53" s="2"/>
      <c r="J53" s="2"/>
      <c r="K53" s="2"/>
      <c r="L53" s="2"/>
      <c r="M53" s="1"/>
      <c r="N53" s="1"/>
      <c r="O53" s="1"/>
      <c r="P53" s="30" t="s">
        <v>45</v>
      </c>
      <c r="Q53" s="33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>
      <c r="A54" s="1"/>
      <c r="B54" s="1"/>
      <c r="C54" s="7"/>
      <c r="D54" s="3"/>
      <c r="E54" s="7"/>
      <c r="F54" s="2"/>
      <c r="G54" s="2"/>
      <c r="H54" s="2"/>
      <c r="I54" s="2"/>
      <c r="J54" s="2"/>
      <c r="K54" s="2"/>
      <c r="L54" s="2"/>
      <c r="M54" s="1"/>
      <c r="N54" s="1"/>
      <c r="O54" s="1"/>
      <c r="P54" s="30"/>
      <c r="Q54" s="33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>
      <c r="A55" s="1"/>
      <c r="B55" s="1"/>
      <c r="C55" s="7"/>
      <c r="D55" s="3"/>
      <c r="E55" s="7"/>
      <c r="F55" s="2"/>
      <c r="G55" s="2"/>
      <c r="H55" s="2"/>
      <c r="I55" s="2"/>
      <c r="J55" s="2"/>
      <c r="K55" s="2"/>
      <c r="L55" s="2"/>
      <c r="M55" s="1"/>
      <c r="N55" s="1"/>
      <c r="O55" s="1"/>
      <c r="P55" s="30" t="s">
        <v>46</v>
      </c>
      <c r="Q55" s="33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>
      <c r="A56" s="5"/>
      <c r="B56" s="1"/>
      <c r="C56" s="1"/>
      <c r="D56" s="1"/>
      <c r="E56" s="1"/>
      <c r="F56" s="1"/>
      <c r="G56" s="1"/>
      <c r="H56" s="1"/>
      <c r="I56" s="1"/>
      <c r="J56" s="7"/>
      <c r="K56" s="1"/>
      <c r="L56" s="1"/>
      <c r="M56" s="1"/>
      <c r="N56" s="1"/>
      <c r="O56" s="1"/>
      <c r="P56" s="30" t="s">
        <v>66</v>
      </c>
      <c r="Q56" s="33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>
      <c r="A57" s="5"/>
      <c r="B57" s="1"/>
      <c r="C57" s="1"/>
      <c r="D57" s="1"/>
      <c r="E57" s="1"/>
      <c r="F57" s="1"/>
      <c r="G57" s="1"/>
      <c r="H57" s="1"/>
      <c r="I57" s="1"/>
      <c r="J57" s="7"/>
      <c r="K57" s="1"/>
      <c r="L57" s="1"/>
      <c r="M57" s="1"/>
      <c r="N57" s="1"/>
      <c r="O57" s="1"/>
      <c r="P57" s="30" t="s">
        <v>67</v>
      </c>
      <c r="Q57" s="33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>
      <c r="A58" s="5"/>
      <c r="B58" s="1"/>
      <c r="C58" s="1"/>
      <c r="D58" s="1"/>
      <c r="E58" s="1"/>
      <c r="F58" s="1"/>
      <c r="G58" s="1"/>
      <c r="H58" s="1"/>
      <c r="I58" s="1"/>
      <c r="J58" s="7"/>
      <c r="K58" s="1"/>
      <c r="L58" s="1"/>
      <c r="M58" s="1"/>
      <c r="N58" s="1"/>
      <c r="O58" s="1"/>
      <c r="P58" s="30" t="s">
        <v>47</v>
      </c>
      <c r="Q58" s="33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>
      <c r="A59" s="5"/>
      <c r="B59" s="1"/>
      <c r="C59" s="1"/>
      <c r="D59" s="1"/>
      <c r="E59" s="1"/>
      <c r="F59" s="1"/>
      <c r="G59" s="1"/>
      <c r="H59" s="1"/>
      <c r="I59" s="1"/>
      <c r="J59" s="7"/>
      <c r="K59" s="1"/>
      <c r="L59" s="1"/>
      <c r="M59" s="1"/>
      <c r="N59" s="1"/>
      <c r="O59" s="1"/>
      <c r="P59" s="23"/>
      <c r="Q59" s="24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>
      <c r="A60" s="5"/>
      <c r="B60" s="113"/>
      <c r="C60" s="1"/>
      <c r="D60" s="1"/>
      <c r="E60" s="1"/>
      <c r="F60" s="1"/>
      <c r="G60" s="1"/>
      <c r="H60" s="1"/>
      <c r="I60" s="1"/>
      <c r="J60" s="7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>
      <c r="A61" s="5"/>
      <c r="B61" s="1"/>
      <c r="C61" s="1"/>
      <c r="D61" s="1"/>
      <c r="E61" s="1"/>
      <c r="F61" s="1"/>
      <c r="G61" s="1"/>
      <c r="H61" s="1"/>
      <c r="I61" s="1"/>
      <c r="J61" s="7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>
      <c r="A62" s="5"/>
      <c r="B62" s="1"/>
      <c r="C62" s="1"/>
      <c r="D62" s="1"/>
      <c r="E62" s="1"/>
      <c r="F62" s="1"/>
      <c r="G62" s="1"/>
      <c r="H62" s="1"/>
      <c r="I62" s="1"/>
      <c r="J62" s="7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>
      <c r="A63" s="5"/>
      <c r="B63" s="1"/>
      <c r="C63" s="1"/>
      <c r="D63" s="1"/>
      <c r="E63" s="1"/>
      <c r="F63" s="1"/>
      <c r="G63" s="1"/>
      <c r="H63" s="1"/>
      <c r="I63" s="1"/>
      <c r="J63" s="7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>
      <c r="A64" s="5"/>
      <c r="B64" s="1"/>
      <c r="C64" s="1"/>
      <c r="D64" s="1"/>
      <c r="E64" s="1"/>
      <c r="F64" s="1"/>
      <c r="G64" s="1"/>
      <c r="H64" s="1"/>
      <c r="I64" s="1"/>
      <c r="J64" s="7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>
      <c r="A65" s="5"/>
      <c r="B65" s="1"/>
      <c r="C65" s="1"/>
      <c r="D65" s="1"/>
      <c r="E65" s="1"/>
      <c r="F65" s="1"/>
      <c r="G65" s="1"/>
      <c r="H65" s="1"/>
      <c r="I65" s="1"/>
      <c r="J65" s="7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>
      <c r="A66" s="5"/>
      <c r="B66" s="1"/>
      <c r="C66" s="1"/>
      <c r="D66" s="1"/>
      <c r="E66" s="1"/>
      <c r="F66" s="1"/>
      <c r="G66" s="1"/>
      <c r="H66" s="1"/>
      <c r="I66" s="1"/>
      <c r="J66" s="7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>
      <c r="A67" s="5"/>
      <c r="B67" s="1"/>
      <c r="C67" s="1"/>
      <c r="D67" s="1"/>
      <c r="E67" s="1"/>
      <c r="F67" s="1"/>
      <c r="G67" s="1"/>
      <c r="H67" s="1"/>
      <c r="I67" s="1"/>
      <c r="J67" s="7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>
      <c r="A68" s="5"/>
      <c r="B68" s="1"/>
      <c r="C68" s="1"/>
      <c r="D68" s="1"/>
      <c r="E68" s="1"/>
      <c r="F68" s="1"/>
      <c r="G68" s="1"/>
      <c r="H68" s="1"/>
      <c r="I68" s="1"/>
      <c r="J68" s="7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>
      <c r="A69" s="5" t="s">
        <v>46</v>
      </c>
      <c r="B69" s="1"/>
      <c r="C69" s="1"/>
      <c r="D69" s="1"/>
      <c r="E69" s="1"/>
      <c r="F69" s="1"/>
      <c r="G69" s="1"/>
      <c r="H69" s="1"/>
      <c r="I69" s="1"/>
      <c r="J69" s="7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>
      <c r="A70" s="5" t="s">
        <v>128</v>
      </c>
      <c r="B70" s="1"/>
      <c r="C70" s="1"/>
      <c r="D70" s="1"/>
      <c r="E70" s="1"/>
      <c r="F70" s="1"/>
      <c r="G70" s="1"/>
      <c r="H70" s="1"/>
      <c r="I70" s="1"/>
      <c r="J70" s="7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>
      <c r="A71" s="5"/>
      <c r="B71" s="1"/>
      <c r="C71" s="1"/>
      <c r="D71" s="1"/>
      <c r="E71" s="1"/>
      <c r="F71" s="1"/>
      <c r="G71" s="1"/>
      <c r="H71" s="1"/>
      <c r="I71" s="1"/>
      <c r="J71" s="7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>
      <c r="A72" s="5"/>
      <c r="B72" s="1"/>
      <c r="C72" s="1"/>
      <c r="D72" s="1"/>
      <c r="E72" s="1"/>
      <c r="F72" s="1"/>
      <c r="G72" s="1"/>
      <c r="H72" s="1"/>
      <c r="I72" s="1"/>
      <c r="J72" s="7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>
      <c r="A73" s="5"/>
      <c r="B73" s="1"/>
      <c r="C73" s="1"/>
      <c r="D73" s="1"/>
      <c r="E73" s="1"/>
      <c r="F73" s="1"/>
      <c r="G73" s="1"/>
      <c r="H73" s="1"/>
      <c r="I73" s="1"/>
      <c r="J73" s="7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>
      <c r="A74" s="5"/>
      <c r="B74" s="1"/>
      <c r="C74" s="1"/>
      <c r="D74" s="1"/>
      <c r="E74" s="1"/>
      <c r="F74" s="1"/>
      <c r="G74" s="1"/>
      <c r="H74" s="1"/>
      <c r="I74" s="1"/>
      <c r="J74" s="7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>
      <c r="A75" s="5"/>
      <c r="B75" s="1"/>
      <c r="C75" s="1"/>
      <c r="D75" s="1"/>
      <c r="E75" s="1"/>
      <c r="F75" s="1"/>
      <c r="G75" s="1"/>
      <c r="H75" s="1"/>
      <c r="I75" s="1"/>
      <c r="J75" s="7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ht="15" thickBot="1">
      <c r="A76" s="8"/>
      <c r="B76" s="6"/>
      <c r="C76" s="6"/>
      <c r="D76" s="6"/>
      <c r="E76" s="1"/>
      <c r="F76" s="1"/>
      <c r="G76" s="1"/>
      <c r="H76" s="1"/>
      <c r="I76" s="1"/>
      <c r="J76" s="7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>
      <c r="A77" s="2"/>
      <c r="B77" s="3"/>
      <c r="C77" s="2"/>
      <c r="D77" s="2"/>
      <c r="E77" s="2"/>
      <c r="F77" s="2"/>
      <c r="G77" s="2"/>
      <c r="H77" s="2"/>
      <c r="I77" s="2"/>
      <c r="J77" s="2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</sheetData>
  <sheetProtection algorithmName="SHA-512" hashValue="+3NIm13mxEVWHwm/94zPzceDVrFgB//4y7Xys88CZsvXC5OxAuMAur6Jlzl9fXxWLofUA/4MB/QS4585dYK+zg==" saltValue="OZztsatwwAIc98vC6JkUqg==" spinCount="100000" sheet="1" objects="1" scenarios="1" selectLockedCells="1"/>
  <mergeCells count="1">
    <mergeCell ref="A17:H1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54ACC-4F4B-4E43-9112-05C372A97283}">
  <dimension ref="A1:AF137"/>
  <sheetViews>
    <sheetView workbookViewId="0">
      <selection activeCell="A133" sqref="A133"/>
    </sheetView>
  </sheetViews>
  <sheetFormatPr defaultColWidth="8.88671875" defaultRowHeight="14.4"/>
  <cols>
    <col min="1" max="1" width="41.109375" style="109" customWidth="1"/>
    <col min="2" max="2" width="8.88671875" style="109" customWidth="1"/>
    <col min="3" max="7" width="8.88671875" style="109"/>
    <col min="8" max="8" width="42.44140625" style="109" customWidth="1"/>
    <col min="9" max="11" width="8.88671875" style="109"/>
    <col min="12" max="14" width="8.88671875" style="104"/>
    <col min="15" max="15" width="8.6640625" style="104" customWidth="1"/>
    <col min="16" max="16384" width="8.88671875" style="104"/>
  </cols>
  <sheetData>
    <row r="1" spans="1:32">
      <c r="A1" s="105"/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</row>
    <row r="2" spans="1:32">
      <c r="A2" s="105"/>
      <c r="B2" s="105"/>
      <c r="C2" s="105"/>
      <c r="D2" s="105"/>
      <c r="E2" s="105"/>
      <c r="F2" s="105"/>
      <c r="G2" s="105"/>
      <c r="H2" s="105"/>
      <c r="I2" s="105"/>
      <c r="J2" s="105"/>
      <c r="K2" s="105"/>
      <c r="L2" s="103"/>
      <c r="M2" s="103"/>
      <c r="N2" s="103"/>
      <c r="O2" s="103"/>
      <c r="P2" s="103"/>
      <c r="Q2" s="103"/>
      <c r="R2" s="103"/>
      <c r="S2" s="103"/>
      <c r="T2" s="103"/>
      <c r="U2" s="103"/>
      <c r="V2" s="103"/>
      <c r="W2" s="103"/>
      <c r="X2" s="103"/>
      <c r="Y2" s="103"/>
      <c r="Z2" s="103"/>
      <c r="AA2" s="103"/>
      <c r="AB2" s="103"/>
      <c r="AC2" s="103"/>
      <c r="AD2" s="103"/>
      <c r="AE2" s="103"/>
      <c r="AF2" s="103"/>
    </row>
    <row r="3" spans="1:32">
      <c r="A3" s="105"/>
      <c r="B3" s="105"/>
      <c r="C3" s="105"/>
      <c r="D3" s="105"/>
      <c r="E3" s="105"/>
      <c r="F3" s="105"/>
      <c r="G3" s="105"/>
      <c r="H3" s="105"/>
      <c r="I3" s="105"/>
      <c r="J3" s="105"/>
      <c r="K3" s="105"/>
      <c r="L3" s="103"/>
      <c r="M3" s="103"/>
      <c r="N3" s="103"/>
      <c r="O3" s="103"/>
      <c r="P3" s="103"/>
      <c r="Q3" s="103"/>
      <c r="R3" s="103"/>
      <c r="S3" s="103"/>
      <c r="T3" s="103"/>
      <c r="U3" s="103"/>
      <c r="V3" s="103"/>
      <c r="W3" s="103"/>
      <c r="X3" s="103"/>
      <c r="Y3" s="103"/>
      <c r="Z3" s="103"/>
      <c r="AA3" s="103"/>
      <c r="AB3" s="103"/>
      <c r="AC3" s="103"/>
      <c r="AD3" s="103"/>
      <c r="AE3" s="103"/>
      <c r="AF3" s="103"/>
    </row>
    <row r="4" spans="1:32">
      <c r="A4" s="105"/>
      <c r="B4" s="105"/>
      <c r="C4" s="105"/>
      <c r="D4" s="105"/>
      <c r="E4" s="105"/>
      <c r="F4" s="105"/>
      <c r="G4" s="105"/>
      <c r="H4" s="105"/>
      <c r="I4" s="105"/>
      <c r="J4" s="105"/>
      <c r="K4" s="105"/>
      <c r="L4" s="103"/>
      <c r="M4" s="103"/>
      <c r="N4" s="103"/>
      <c r="O4" s="103"/>
      <c r="P4" s="103"/>
      <c r="Q4" s="103"/>
      <c r="R4" s="103"/>
      <c r="S4" s="103"/>
      <c r="T4" s="103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</row>
    <row r="5" spans="1:32">
      <c r="A5" s="105"/>
      <c r="B5" s="105"/>
      <c r="C5" s="105"/>
      <c r="D5" s="105"/>
      <c r="E5" s="105"/>
      <c r="F5" s="105"/>
      <c r="G5" s="105"/>
      <c r="H5" s="105"/>
      <c r="I5" s="105"/>
      <c r="J5" s="105"/>
      <c r="K5" s="105"/>
      <c r="L5" s="103"/>
      <c r="M5" s="103"/>
      <c r="N5" s="103"/>
      <c r="O5" s="103"/>
      <c r="P5" s="103"/>
      <c r="Q5" s="103"/>
      <c r="R5" s="103"/>
      <c r="S5" s="103"/>
      <c r="T5" s="103"/>
      <c r="U5" s="103"/>
      <c r="V5" s="103"/>
      <c r="W5" s="103"/>
      <c r="X5" s="103"/>
      <c r="Y5" s="103"/>
      <c r="Z5" s="103"/>
      <c r="AA5" s="103"/>
      <c r="AB5" s="103"/>
      <c r="AC5" s="103"/>
      <c r="AD5" s="103"/>
      <c r="AE5" s="103"/>
      <c r="AF5" s="103"/>
    </row>
    <row r="6" spans="1:32">
      <c r="A6" s="105"/>
      <c r="B6" s="105"/>
      <c r="C6" s="105"/>
      <c r="D6" s="105"/>
      <c r="E6" s="105"/>
      <c r="F6" s="105"/>
      <c r="G6" s="105"/>
      <c r="H6" s="105"/>
      <c r="I6" s="105"/>
      <c r="J6" s="105"/>
      <c r="K6" s="105"/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3"/>
      <c r="X6" s="103"/>
      <c r="Y6" s="103"/>
      <c r="Z6" s="103"/>
      <c r="AA6" s="103"/>
      <c r="AB6" s="103"/>
      <c r="AC6" s="103"/>
      <c r="AD6" s="103"/>
      <c r="AE6" s="103"/>
      <c r="AF6" s="103"/>
    </row>
    <row r="7" spans="1:32">
      <c r="A7" s="105"/>
      <c r="B7" s="105"/>
      <c r="C7" s="105"/>
      <c r="D7" s="105"/>
      <c r="E7" s="105"/>
      <c r="F7" s="105"/>
      <c r="G7" s="105"/>
      <c r="H7" s="105"/>
      <c r="I7" s="105"/>
      <c r="J7" s="105"/>
      <c r="K7" s="105"/>
      <c r="L7" s="103"/>
      <c r="M7" s="103"/>
      <c r="N7" s="103"/>
      <c r="O7" s="103"/>
      <c r="P7" s="103"/>
      <c r="Q7" s="103"/>
      <c r="R7" s="103"/>
      <c r="S7" s="103"/>
      <c r="T7" s="103"/>
      <c r="U7" s="103"/>
      <c r="V7" s="103"/>
      <c r="W7" s="103"/>
      <c r="X7" s="103"/>
      <c r="Y7" s="103"/>
      <c r="Z7" s="103"/>
      <c r="AA7" s="103"/>
      <c r="AB7" s="103"/>
      <c r="AC7" s="103"/>
      <c r="AD7" s="103"/>
      <c r="AE7" s="103"/>
      <c r="AF7" s="103"/>
    </row>
    <row r="8" spans="1:32">
      <c r="A8" s="105" t="s">
        <v>73</v>
      </c>
      <c r="B8" s="105"/>
      <c r="C8" s="102"/>
      <c r="D8" s="102"/>
      <c r="E8" s="102"/>
      <c r="F8" s="105"/>
      <c r="G8" s="105"/>
      <c r="H8" s="105"/>
      <c r="I8" s="105"/>
      <c r="J8" s="105"/>
      <c r="K8" s="105"/>
      <c r="L8" s="105"/>
      <c r="M8" s="105"/>
      <c r="N8" s="105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</row>
    <row r="9" spans="1:32" ht="23.4" customHeight="1">
      <c r="A9" s="105"/>
      <c r="B9" s="105"/>
      <c r="C9" s="102"/>
      <c r="D9" s="102"/>
      <c r="E9" s="102"/>
      <c r="F9" s="105"/>
      <c r="G9" s="105"/>
      <c r="H9" s="105"/>
      <c r="I9" s="105"/>
      <c r="J9" s="105"/>
      <c r="K9" s="105"/>
      <c r="L9" s="105"/>
      <c r="M9" s="105"/>
      <c r="N9" s="105"/>
      <c r="O9" s="103"/>
      <c r="P9" s="103"/>
      <c r="Q9" s="103"/>
      <c r="R9" s="103"/>
      <c r="S9" s="103"/>
      <c r="T9" s="103"/>
      <c r="U9" s="103"/>
      <c r="V9" s="103"/>
      <c r="W9" s="103"/>
      <c r="X9" s="103"/>
      <c r="Y9" s="103"/>
      <c r="Z9" s="103"/>
      <c r="AA9" s="103"/>
      <c r="AB9" s="103"/>
      <c r="AC9" s="103"/>
      <c r="AD9" s="103"/>
      <c r="AE9" s="103"/>
      <c r="AF9" s="103"/>
    </row>
    <row r="10" spans="1:32">
      <c r="A10" s="105" t="s">
        <v>74</v>
      </c>
      <c r="B10" s="105"/>
      <c r="C10" s="102"/>
      <c r="D10" s="102"/>
      <c r="E10" s="102"/>
      <c r="F10" s="105"/>
      <c r="G10" s="105"/>
      <c r="H10" s="105"/>
      <c r="I10" s="105"/>
      <c r="J10" s="105"/>
      <c r="K10" s="105"/>
      <c r="L10" s="105"/>
      <c r="M10" s="105"/>
      <c r="N10" s="105"/>
      <c r="O10" s="103"/>
      <c r="P10" s="103"/>
      <c r="Q10" s="103"/>
      <c r="R10" s="103"/>
      <c r="S10" s="103"/>
      <c r="T10" s="103"/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</row>
    <row r="11" spans="1:32">
      <c r="A11" s="105"/>
      <c r="B11" s="105"/>
      <c r="C11" s="102"/>
      <c r="D11" s="102"/>
      <c r="E11" s="102"/>
      <c r="F11" s="105"/>
      <c r="G11" s="105"/>
      <c r="H11" s="105"/>
      <c r="I11" s="105"/>
      <c r="J11" s="105"/>
      <c r="K11" s="105"/>
      <c r="L11" s="105"/>
      <c r="M11" s="105"/>
      <c r="N11" s="105"/>
      <c r="O11" s="103"/>
      <c r="P11" s="103"/>
      <c r="Q11" s="103"/>
      <c r="R11" s="103"/>
      <c r="S11" s="103"/>
      <c r="T11" s="103"/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</row>
    <row r="12" spans="1:32">
      <c r="A12" s="105" t="s">
        <v>75</v>
      </c>
      <c r="B12" s="105"/>
      <c r="C12" s="102"/>
      <c r="D12" s="102"/>
      <c r="E12" s="102"/>
      <c r="F12" s="105"/>
      <c r="G12" s="105"/>
      <c r="H12" s="105"/>
      <c r="I12" s="105"/>
      <c r="J12" s="105"/>
      <c r="K12" s="105"/>
      <c r="L12" s="105"/>
      <c r="M12" s="105"/>
      <c r="N12" s="105"/>
      <c r="O12" s="103"/>
      <c r="P12" s="103"/>
      <c r="Q12" s="103"/>
      <c r="R12" s="103"/>
      <c r="S12" s="103"/>
      <c r="T12" s="103"/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</row>
    <row r="13" spans="1:32">
      <c r="A13" s="105"/>
      <c r="B13" s="105"/>
      <c r="C13" s="102"/>
      <c r="D13" s="102"/>
      <c r="E13" s="102"/>
      <c r="F13" s="105"/>
      <c r="G13" s="105"/>
      <c r="H13" s="105"/>
      <c r="I13" s="105"/>
      <c r="J13" s="105"/>
      <c r="K13" s="105"/>
      <c r="L13" s="105"/>
      <c r="M13" s="105"/>
      <c r="N13" s="105"/>
      <c r="O13" s="103"/>
      <c r="P13" s="103"/>
      <c r="Q13" s="103"/>
      <c r="R13" s="103"/>
      <c r="S13" s="103"/>
      <c r="T13" s="103"/>
      <c r="U13" s="103"/>
      <c r="V13" s="103"/>
      <c r="W13" s="103"/>
      <c r="X13" s="103"/>
      <c r="Y13" s="103"/>
      <c r="Z13" s="103"/>
      <c r="AA13" s="103"/>
      <c r="AB13" s="103"/>
      <c r="AC13" s="103"/>
      <c r="AD13" s="103"/>
      <c r="AE13" s="103"/>
      <c r="AF13" s="103"/>
    </row>
    <row r="14" spans="1:32" ht="14.4" customHeight="1">
      <c r="A14" s="105"/>
      <c r="B14" s="105"/>
      <c r="C14" s="102"/>
      <c r="D14" s="102"/>
      <c r="E14" s="102"/>
      <c r="F14" s="105"/>
      <c r="G14" s="105"/>
      <c r="H14" s="105"/>
      <c r="I14" s="105"/>
      <c r="J14" s="105"/>
      <c r="K14" s="105"/>
      <c r="L14" s="105"/>
      <c r="M14" s="105"/>
      <c r="N14" s="105"/>
      <c r="O14" s="103"/>
      <c r="P14" s="103"/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</row>
    <row r="15" spans="1:32" ht="14.4" customHeight="1">
      <c r="A15" s="107"/>
      <c r="B15" s="105"/>
      <c r="C15" s="102"/>
      <c r="D15" s="102"/>
      <c r="E15" s="102"/>
      <c r="F15" s="105"/>
      <c r="G15" s="105"/>
      <c r="H15" s="105"/>
      <c r="I15" s="105"/>
      <c r="J15" s="105"/>
      <c r="K15" s="105"/>
      <c r="L15" s="105"/>
      <c r="M15" s="105"/>
      <c r="N15" s="105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</row>
    <row r="16" spans="1:32" ht="14.4" customHeight="1">
      <c r="A16" s="107" t="s">
        <v>76</v>
      </c>
      <c r="B16" s="105"/>
      <c r="C16" s="102"/>
      <c r="D16" s="102"/>
      <c r="E16" s="102"/>
      <c r="F16" s="105"/>
      <c r="G16" s="105"/>
      <c r="H16" s="105"/>
      <c r="I16" s="105"/>
      <c r="J16" s="105"/>
      <c r="K16" s="105"/>
      <c r="L16" s="105"/>
      <c r="M16" s="105"/>
      <c r="N16" s="105"/>
      <c r="O16" s="103"/>
      <c r="P16" s="103"/>
      <c r="Q16" s="103"/>
      <c r="R16" s="103"/>
      <c r="S16" s="103"/>
      <c r="T16" s="103"/>
      <c r="U16" s="103"/>
      <c r="V16" s="103"/>
      <c r="W16" s="103"/>
      <c r="X16" s="103"/>
      <c r="Y16" s="103"/>
      <c r="Z16" s="103"/>
      <c r="AA16" s="103"/>
      <c r="AB16" s="103"/>
      <c r="AC16" s="103"/>
      <c r="AD16" s="103"/>
      <c r="AE16" s="103"/>
      <c r="AF16" s="103"/>
    </row>
    <row r="17" spans="1:32" ht="14.4" customHeight="1">
      <c r="A17" s="107"/>
      <c r="B17" s="105"/>
      <c r="C17" s="102"/>
      <c r="D17" s="102"/>
      <c r="E17" s="102"/>
      <c r="F17" s="105"/>
      <c r="G17" s="105"/>
      <c r="H17" s="105"/>
      <c r="I17" s="105"/>
      <c r="J17" s="105"/>
      <c r="K17" s="105"/>
      <c r="L17" s="105"/>
      <c r="M17" s="105"/>
      <c r="N17" s="105"/>
      <c r="O17" s="103"/>
      <c r="P17" s="103"/>
      <c r="Q17" s="103"/>
      <c r="R17" s="103"/>
      <c r="S17" s="103"/>
      <c r="T17" s="103"/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  <c r="AF17" s="103"/>
    </row>
    <row r="18" spans="1:32" ht="14.4" customHeight="1">
      <c r="A18" s="107" t="s">
        <v>116</v>
      </c>
      <c r="B18" s="105"/>
      <c r="C18" s="102"/>
      <c r="D18" s="102"/>
      <c r="E18" s="102"/>
      <c r="F18" s="105"/>
      <c r="G18" s="105"/>
      <c r="H18" s="105"/>
      <c r="I18" s="105"/>
      <c r="J18" s="105"/>
      <c r="K18" s="105"/>
      <c r="L18" s="105"/>
      <c r="M18" s="105"/>
      <c r="N18" s="105"/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</row>
    <row r="19" spans="1:32" ht="14.4" customHeight="1">
      <c r="A19" s="107"/>
      <c r="B19" s="105"/>
      <c r="C19" s="102"/>
      <c r="D19" s="102"/>
      <c r="E19" s="102"/>
      <c r="F19" s="105"/>
      <c r="G19" s="105"/>
      <c r="H19" s="105"/>
      <c r="I19" s="105"/>
      <c r="J19" s="105"/>
      <c r="K19" s="105"/>
      <c r="L19" s="105"/>
      <c r="M19" s="105"/>
      <c r="N19" s="105"/>
      <c r="O19" s="103"/>
      <c r="P19" s="103"/>
      <c r="Q19" s="103"/>
      <c r="R19" s="103"/>
      <c r="S19" s="103"/>
      <c r="T19" s="103"/>
      <c r="U19" s="103"/>
      <c r="V19" s="103"/>
      <c r="W19" s="103"/>
      <c r="X19" s="103"/>
      <c r="Y19" s="103"/>
      <c r="Z19" s="103"/>
      <c r="AA19" s="103"/>
      <c r="AB19" s="103"/>
      <c r="AC19" s="103"/>
      <c r="AD19" s="103"/>
      <c r="AE19" s="103"/>
      <c r="AF19" s="103"/>
    </row>
    <row r="20" spans="1:32" ht="14.4" customHeight="1">
      <c r="A20" s="108" t="s">
        <v>77</v>
      </c>
      <c r="B20" s="105"/>
      <c r="C20" s="102"/>
      <c r="D20" s="102"/>
      <c r="E20" s="102"/>
      <c r="F20" s="105"/>
      <c r="G20" s="105"/>
      <c r="H20" s="105"/>
      <c r="I20" s="105"/>
      <c r="J20" s="105"/>
      <c r="K20" s="105"/>
      <c r="L20" s="105"/>
      <c r="M20" s="105"/>
      <c r="N20" s="105"/>
      <c r="O20" s="103"/>
      <c r="P20" s="103"/>
      <c r="Q20" s="103"/>
      <c r="R20" s="103"/>
      <c r="S20" s="103"/>
      <c r="T20" s="103"/>
      <c r="U20" s="103"/>
      <c r="V20" s="103"/>
      <c r="W20" s="103"/>
      <c r="X20" s="103"/>
      <c r="Y20" s="103"/>
      <c r="Z20" s="103"/>
      <c r="AA20" s="103"/>
      <c r="AB20" s="103"/>
      <c r="AC20" s="103"/>
      <c r="AD20" s="103"/>
      <c r="AE20" s="103"/>
      <c r="AF20" s="103"/>
    </row>
    <row r="21" spans="1:32" ht="14.4" customHeight="1">
      <c r="A21" s="108"/>
      <c r="B21" s="105"/>
      <c r="C21" s="102"/>
      <c r="D21" s="102"/>
      <c r="E21" s="102"/>
      <c r="F21" s="105"/>
      <c r="G21" s="105"/>
      <c r="H21" s="105"/>
      <c r="I21" s="105"/>
      <c r="J21" s="105"/>
      <c r="K21" s="105"/>
      <c r="L21" s="105"/>
      <c r="M21" s="105"/>
      <c r="N21" s="105"/>
      <c r="O21" s="103"/>
      <c r="P21" s="103"/>
      <c r="Q21" s="103"/>
      <c r="R21" s="103"/>
      <c r="S21" s="103"/>
      <c r="T21" s="103"/>
      <c r="U21" s="103"/>
      <c r="V21" s="103"/>
      <c r="W21" s="103"/>
      <c r="X21" s="103"/>
      <c r="Y21" s="103"/>
      <c r="Z21" s="103"/>
      <c r="AA21" s="103"/>
      <c r="AB21" s="103"/>
      <c r="AC21" s="103"/>
      <c r="AD21" s="103"/>
      <c r="AE21" s="103"/>
      <c r="AF21" s="103"/>
    </row>
    <row r="22" spans="1:32" ht="14.4" customHeight="1">
      <c r="A22" s="107" t="s">
        <v>117</v>
      </c>
      <c r="B22" s="105"/>
      <c r="C22" s="102"/>
      <c r="D22" s="102"/>
      <c r="E22" s="102"/>
      <c r="F22" s="105"/>
      <c r="G22" s="105"/>
      <c r="H22" s="105"/>
      <c r="I22" s="105"/>
      <c r="J22" s="105"/>
      <c r="K22" s="105"/>
      <c r="L22" s="105"/>
      <c r="M22" s="105"/>
      <c r="N22" s="105"/>
      <c r="O22" s="103"/>
      <c r="P22" s="103"/>
      <c r="Q22" s="103"/>
      <c r="R22" s="103"/>
      <c r="S22" s="103"/>
      <c r="T22" s="103"/>
      <c r="U22" s="103"/>
      <c r="V22" s="103"/>
      <c r="W22" s="103"/>
      <c r="X22" s="103"/>
      <c r="Y22" s="103"/>
      <c r="Z22" s="103"/>
      <c r="AA22" s="103"/>
      <c r="AB22" s="103"/>
      <c r="AC22" s="103"/>
      <c r="AD22" s="103"/>
      <c r="AE22" s="103"/>
      <c r="AF22" s="103"/>
    </row>
    <row r="23" spans="1:32" ht="14.4" customHeight="1">
      <c r="A23" s="107"/>
      <c r="B23" s="105"/>
      <c r="C23" s="102"/>
      <c r="D23" s="102"/>
      <c r="E23" s="102"/>
      <c r="F23" s="105"/>
      <c r="G23" s="105"/>
      <c r="H23" s="105"/>
      <c r="I23" s="105"/>
      <c r="J23" s="105"/>
      <c r="K23" s="105"/>
      <c r="L23" s="105"/>
      <c r="M23" s="105"/>
      <c r="N23" s="105"/>
      <c r="O23" s="103"/>
      <c r="P23" s="103"/>
      <c r="Q23" s="103"/>
      <c r="R23" s="103"/>
      <c r="S23" s="103"/>
      <c r="T23" s="103"/>
      <c r="U23" s="103"/>
      <c r="V23" s="103"/>
      <c r="W23" s="103"/>
      <c r="X23" s="103"/>
      <c r="Y23" s="103"/>
      <c r="Z23" s="103"/>
      <c r="AA23" s="103"/>
      <c r="AB23" s="103"/>
      <c r="AC23" s="103"/>
      <c r="AD23" s="103"/>
      <c r="AE23" s="103"/>
      <c r="AF23" s="103"/>
    </row>
    <row r="24" spans="1:32" ht="14.4" customHeight="1">
      <c r="A24" s="105" t="s">
        <v>118</v>
      </c>
      <c r="B24" s="105"/>
      <c r="C24" s="102"/>
      <c r="D24" s="102"/>
      <c r="E24" s="102"/>
      <c r="F24" s="105"/>
      <c r="G24" s="105"/>
      <c r="H24" s="105"/>
      <c r="I24" s="105"/>
      <c r="J24" s="105"/>
      <c r="K24" s="105"/>
      <c r="L24" s="105"/>
      <c r="M24" s="105"/>
      <c r="N24" s="105"/>
      <c r="O24" s="103"/>
      <c r="P24" s="103"/>
      <c r="Q24" s="103"/>
      <c r="R24" s="103"/>
      <c r="S24" s="103"/>
      <c r="T24" s="103"/>
      <c r="U24" s="103"/>
      <c r="V24" s="103"/>
      <c r="W24" s="103"/>
      <c r="X24" s="103"/>
      <c r="Y24" s="103"/>
      <c r="Z24" s="103"/>
      <c r="AA24" s="103"/>
      <c r="AB24" s="103"/>
      <c r="AC24" s="103"/>
      <c r="AD24" s="103"/>
      <c r="AE24" s="103"/>
      <c r="AF24" s="103"/>
    </row>
    <row r="25" spans="1:32" ht="14.4" customHeight="1">
      <c r="A25" s="105"/>
      <c r="B25" s="105"/>
      <c r="C25" s="102"/>
      <c r="D25" s="102"/>
      <c r="E25" s="102"/>
      <c r="F25" s="105"/>
      <c r="G25" s="105"/>
      <c r="H25" s="105"/>
      <c r="I25" s="105"/>
      <c r="J25" s="105"/>
      <c r="K25" s="105"/>
      <c r="L25" s="105"/>
      <c r="M25" s="105"/>
      <c r="N25" s="105"/>
      <c r="O25" s="103"/>
      <c r="P25" s="103"/>
      <c r="Q25" s="103"/>
      <c r="R25" s="103"/>
      <c r="S25" s="103"/>
      <c r="T25" s="103"/>
      <c r="U25" s="103"/>
      <c r="V25" s="103"/>
      <c r="W25" s="103"/>
      <c r="X25" s="103"/>
      <c r="Y25" s="103"/>
      <c r="Z25" s="103"/>
      <c r="AA25" s="103"/>
      <c r="AB25" s="103"/>
      <c r="AC25" s="103"/>
      <c r="AD25" s="103"/>
      <c r="AE25" s="103"/>
      <c r="AF25" s="103"/>
    </row>
    <row r="26" spans="1:32" ht="14.4" customHeight="1">
      <c r="A26" s="107" t="s">
        <v>78</v>
      </c>
      <c r="B26" s="105"/>
      <c r="C26" s="102"/>
      <c r="D26" s="102"/>
      <c r="E26" s="102"/>
      <c r="F26" s="105"/>
      <c r="G26" s="105"/>
      <c r="H26" s="105"/>
      <c r="I26" s="105"/>
      <c r="J26" s="105"/>
      <c r="K26" s="105"/>
      <c r="L26" s="105"/>
      <c r="M26" s="105"/>
      <c r="N26" s="105"/>
      <c r="O26" s="103"/>
      <c r="P26" s="103"/>
      <c r="Q26" s="103"/>
      <c r="R26" s="103"/>
      <c r="S26" s="103"/>
      <c r="T26" s="103"/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  <c r="AE26" s="103"/>
      <c r="AF26" s="103"/>
    </row>
    <row r="27" spans="1:32" ht="14.4" customHeight="1">
      <c r="A27" s="107"/>
      <c r="B27" s="105"/>
      <c r="C27" s="102"/>
      <c r="D27" s="102"/>
      <c r="E27" s="102"/>
      <c r="F27" s="105"/>
      <c r="G27" s="105"/>
      <c r="H27" s="105"/>
      <c r="I27" s="105"/>
      <c r="J27" s="105"/>
      <c r="K27" s="105"/>
      <c r="L27" s="105"/>
      <c r="M27" s="105"/>
      <c r="N27" s="105"/>
      <c r="O27" s="103"/>
      <c r="P27" s="103"/>
      <c r="Q27" s="103"/>
      <c r="R27" s="103"/>
      <c r="S27" s="103"/>
      <c r="T27" s="103"/>
      <c r="U27" s="103"/>
      <c r="V27" s="103"/>
      <c r="W27" s="103"/>
      <c r="X27" s="103"/>
      <c r="Y27" s="103"/>
      <c r="Z27" s="103"/>
      <c r="AA27" s="103"/>
      <c r="AB27" s="103"/>
      <c r="AC27" s="103"/>
      <c r="AD27" s="103"/>
      <c r="AE27" s="103"/>
      <c r="AF27" s="103"/>
    </row>
    <row r="28" spans="1:32" ht="14.4" customHeight="1">
      <c r="A28" s="107" t="s">
        <v>79</v>
      </c>
      <c r="B28" s="105"/>
      <c r="C28" s="102"/>
      <c r="D28" s="102"/>
      <c r="E28" s="102"/>
      <c r="F28" s="105"/>
      <c r="G28" s="105"/>
      <c r="H28" s="105"/>
      <c r="I28" s="105"/>
      <c r="J28" s="105"/>
      <c r="K28" s="105"/>
      <c r="L28" s="105"/>
      <c r="M28" s="105"/>
      <c r="N28" s="105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3"/>
      <c r="Z28" s="103"/>
      <c r="AA28" s="103"/>
      <c r="AB28" s="103"/>
      <c r="AC28" s="103"/>
      <c r="AD28" s="103"/>
      <c r="AE28" s="103"/>
      <c r="AF28" s="103"/>
    </row>
    <row r="29" spans="1:32" ht="14.4" customHeight="1">
      <c r="A29" s="107"/>
      <c r="B29" s="105"/>
      <c r="C29" s="102"/>
      <c r="D29" s="102"/>
      <c r="E29" s="102"/>
      <c r="F29" s="105"/>
      <c r="G29" s="105"/>
      <c r="H29" s="105"/>
      <c r="I29" s="105"/>
      <c r="J29" s="105"/>
      <c r="K29" s="105"/>
      <c r="L29" s="105"/>
      <c r="M29" s="105"/>
      <c r="N29" s="105"/>
      <c r="O29" s="103"/>
      <c r="P29" s="103"/>
      <c r="Q29" s="103"/>
      <c r="R29" s="103"/>
      <c r="S29" s="103"/>
      <c r="T29" s="103"/>
      <c r="U29" s="103"/>
      <c r="V29" s="103"/>
      <c r="W29" s="103"/>
      <c r="X29" s="103"/>
      <c r="Y29" s="103"/>
      <c r="Z29" s="103"/>
      <c r="AA29" s="103"/>
      <c r="AB29" s="103"/>
      <c r="AC29" s="103"/>
      <c r="AD29" s="103"/>
      <c r="AE29" s="103"/>
      <c r="AF29" s="103"/>
    </row>
    <row r="30" spans="1:32" ht="14.4" customHeight="1">
      <c r="A30" s="108"/>
      <c r="B30" s="105"/>
      <c r="C30" s="102"/>
      <c r="D30" s="102"/>
      <c r="E30" s="102"/>
      <c r="F30" s="105"/>
      <c r="G30" s="105"/>
      <c r="H30" s="105"/>
      <c r="I30" s="105"/>
      <c r="J30" s="105"/>
      <c r="K30" s="105"/>
      <c r="L30" s="105"/>
      <c r="M30" s="105"/>
      <c r="N30" s="105"/>
      <c r="O30" s="103"/>
      <c r="P30" s="103"/>
      <c r="Q30" s="103"/>
      <c r="R30" s="103"/>
      <c r="S30" s="103"/>
      <c r="T30" s="103"/>
      <c r="U30" s="103"/>
      <c r="V30" s="103"/>
      <c r="W30" s="103"/>
      <c r="X30" s="103"/>
      <c r="Y30" s="103"/>
      <c r="Z30" s="103"/>
      <c r="AA30" s="103"/>
      <c r="AB30" s="103"/>
      <c r="AC30" s="103"/>
      <c r="AD30" s="103"/>
      <c r="AE30" s="103"/>
      <c r="AF30" s="103"/>
    </row>
    <row r="31" spans="1:32" ht="14.4" customHeight="1">
      <c r="A31" s="108"/>
      <c r="B31" s="105"/>
      <c r="C31" s="102"/>
      <c r="D31" s="102"/>
      <c r="E31" s="102"/>
      <c r="F31" s="105"/>
      <c r="G31" s="105"/>
      <c r="H31" s="105"/>
      <c r="I31" s="105"/>
      <c r="J31" s="105"/>
      <c r="K31" s="105"/>
      <c r="L31" s="105"/>
      <c r="M31" s="105"/>
      <c r="N31" s="105"/>
      <c r="O31" s="103"/>
      <c r="P31" s="103"/>
      <c r="Q31" s="103"/>
      <c r="R31" s="103"/>
      <c r="S31" s="103"/>
      <c r="T31" s="103"/>
      <c r="U31" s="103"/>
      <c r="V31" s="103"/>
      <c r="W31" s="103"/>
      <c r="X31" s="103"/>
      <c r="Y31" s="103"/>
      <c r="Z31" s="103"/>
      <c r="AA31" s="103"/>
      <c r="AB31" s="103"/>
      <c r="AC31" s="103"/>
      <c r="AD31" s="103"/>
      <c r="AE31" s="103"/>
      <c r="AF31" s="103"/>
    </row>
    <row r="32" spans="1:32" ht="14.4" customHeight="1">
      <c r="A32" s="107" t="s">
        <v>80</v>
      </c>
      <c r="B32" s="105"/>
      <c r="C32" s="102"/>
      <c r="D32" s="102"/>
      <c r="E32" s="102"/>
      <c r="F32" s="105"/>
      <c r="G32" s="105"/>
      <c r="H32" s="105"/>
      <c r="I32" s="105"/>
      <c r="J32" s="105"/>
      <c r="K32" s="105"/>
      <c r="L32" s="105"/>
      <c r="M32" s="105"/>
      <c r="N32" s="105"/>
      <c r="O32" s="103"/>
      <c r="P32" s="103"/>
      <c r="Q32" s="103"/>
      <c r="R32" s="103"/>
      <c r="S32" s="103"/>
      <c r="T32" s="103"/>
      <c r="U32" s="103"/>
      <c r="V32" s="103"/>
      <c r="W32" s="103"/>
      <c r="X32" s="103"/>
      <c r="Y32" s="103"/>
      <c r="Z32" s="103"/>
      <c r="AA32" s="103"/>
      <c r="AB32" s="103"/>
      <c r="AC32" s="103"/>
      <c r="AD32" s="103"/>
      <c r="AE32" s="103"/>
      <c r="AF32" s="103"/>
    </row>
    <row r="33" spans="1:32" ht="14.4" customHeight="1">
      <c r="A33" s="107"/>
      <c r="B33" s="105"/>
      <c r="C33" s="102"/>
      <c r="D33" s="102"/>
      <c r="E33" s="102"/>
      <c r="F33" s="105"/>
      <c r="G33" s="105"/>
      <c r="H33" s="105"/>
      <c r="I33" s="105"/>
      <c r="J33" s="105"/>
      <c r="K33" s="105"/>
      <c r="L33" s="105"/>
      <c r="M33" s="105"/>
      <c r="N33" s="105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</row>
    <row r="34" spans="1:32" ht="14.4" customHeight="1">
      <c r="A34" s="108" t="s">
        <v>81</v>
      </c>
      <c r="B34" s="105"/>
      <c r="C34" s="102"/>
      <c r="D34" s="102"/>
      <c r="E34" s="102"/>
      <c r="F34" s="105"/>
      <c r="G34" s="105"/>
      <c r="H34" s="105"/>
      <c r="I34" s="105"/>
      <c r="J34" s="105"/>
      <c r="K34" s="105"/>
      <c r="L34" s="105"/>
      <c r="M34" s="105"/>
      <c r="N34" s="105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</row>
    <row r="35" spans="1:32" ht="14.4" customHeight="1">
      <c r="A35" s="107"/>
      <c r="B35" s="105"/>
      <c r="C35" s="102"/>
      <c r="D35" s="102"/>
      <c r="E35" s="102"/>
      <c r="F35" s="105"/>
      <c r="G35" s="105"/>
      <c r="H35" s="105"/>
      <c r="I35" s="105"/>
      <c r="J35" s="105"/>
      <c r="K35" s="105"/>
      <c r="L35" s="105"/>
      <c r="M35" s="105"/>
      <c r="N35" s="105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</row>
    <row r="36" spans="1:32" ht="14.4" customHeight="1">
      <c r="A36" s="107" t="s">
        <v>82</v>
      </c>
      <c r="B36" s="105"/>
      <c r="C36" s="102"/>
      <c r="D36" s="102"/>
      <c r="E36" s="102"/>
      <c r="F36" s="105"/>
      <c r="G36" s="105"/>
      <c r="H36" s="105"/>
      <c r="I36" s="105"/>
      <c r="J36" s="105"/>
      <c r="K36" s="105"/>
      <c r="L36" s="105"/>
      <c r="M36" s="105"/>
      <c r="N36" s="105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</row>
    <row r="37" spans="1:32" ht="14.4" customHeight="1">
      <c r="A37" s="108"/>
      <c r="B37" s="105"/>
      <c r="C37" s="102"/>
      <c r="D37" s="102"/>
      <c r="E37" s="102"/>
      <c r="F37" s="105"/>
      <c r="G37" s="105"/>
      <c r="H37" s="105"/>
      <c r="I37" s="105"/>
      <c r="J37" s="105"/>
      <c r="K37" s="105"/>
      <c r="L37" s="105"/>
      <c r="M37" s="105"/>
      <c r="N37" s="105"/>
      <c r="O37" s="103"/>
      <c r="P37" s="103"/>
      <c r="Q37" s="103"/>
      <c r="R37" s="103"/>
      <c r="S37" s="103"/>
      <c r="T37" s="103"/>
      <c r="U37" s="103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</row>
    <row r="38" spans="1:32" ht="14.4" customHeight="1">
      <c r="A38" s="108" t="s">
        <v>30</v>
      </c>
      <c r="B38" s="105" t="s">
        <v>31</v>
      </c>
      <c r="C38" s="102"/>
      <c r="D38" s="102"/>
      <c r="E38" s="102"/>
      <c r="F38" s="105"/>
      <c r="G38" s="105"/>
      <c r="H38" s="105"/>
      <c r="I38" s="105"/>
      <c r="J38" s="105"/>
      <c r="K38" s="105"/>
      <c r="L38" s="105"/>
      <c r="M38" s="105"/>
      <c r="N38" s="105"/>
      <c r="O38" s="103"/>
      <c r="P38" s="103"/>
      <c r="Q38" s="103"/>
      <c r="R38" s="103"/>
      <c r="S38" s="103"/>
      <c r="T38" s="103"/>
      <c r="U38" s="103"/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</row>
    <row r="39" spans="1:32" ht="14.4" customHeight="1">
      <c r="A39" s="108" t="s">
        <v>0</v>
      </c>
      <c r="B39" s="105" t="s">
        <v>83</v>
      </c>
      <c r="C39" s="102"/>
      <c r="D39" s="102"/>
      <c r="E39" s="102"/>
      <c r="F39" s="105"/>
      <c r="G39" s="105"/>
      <c r="H39" s="105"/>
      <c r="I39" s="105"/>
      <c r="J39" s="105"/>
      <c r="K39" s="105"/>
      <c r="L39" s="105"/>
      <c r="M39" s="105"/>
      <c r="N39" s="105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D39" s="103"/>
      <c r="AE39" s="103"/>
      <c r="AF39" s="103"/>
    </row>
    <row r="40" spans="1:32" ht="14.4" customHeight="1">
      <c r="A40" s="105" t="s">
        <v>1</v>
      </c>
      <c r="B40" s="105" t="s">
        <v>84</v>
      </c>
      <c r="C40" s="102"/>
      <c r="D40" s="102"/>
      <c r="E40" s="102"/>
      <c r="F40" s="105"/>
      <c r="G40" s="105"/>
      <c r="H40" s="105"/>
      <c r="I40" s="105"/>
      <c r="J40" s="105"/>
      <c r="K40" s="105"/>
      <c r="L40" s="105"/>
      <c r="M40" s="105"/>
      <c r="N40" s="105"/>
      <c r="O40" s="103"/>
      <c r="P40" s="103"/>
      <c r="Q40" s="103"/>
      <c r="R40" s="103"/>
      <c r="S40" s="103"/>
      <c r="T40" s="103"/>
      <c r="U40" s="103"/>
      <c r="V40" s="103"/>
      <c r="W40" s="103"/>
      <c r="X40" s="103"/>
      <c r="Y40" s="103"/>
      <c r="Z40" s="103"/>
      <c r="AA40" s="103"/>
      <c r="AB40" s="103"/>
      <c r="AC40" s="103"/>
      <c r="AD40" s="103"/>
      <c r="AE40" s="103"/>
      <c r="AF40" s="103"/>
    </row>
    <row r="41" spans="1:32" ht="14.4" customHeight="1">
      <c r="A41" s="105" t="s">
        <v>2</v>
      </c>
      <c r="B41" s="105" t="s">
        <v>85</v>
      </c>
      <c r="C41" s="102"/>
      <c r="D41" s="102"/>
      <c r="E41" s="102"/>
      <c r="F41" s="105"/>
      <c r="G41" s="105"/>
      <c r="H41" s="105"/>
      <c r="I41" s="105"/>
      <c r="J41" s="105"/>
      <c r="K41" s="105"/>
      <c r="L41" s="105"/>
      <c r="M41" s="105"/>
      <c r="N41" s="105"/>
      <c r="O41" s="103"/>
      <c r="P41" s="103"/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</row>
    <row r="42" spans="1:32" ht="36.6" customHeight="1">
      <c r="A42" s="102" t="s">
        <v>3</v>
      </c>
      <c r="B42" s="102" t="s">
        <v>86</v>
      </c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5"/>
      <c r="N42" s="105"/>
      <c r="O42" s="103"/>
      <c r="P42" s="103"/>
      <c r="Q42" s="103"/>
      <c r="R42" s="103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</row>
    <row r="43" spans="1:32" ht="14.4" customHeight="1">
      <c r="A43" s="105" t="s">
        <v>4</v>
      </c>
      <c r="B43" s="105" t="s">
        <v>87</v>
      </c>
      <c r="C43" s="102"/>
      <c r="D43" s="102"/>
      <c r="E43" s="102"/>
      <c r="F43" s="105"/>
      <c r="G43" s="105"/>
      <c r="H43" s="105"/>
      <c r="I43" s="105"/>
      <c r="J43" s="105"/>
      <c r="K43" s="105"/>
      <c r="L43" s="105"/>
      <c r="M43" s="105"/>
      <c r="N43" s="105"/>
      <c r="O43" s="103"/>
      <c r="P43" s="103"/>
      <c r="Q43" s="103"/>
      <c r="R43" s="103"/>
      <c r="S43" s="103"/>
      <c r="T43" s="103"/>
      <c r="U43" s="103"/>
      <c r="V43" s="103"/>
      <c r="W43" s="103"/>
      <c r="X43" s="103"/>
      <c r="Y43" s="103"/>
      <c r="Z43" s="103"/>
      <c r="AA43" s="103"/>
      <c r="AB43" s="103"/>
      <c r="AC43" s="103"/>
      <c r="AD43" s="103"/>
      <c r="AE43" s="103"/>
      <c r="AF43" s="103"/>
    </row>
    <row r="44" spans="1:32" ht="14.4" customHeight="1">
      <c r="A44" s="105" t="s">
        <v>5</v>
      </c>
      <c r="B44" s="105" t="s">
        <v>88</v>
      </c>
      <c r="C44" s="102"/>
      <c r="D44" s="102"/>
      <c r="E44" s="102"/>
      <c r="F44" s="105"/>
      <c r="G44" s="105"/>
      <c r="H44" s="105"/>
      <c r="I44" s="105"/>
      <c r="J44" s="105"/>
      <c r="K44" s="105"/>
      <c r="L44" s="105"/>
      <c r="M44" s="105"/>
      <c r="N44" s="105"/>
      <c r="O44" s="103"/>
      <c r="P44" s="103"/>
      <c r="Q44" s="103"/>
      <c r="R44" s="103"/>
      <c r="S44" s="103"/>
      <c r="T44" s="103"/>
      <c r="U44" s="103"/>
      <c r="V44" s="103"/>
      <c r="W44" s="103"/>
      <c r="X44" s="103"/>
      <c r="Y44" s="103"/>
      <c r="Z44" s="103"/>
      <c r="AA44" s="103"/>
      <c r="AB44" s="103"/>
      <c r="AC44" s="103"/>
      <c r="AD44" s="103"/>
      <c r="AE44" s="103"/>
      <c r="AF44" s="103"/>
    </row>
    <row r="45" spans="1:32" ht="14.4" customHeight="1">
      <c r="A45" s="105" t="s">
        <v>24</v>
      </c>
      <c r="B45" s="105" t="s">
        <v>89</v>
      </c>
      <c r="C45" s="102"/>
      <c r="D45" s="102"/>
      <c r="E45" s="102"/>
      <c r="F45" s="105"/>
      <c r="G45" s="105"/>
      <c r="H45" s="105"/>
      <c r="I45" s="105"/>
      <c r="J45" s="105"/>
      <c r="K45" s="105"/>
      <c r="L45" s="105"/>
      <c r="M45" s="105"/>
      <c r="N45" s="105"/>
      <c r="O45" s="103"/>
      <c r="P45" s="103"/>
      <c r="Q45" s="103"/>
      <c r="R45" s="103"/>
      <c r="S45" s="103"/>
      <c r="T45" s="103"/>
      <c r="U45" s="103"/>
      <c r="V45" s="103"/>
      <c r="W45" s="103"/>
      <c r="X45" s="103"/>
      <c r="Y45" s="103"/>
      <c r="Z45" s="103"/>
      <c r="AA45" s="103"/>
      <c r="AB45" s="103"/>
      <c r="AC45" s="103"/>
      <c r="AD45" s="103"/>
      <c r="AE45" s="103"/>
      <c r="AF45" s="103"/>
    </row>
    <row r="46" spans="1:32" ht="14.4" customHeight="1">
      <c r="A46" s="105"/>
      <c r="B46" s="105"/>
      <c r="C46" s="102"/>
      <c r="D46" s="102"/>
      <c r="E46" s="102"/>
      <c r="F46" s="105"/>
      <c r="G46" s="105"/>
      <c r="H46" s="105"/>
      <c r="I46" s="105"/>
      <c r="J46" s="105"/>
      <c r="K46" s="105"/>
      <c r="L46" s="105"/>
      <c r="M46" s="105"/>
      <c r="N46" s="105"/>
      <c r="O46" s="103"/>
      <c r="P46" s="103"/>
      <c r="Q46" s="103"/>
      <c r="R46" s="103"/>
      <c r="S46" s="103"/>
      <c r="T46" s="103"/>
      <c r="U46" s="103"/>
      <c r="V46" s="103"/>
      <c r="W46" s="103"/>
      <c r="X46" s="103"/>
      <c r="Y46" s="103"/>
      <c r="Z46" s="103"/>
      <c r="AA46" s="103"/>
      <c r="AB46" s="103"/>
      <c r="AC46" s="103"/>
      <c r="AD46" s="103"/>
      <c r="AE46" s="103"/>
      <c r="AF46" s="103"/>
    </row>
    <row r="47" spans="1:32" ht="14.4" customHeight="1">
      <c r="A47" s="105" t="s">
        <v>119</v>
      </c>
      <c r="B47" s="105"/>
      <c r="C47" s="102"/>
      <c r="D47" s="102"/>
      <c r="E47" s="102"/>
      <c r="F47" s="105"/>
      <c r="G47" s="105"/>
      <c r="H47" s="105"/>
      <c r="I47" s="105"/>
      <c r="J47" s="105"/>
      <c r="K47" s="105"/>
      <c r="L47" s="105"/>
      <c r="M47" s="105"/>
      <c r="N47" s="105"/>
      <c r="O47" s="103"/>
      <c r="P47" s="103"/>
      <c r="Q47" s="103"/>
      <c r="R47" s="103"/>
      <c r="S47" s="103"/>
      <c r="T47" s="103"/>
      <c r="U47" s="103"/>
      <c r="V47" s="103"/>
      <c r="W47" s="103"/>
      <c r="X47" s="103"/>
      <c r="Y47" s="103"/>
      <c r="Z47" s="103"/>
      <c r="AA47" s="103"/>
      <c r="AB47" s="103"/>
      <c r="AC47" s="103"/>
      <c r="AD47" s="103"/>
      <c r="AE47" s="103"/>
      <c r="AF47" s="103"/>
    </row>
    <row r="48" spans="1:32" ht="14.4" customHeight="1">
      <c r="A48" s="106"/>
      <c r="B48" s="105"/>
      <c r="C48" s="102"/>
      <c r="D48" s="102"/>
      <c r="E48" s="102"/>
      <c r="F48" s="105"/>
      <c r="G48" s="105"/>
      <c r="H48" s="105"/>
      <c r="I48" s="105"/>
      <c r="J48" s="105"/>
      <c r="K48" s="105"/>
      <c r="L48" s="105"/>
      <c r="M48" s="105"/>
      <c r="N48" s="105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</row>
    <row r="49" spans="1:32" ht="14.4" customHeight="1">
      <c r="A49" s="105"/>
      <c r="B49" s="105"/>
      <c r="C49" s="102"/>
      <c r="D49" s="102"/>
      <c r="E49" s="102"/>
      <c r="F49" s="105"/>
      <c r="G49" s="105"/>
      <c r="H49" s="105"/>
      <c r="I49" s="105"/>
      <c r="J49" s="105"/>
      <c r="K49" s="105"/>
      <c r="L49" s="105"/>
      <c r="M49" s="105"/>
      <c r="N49" s="105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</row>
    <row r="50" spans="1:32" ht="14.4" customHeight="1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3"/>
      <c r="P50" s="103"/>
      <c r="Q50" s="103"/>
      <c r="R50" s="103"/>
      <c r="S50" s="103"/>
      <c r="T50" s="103"/>
      <c r="U50" s="103"/>
      <c r="V50" s="103"/>
      <c r="W50" s="103"/>
      <c r="X50" s="103"/>
      <c r="Y50" s="103"/>
      <c r="Z50" s="103"/>
      <c r="AA50" s="103"/>
      <c r="AB50" s="103"/>
      <c r="AC50" s="103"/>
      <c r="AD50" s="103"/>
      <c r="AE50" s="103"/>
      <c r="AF50" s="103"/>
    </row>
    <row r="51" spans="1:32" ht="14.4" customHeight="1">
      <c r="A51" s="105" t="s">
        <v>90</v>
      </c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3"/>
      <c r="P51" s="103"/>
      <c r="Q51" s="103"/>
      <c r="R51" s="103"/>
      <c r="S51" s="103"/>
      <c r="T51" s="103"/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</row>
    <row r="52" spans="1:32" ht="14.4" customHeight="1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3"/>
      <c r="P52" s="103"/>
      <c r="Q52" s="103"/>
      <c r="R52" s="103"/>
      <c r="S52" s="103"/>
      <c r="T52" s="103"/>
      <c r="U52" s="103"/>
      <c r="V52" s="103"/>
      <c r="W52" s="103"/>
      <c r="X52" s="103"/>
      <c r="Y52" s="103"/>
      <c r="Z52" s="103"/>
      <c r="AA52" s="103"/>
      <c r="AB52" s="103"/>
      <c r="AC52" s="103"/>
      <c r="AD52" s="103"/>
      <c r="AE52" s="103"/>
      <c r="AF52" s="103"/>
    </row>
    <row r="53" spans="1:32" ht="14.4" customHeight="1">
      <c r="A53" s="105" t="s">
        <v>30</v>
      </c>
      <c r="B53" s="105" t="s">
        <v>31</v>
      </c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3"/>
      <c r="P53" s="103"/>
      <c r="Q53" s="103"/>
      <c r="R53" s="103"/>
      <c r="S53" s="103"/>
      <c r="T53" s="103"/>
      <c r="U53" s="103"/>
      <c r="V53" s="103"/>
      <c r="W53" s="103"/>
      <c r="X53" s="103"/>
      <c r="Y53" s="103"/>
      <c r="Z53" s="103"/>
      <c r="AA53" s="103"/>
      <c r="AB53" s="103"/>
      <c r="AC53" s="103"/>
      <c r="AD53" s="103"/>
      <c r="AE53" s="103"/>
      <c r="AF53" s="103"/>
    </row>
    <row r="54" spans="1:32" ht="14.4" customHeight="1">
      <c r="A54" s="105" t="s">
        <v>6</v>
      </c>
      <c r="B54" s="105" t="s">
        <v>91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3"/>
      <c r="P54" s="103"/>
      <c r="Q54" s="103"/>
      <c r="R54" s="103"/>
      <c r="S54" s="103"/>
      <c r="T54" s="103"/>
      <c r="U54" s="103"/>
      <c r="V54" s="103"/>
      <c r="W54" s="103"/>
      <c r="X54" s="103"/>
      <c r="Y54" s="103"/>
      <c r="Z54" s="103"/>
      <c r="AA54" s="103"/>
      <c r="AB54" s="103"/>
      <c r="AC54" s="103"/>
      <c r="AD54" s="103"/>
      <c r="AE54" s="103"/>
      <c r="AF54" s="103"/>
    </row>
    <row r="55" spans="1:32" ht="14.4" customHeight="1">
      <c r="A55" s="105" t="s">
        <v>92</v>
      </c>
      <c r="B55" s="105" t="s">
        <v>93</v>
      </c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3"/>
      <c r="P55" s="103"/>
      <c r="Q55" s="103"/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/>
      <c r="AC55" s="103"/>
      <c r="AD55" s="103"/>
      <c r="AE55" s="103"/>
      <c r="AF55" s="103"/>
    </row>
    <row r="56" spans="1:32" ht="14.4" customHeight="1">
      <c r="A56" s="105" t="s">
        <v>7</v>
      </c>
      <c r="B56" s="105" t="s">
        <v>94</v>
      </c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3"/>
      <c r="P56" s="103"/>
      <c r="Q56" s="103"/>
      <c r="R56" s="103"/>
      <c r="S56" s="103"/>
      <c r="T56" s="103"/>
      <c r="U56" s="103"/>
      <c r="V56" s="103"/>
      <c r="W56" s="103"/>
      <c r="X56" s="103"/>
      <c r="Y56" s="103"/>
      <c r="Z56" s="103"/>
      <c r="AA56" s="103"/>
      <c r="AB56" s="103"/>
      <c r="AC56" s="103"/>
      <c r="AD56" s="103"/>
      <c r="AE56" s="103"/>
      <c r="AF56" s="103"/>
    </row>
    <row r="57" spans="1:32" ht="14.4" customHeight="1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3"/>
      <c r="P57" s="103"/>
      <c r="Q57" s="103"/>
      <c r="R57" s="103"/>
      <c r="S57" s="103"/>
      <c r="T57" s="103"/>
      <c r="U57" s="103"/>
      <c r="V57" s="103"/>
      <c r="W57" s="103"/>
      <c r="X57" s="103"/>
      <c r="Y57" s="103"/>
      <c r="Z57" s="103"/>
      <c r="AA57" s="103"/>
      <c r="AB57" s="103"/>
      <c r="AC57" s="103"/>
      <c r="AD57" s="103"/>
      <c r="AE57" s="103"/>
      <c r="AF57" s="103"/>
    </row>
    <row r="58" spans="1:32" ht="14.4" customHeight="1">
      <c r="A58" s="105" t="s">
        <v>120</v>
      </c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3"/>
      <c r="P58" s="103"/>
      <c r="Q58" s="103"/>
      <c r="R58" s="103"/>
      <c r="S58" s="103"/>
      <c r="T58" s="103"/>
      <c r="U58" s="103"/>
      <c r="V58" s="103"/>
      <c r="W58" s="103"/>
      <c r="X58" s="103"/>
      <c r="Y58" s="103"/>
      <c r="Z58" s="103"/>
      <c r="AA58" s="103"/>
      <c r="AB58" s="103"/>
      <c r="AC58" s="103"/>
      <c r="AD58" s="103"/>
      <c r="AE58" s="103"/>
      <c r="AF58" s="103"/>
    </row>
    <row r="59" spans="1:32" ht="14.4" customHeight="1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3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</row>
    <row r="60" spans="1:32" ht="14.4" customHeight="1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3"/>
      <c r="P60" s="103"/>
      <c r="Q60" s="103"/>
      <c r="R60" s="103"/>
      <c r="S60" s="103"/>
      <c r="T60" s="103"/>
      <c r="U60" s="103"/>
      <c r="V60" s="103"/>
      <c r="W60" s="103"/>
      <c r="X60" s="103"/>
      <c r="Y60" s="103"/>
      <c r="Z60" s="103"/>
      <c r="AA60" s="103"/>
      <c r="AB60" s="103"/>
      <c r="AC60" s="103"/>
      <c r="AD60" s="103"/>
      <c r="AE60" s="103"/>
      <c r="AF60" s="103"/>
    </row>
    <row r="61" spans="1:32" ht="14.4" customHeight="1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3"/>
      <c r="P61" s="103"/>
      <c r="Q61" s="103"/>
      <c r="R61" s="103"/>
      <c r="S61" s="103"/>
      <c r="T61" s="103"/>
      <c r="U61" s="103"/>
      <c r="V61" s="103"/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</row>
    <row r="62" spans="1:32" ht="14.4" customHeight="1">
      <c r="A62" s="105" t="s">
        <v>95</v>
      </c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3"/>
      <c r="P62" s="103"/>
      <c r="Q62" s="103"/>
      <c r="R62" s="103"/>
      <c r="S62" s="103"/>
      <c r="T62" s="103"/>
      <c r="U62" s="103"/>
      <c r="V62" s="103"/>
      <c r="W62" s="103"/>
      <c r="X62" s="103"/>
      <c r="Y62" s="103"/>
      <c r="Z62" s="103"/>
      <c r="AA62" s="103"/>
      <c r="AB62" s="103"/>
      <c r="AC62" s="103"/>
      <c r="AD62" s="103"/>
      <c r="AE62" s="103"/>
      <c r="AF62" s="103"/>
    </row>
    <row r="63" spans="1:32" ht="14.4" customHeight="1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3"/>
      <c r="P63" s="103"/>
      <c r="Q63" s="103"/>
      <c r="R63" s="103"/>
      <c r="S63" s="103"/>
      <c r="T63" s="103"/>
      <c r="U63" s="103"/>
      <c r="V63" s="103"/>
      <c r="W63" s="103"/>
      <c r="X63" s="103"/>
      <c r="Y63" s="103"/>
      <c r="Z63" s="103"/>
      <c r="AA63" s="103"/>
      <c r="AB63" s="103"/>
      <c r="AC63" s="103"/>
      <c r="AD63" s="103"/>
      <c r="AE63" s="103"/>
      <c r="AF63" s="103"/>
    </row>
    <row r="64" spans="1:32" ht="14.4" customHeight="1">
      <c r="A64" s="105" t="s">
        <v>96</v>
      </c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3"/>
      <c r="P64" s="103"/>
      <c r="Q64" s="103"/>
      <c r="R64" s="103"/>
      <c r="S64" s="103"/>
      <c r="T64" s="103"/>
      <c r="U64" s="103"/>
      <c r="V64" s="103"/>
      <c r="W64" s="103"/>
      <c r="X64" s="103"/>
      <c r="Y64" s="103"/>
      <c r="Z64" s="103"/>
      <c r="AA64" s="103"/>
      <c r="AB64" s="103"/>
      <c r="AC64" s="103"/>
      <c r="AD64" s="103"/>
      <c r="AE64" s="103"/>
      <c r="AF64" s="103"/>
    </row>
    <row r="65" spans="1:32" ht="14.4" customHeight="1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3"/>
      <c r="P65" s="103"/>
      <c r="Q65" s="103"/>
      <c r="R65" s="103"/>
      <c r="S65" s="103"/>
      <c r="T65" s="103"/>
      <c r="U65" s="103"/>
      <c r="V65" s="103"/>
      <c r="W65" s="103"/>
      <c r="X65" s="103"/>
      <c r="Y65" s="103"/>
      <c r="Z65" s="103"/>
      <c r="AA65" s="103"/>
      <c r="AB65" s="103"/>
      <c r="AC65" s="103"/>
      <c r="AD65" s="103"/>
      <c r="AE65" s="103"/>
      <c r="AF65" s="103"/>
    </row>
    <row r="66" spans="1:32" ht="14.4" customHeight="1">
      <c r="A66" s="105" t="s">
        <v>97</v>
      </c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3"/>
      <c r="Z66" s="103"/>
      <c r="AA66" s="103"/>
      <c r="AB66" s="103"/>
      <c r="AC66" s="103"/>
      <c r="AD66" s="103"/>
      <c r="AE66" s="103"/>
      <c r="AF66" s="103"/>
    </row>
    <row r="67" spans="1:32" ht="14.4" customHeight="1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3"/>
      <c r="P67" s="103"/>
      <c r="Q67" s="103"/>
      <c r="R67" s="103"/>
      <c r="S67" s="103"/>
      <c r="T67" s="103"/>
      <c r="U67" s="103"/>
      <c r="V67" s="103"/>
      <c r="W67" s="103"/>
      <c r="X67" s="103"/>
      <c r="Y67" s="103"/>
      <c r="Z67" s="103"/>
      <c r="AA67" s="103"/>
      <c r="AB67" s="103"/>
      <c r="AC67" s="103"/>
      <c r="AD67" s="103"/>
      <c r="AE67" s="103"/>
      <c r="AF67" s="103"/>
    </row>
    <row r="68" spans="1:32" ht="14.4" customHeight="1">
      <c r="A68" s="105" t="s">
        <v>98</v>
      </c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3"/>
      <c r="P68" s="103"/>
      <c r="Q68" s="103"/>
      <c r="R68" s="103"/>
      <c r="S68" s="103"/>
      <c r="T68" s="103"/>
      <c r="U68" s="103"/>
      <c r="V68" s="103"/>
      <c r="W68" s="103"/>
      <c r="X68" s="103"/>
      <c r="Y68" s="103"/>
      <c r="Z68" s="103"/>
      <c r="AA68" s="103"/>
      <c r="AB68" s="103"/>
      <c r="AC68" s="103"/>
      <c r="AD68" s="103"/>
      <c r="AE68" s="103"/>
      <c r="AF68" s="103"/>
    </row>
    <row r="69" spans="1:32" ht="14.4" customHeight="1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3"/>
      <c r="P69" s="103"/>
      <c r="Q69" s="103"/>
      <c r="R69" s="103"/>
      <c r="S69" s="103"/>
      <c r="T69" s="103"/>
      <c r="U69" s="103"/>
      <c r="V69" s="103"/>
      <c r="W69" s="103"/>
      <c r="X69" s="103"/>
      <c r="Y69" s="103"/>
      <c r="Z69" s="103"/>
      <c r="AA69" s="103"/>
      <c r="AB69" s="103"/>
      <c r="AC69" s="103"/>
      <c r="AD69" s="103"/>
      <c r="AE69" s="103"/>
      <c r="AF69" s="103"/>
    </row>
    <row r="70" spans="1:32" ht="14.4" customHeight="1">
      <c r="A70" s="105" t="s">
        <v>99</v>
      </c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3"/>
      <c r="P70" s="103"/>
      <c r="Q70" s="103"/>
      <c r="R70" s="103"/>
      <c r="S70" s="103"/>
      <c r="T70" s="103"/>
      <c r="U70" s="103"/>
      <c r="V70" s="103"/>
      <c r="W70" s="103"/>
      <c r="X70" s="103"/>
      <c r="Y70" s="103"/>
      <c r="Z70" s="103"/>
      <c r="AA70" s="103"/>
      <c r="AB70" s="103"/>
      <c r="AC70" s="103"/>
      <c r="AD70" s="103"/>
      <c r="AE70" s="103"/>
      <c r="AF70" s="103"/>
    </row>
    <row r="71" spans="1:32" ht="14.4" customHeight="1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3"/>
      <c r="P71" s="103"/>
      <c r="Q71" s="103"/>
      <c r="R71" s="103"/>
      <c r="S71" s="103"/>
      <c r="T71" s="103"/>
      <c r="U71" s="103"/>
      <c r="V71" s="103"/>
      <c r="W71" s="103"/>
      <c r="X71" s="103"/>
      <c r="Y71" s="103"/>
      <c r="Z71" s="103"/>
      <c r="AA71" s="103"/>
      <c r="AB71" s="103"/>
      <c r="AC71" s="103"/>
      <c r="AD71" s="103"/>
      <c r="AE71" s="103"/>
      <c r="AF71" s="103"/>
    </row>
    <row r="72" spans="1:32" ht="14.4" customHeight="1">
      <c r="A72" s="105" t="s">
        <v>100</v>
      </c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3"/>
      <c r="P72" s="103"/>
      <c r="Q72" s="103"/>
      <c r="R72" s="103"/>
      <c r="S72" s="103"/>
      <c r="T72" s="103"/>
      <c r="U72" s="103"/>
      <c r="V72" s="103"/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</row>
    <row r="73" spans="1:32" ht="14.4" customHeight="1">
      <c r="A73" s="105"/>
      <c r="B73" s="105"/>
      <c r="C73" s="105"/>
      <c r="D73" s="102"/>
      <c r="E73" s="102"/>
      <c r="F73" s="102"/>
      <c r="G73" s="105"/>
      <c r="H73" s="105"/>
      <c r="I73" s="105"/>
      <c r="J73" s="105"/>
      <c r="K73" s="105"/>
      <c r="L73" s="105"/>
      <c r="M73" s="105"/>
      <c r="N73" s="105"/>
      <c r="O73" s="103"/>
      <c r="P73" s="103"/>
      <c r="Q73" s="103"/>
      <c r="R73" s="103"/>
      <c r="S73" s="103"/>
      <c r="T73" s="103"/>
      <c r="U73" s="103"/>
      <c r="V73" s="103"/>
      <c r="W73" s="103"/>
      <c r="X73" s="103"/>
      <c r="Y73" s="103"/>
      <c r="Z73" s="103"/>
      <c r="AA73" s="103"/>
      <c r="AB73" s="103"/>
      <c r="AC73" s="103"/>
      <c r="AD73" s="103"/>
      <c r="AE73" s="103"/>
      <c r="AF73" s="103"/>
    </row>
    <row r="74" spans="1:32" ht="14.4" customHeight="1">
      <c r="A74" s="105" t="s">
        <v>101</v>
      </c>
      <c r="B74" s="105"/>
      <c r="C74" s="105"/>
      <c r="D74" s="102"/>
      <c r="E74" s="102"/>
      <c r="F74" s="102"/>
      <c r="G74" s="105"/>
      <c r="H74" s="105"/>
      <c r="I74" s="105"/>
      <c r="J74" s="105"/>
      <c r="K74" s="105"/>
      <c r="L74" s="105"/>
      <c r="M74" s="105"/>
      <c r="N74" s="105"/>
      <c r="O74" s="103"/>
      <c r="P74" s="103"/>
      <c r="Q74" s="103"/>
      <c r="R74" s="103"/>
      <c r="S74" s="103"/>
      <c r="T74" s="103"/>
      <c r="U74" s="103"/>
      <c r="V74" s="103"/>
      <c r="W74" s="103"/>
      <c r="X74" s="103"/>
      <c r="Y74" s="103"/>
      <c r="Z74" s="103"/>
      <c r="AA74" s="103"/>
      <c r="AB74" s="103"/>
      <c r="AC74" s="103"/>
      <c r="AD74" s="103"/>
      <c r="AE74" s="103"/>
      <c r="AF74" s="103"/>
    </row>
    <row r="75" spans="1:32" ht="14.4" customHeight="1">
      <c r="A75" s="105"/>
      <c r="B75" s="105"/>
      <c r="C75" s="105"/>
      <c r="D75" s="102"/>
      <c r="E75" s="102"/>
      <c r="F75" s="102"/>
      <c r="G75" s="105"/>
      <c r="H75" s="105"/>
      <c r="I75" s="105"/>
      <c r="J75" s="105"/>
      <c r="K75" s="105"/>
      <c r="L75" s="105"/>
      <c r="M75" s="105"/>
      <c r="N75" s="105"/>
      <c r="O75" s="103"/>
      <c r="P75" s="103"/>
      <c r="Q75" s="103"/>
      <c r="R75" s="103"/>
      <c r="S75" s="103"/>
      <c r="T75" s="103"/>
      <c r="U75" s="103"/>
      <c r="V75" s="103"/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</row>
    <row r="76" spans="1:32" ht="14.4" customHeight="1">
      <c r="A76" s="105" t="s">
        <v>102</v>
      </c>
      <c r="B76" s="105"/>
      <c r="C76" s="105"/>
      <c r="D76" s="102"/>
      <c r="E76" s="102"/>
      <c r="F76" s="102"/>
      <c r="G76" s="105"/>
      <c r="H76" s="105"/>
      <c r="I76" s="105"/>
      <c r="J76" s="105"/>
      <c r="K76" s="105"/>
      <c r="L76" s="105"/>
      <c r="M76" s="105"/>
      <c r="N76" s="105"/>
      <c r="O76" s="103"/>
      <c r="P76" s="103"/>
      <c r="Q76" s="103"/>
      <c r="R76" s="103"/>
      <c r="S76" s="103"/>
      <c r="T76" s="103"/>
      <c r="U76" s="103"/>
      <c r="V76" s="103"/>
      <c r="W76" s="103"/>
      <c r="X76" s="103"/>
      <c r="Y76" s="103"/>
      <c r="Z76" s="103"/>
      <c r="AA76" s="103"/>
      <c r="AB76" s="103"/>
      <c r="AC76" s="103"/>
      <c r="AD76" s="103"/>
      <c r="AE76" s="103"/>
      <c r="AF76" s="103"/>
    </row>
    <row r="77" spans="1:32" ht="14.4" customHeight="1">
      <c r="A77" s="105"/>
      <c r="B77" s="105"/>
      <c r="C77" s="105"/>
      <c r="D77" s="102"/>
      <c r="E77" s="102"/>
      <c r="F77" s="102"/>
      <c r="G77" s="105"/>
      <c r="H77" s="105"/>
      <c r="I77" s="105"/>
      <c r="J77" s="105"/>
      <c r="K77" s="105"/>
      <c r="L77" s="105"/>
      <c r="M77" s="105"/>
      <c r="N77" s="105"/>
      <c r="O77" s="103"/>
      <c r="P77" s="103"/>
      <c r="Q77" s="103"/>
      <c r="R77" s="103"/>
      <c r="S77" s="103"/>
      <c r="T77" s="103"/>
      <c r="U77" s="103"/>
      <c r="V77" s="103"/>
      <c r="W77" s="103"/>
      <c r="X77" s="103"/>
      <c r="Y77" s="103"/>
      <c r="Z77" s="103"/>
      <c r="AA77" s="103"/>
      <c r="AB77" s="103"/>
      <c r="AC77" s="103"/>
      <c r="AD77" s="103"/>
      <c r="AE77" s="103"/>
      <c r="AF77" s="103"/>
    </row>
    <row r="78" spans="1:32" ht="14.4" customHeight="1">
      <c r="A78" s="105" t="s">
        <v>103</v>
      </c>
      <c r="B78" s="105"/>
      <c r="C78" s="105"/>
      <c r="D78" s="102"/>
      <c r="E78" s="102"/>
      <c r="F78" s="102"/>
      <c r="G78" s="105"/>
      <c r="H78" s="105"/>
      <c r="I78" s="105"/>
      <c r="J78" s="105"/>
      <c r="K78" s="105"/>
      <c r="L78" s="105"/>
      <c r="M78" s="105"/>
      <c r="N78" s="105"/>
      <c r="O78" s="103"/>
      <c r="P78" s="103"/>
      <c r="Q78" s="103"/>
      <c r="R78" s="103"/>
      <c r="S78" s="103"/>
      <c r="T78" s="103"/>
      <c r="U78" s="103"/>
      <c r="V78" s="103"/>
      <c r="W78" s="103"/>
      <c r="X78" s="103"/>
      <c r="Y78" s="103"/>
      <c r="Z78" s="103"/>
      <c r="AA78" s="103"/>
      <c r="AB78" s="103"/>
      <c r="AC78" s="103"/>
      <c r="AD78" s="103"/>
      <c r="AE78" s="103"/>
      <c r="AF78" s="103"/>
    </row>
    <row r="79" spans="1:32" ht="14.4" customHeight="1">
      <c r="A79" s="105"/>
      <c r="B79" s="105"/>
      <c r="C79" s="105"/>
      <c r="D79" s="102"/>
      <c r="E79" s="102"/>
      <c r="F79" s="102"/>
      <c r="G79" s="105"/>
      <c r="H79" s="105"/>
      <c r="I79" s="105"/>
      <c r="J79" s="105"/>
      <c r="K79" s="105"/>
      <c r="L79" s="105"/>
      <c r="M79" s="105"/>
      <c r="N79" s="105"/>
      <c r="O79" s="103"/>
      <c r="P79" s="103"/>
      <c r="Q79" s="103"/>
      <c r="R79" s="103"/>
      <c r="S79" s="103"/>
      <c r="T79" s="103"/>
      <c r="U79" s="103"/>
      <c r="V79" s="103"/>
      <c r="W79" s="103"/>
      <c r="X79" s="103"/>
      <c r="Y79" s="103"/>
      <c r="Z79" s="103"/>
      <c r="AA79" s="103"/>
      <c r="AB79" s="103"/>
      <c r="AC79" s="103"/>
      <c r="AD79" s="103"/>
      <c r="AE79" s="103"/>
      <c r="AF79" s="103"/>
    </row>
    <row r="80" spans="1:32">
      <c r="A80" s="105" t="s">
        <v>68</v>
      </c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3"/>
      <c r="M80" s="103"/>
      <c r="N80" s="103"/>
      <c r="O80" s="103"/>
      <c r="P80" s="103"/>
      <c r="Q80" s="103"/>
      <c r="R80" s="103"/>
      <c r="S80" s="103"/>
      <c r="T80" s="103"/>
      <c r="U80" s="103"/>
      <c r="V80" s="103"/>
      <c r="W80" s="103"/>
      <c r="X80" s="103"/>
      <c r="Y80" s="103"/>
      <c r="Z80" s="103"/>
      <c r="AA80" s="103"/>
      <c r="AB80" s="103"/>
      <c r="AC80" s="103"/>
      <c r="AD80" s="103"/>
      <c r="AE80" s="103"/>
      <c r="AF80" s="103"/>
    </row>
    <row r="81" spans="1:32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3"/>
      <c r="M81" s="103"/>
      <c r="N81" s="103"/>
      <c r="O81" s="103"/>
      <c r="P81" s="103"/>
      <c r="Q81" s="103"/>
      <c r="R81" s="103"/>
      <c r="S81" s="103"/>
      <c r="T81" s="103"/>
      <c r="U81" s="103"/>
      <c r="V81" s="103"/>
      <c r="W81" s="103"/>
      <c r="X81" s="103"/>
      <c r="Y81" s="103"/>
      <c r="Z81" s="103"/>
      <c r="AA81" s="103"/>
      <c r="AB81" s="103"/>
      <c r="AC81" s="103"/>
      <c r="AD81" s="103"/>
      <c r="AE81" s="103"/>
      <c r="AF81" s="103"/>
    </row>
    <row r="82" spans="1:32">
      <c r="A82" s="105" t="s">
        <v>13</v>
      </c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3"/>
      <c r="M82" s="103"/>
      <c r="N82" s="103"/>
      <c r="O82" s="103"/>
      <c r="P82" s="103"/>
      <c r="Q82" s="103"/>
      <c r="R82" s="103"/>
      <c r="S82" s="103"/>
      <c r="T82" s="103"/>
      <c r="U82" s="103"/>
      <c r="V82" s="103"/>
      <c r="W82" s="103"/>
      <c r="X82" s="103"/>
      <c r="Y82" s="103"/>
      <c r="Z82" s="103"/>
      <c r="AA82" s="103"/>
      <c r="AB82" s="103"/>
      <c r="AC82" s="103"/>
      <c r="AD82" s="103"/>
      <c r="AE82" s="103"/>
      <c r="AF82" s="103"/>
    </row>
    <row r="83" spans="1:32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3"/>
      <c r="M83" s="103"/>
      <c r="N83" s="103"/>
      <c r="O83" s="103"/>
      <c r="P83" s="103"/>
      <c r="Q83" s="103"/>
      <c r="R83" s="103"/>
      <c r="S83" s="103"/>
      <c r="T83" s="103"/>
      <c r="U83" s="103"/>
      <c r="V83" s="103"/>
      <c r="W83" s="103"/>
      <c r="X83" s="103"/>
      <c r="Y83" s="103"/>
      <c r="Z83" s="103"/>
      <c r="AA83" s="103"/>
      <c r="AB83" s="103"/>
      <c r="AC83" s="103"/>
      <c r="AD83" s="103"/>
      <c r="AE83" s="103"/>
      <c r="AF83" s="103"/>
    </row>
    <row r="84" spans="1:32">
      <c r="A84" s="105" t="s">
        <v>14</v>
      </c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3"/>
      <c r="M84" s="103"/>
      <c r="N84" s="103"/>
      <c r="O84" s="103"/>
      <c r="P84" s="103"/>
      <c r="Q84" s="103"/>
      <c r="R84" s="103"/>
      <c r="S84" s="103"/>
      <c r="T84" s="103"/>
      <c r="U84" s="103"/>
      <c r="V84" s="103"/>
      <c r="W84" s="103"/>
      <c r="X84" s="103"/>
      <c r="Y84" s="103"/>
      <c r="Z84" s="103"/>
      <c r="AA84" s="103"/>
      <c r="AB84" s="103"/>
      <c r="AC84" s="103"/>
      <c r="AD84" s="103"/>
      <c r="AE84" s="103"/>
      <c r="AF84" s="103"/>
    </row>
    <row r="85" spans="1:32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3"/>
      <c r="M85" s="103"/>
      <c r="N85" s="103"/>
      <c r="O85" s="103"/>
      <c r="P85" s="103"/>
      <c r="Q85" s="103"/>
      <c r="R85" s="103"/>
      <c r="S85" s="103"/>
      <c r="T85" s="103"/>
      <c r="U85" s="103"/>
      <c r="V85" s="103"/>
      <c r="W85" s="103"/>
      <c r="X85" s="103"/>
      <c r="Y85" s="103"/>
      <c r="Z85" s="103"/>
      <c r="AA85" s="103"/>
      <c r="AB85" s="103"/>
      <c r="AC85" s="103"/>
      <c r="AD85" s="103"/>
      <c r="AE85" s="103"/>
      <c r="AF85" s="103"/>
    </row>
    <row r="86" spans="1:32">
      <c r="A86" s="105" t="s">
        <v>69</v>
      </c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3"/>
      <c r="M86" s="103"/>
      <c r="N86" s="103"/>
      <c r="O86" s="103"/>
      <c r="P86" s="103"/>
      <c r="Q86" s="103"/>
      <c r="R86" s="103"/>
      <c r="S86" s="103"/>
      <c r="T86" s="103"/>
      <c r="U86" s="103"/>
      <c r="V86" s="103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</row>
    <row r="87" spans="1:32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3"/>
      <c r="M87" s="103"/>
      <c r="N87" s="103"/>
      <c r="O87" s="103"/>
      <c r="P87" s="103"/>
      <c r="Q87" s="103"/>
      <c r="R87" s="103"/>
      <c r="S87" s="103"/>
      <c r="T87" s="103"/>
      <c r="U87" s="103"/>
      <c r="V87" s="103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</row>
    <row r="88" spans="1:32">
      <c r="A88" s="105" t="s">
        <v>104</v>
      </c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3"/>
      <c r="M88" s="103"/>
      <c r="N88" s="103"/>
      <c r="O88" s="103"/>
      <c r="P88" s="103"/>
      <c r="Q88" s="103"/>
      <c r="R88" s="103"/>
      <c r="S88" s="103"/>
      <c r="T88" s="103"/>
      <c r="U88" s="103"/>
      <c r="V88" s="103"/>
      <c r="W88" s="103"/>
      <c r="X88" s="103"/>
      <c r="Y88" s="103"/>
      <c r="Z88" s="103"/>
      <c r="AA88" s="103"/>
      <c r="AB88" s="103"/>
      <c r="AC88" s="103"/>
      <c r="AD88" s="103"/>
      <c r="AE88" s="103"/>
      <c r="AF88" s="103"/>
    </row>
    <row r="89" spans="1:32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3"/>
      <c r="M89" s="103"/>
      <c r="N89" s="103"/>
      <c r="O89" s="103"/>
      <c r="P89" s="103"/>
      <c r="Q89" s="103"/>
      <c r="R89" s="103"/>
      <c r="S89" s="103"/>
      <c r="T89" s="103"/>
      <c r="U89" s="103"/>
      <c r="V89" s="103"/>
      <c r="W89" s="103"/>
      <c r="X89" s="103"/>
      <c r="Y89" s="103"/>
      <c r="Z89" s="103"/>
      <c r="AA89" s="103"/>
      <c r="AB89" s="103"/>
      <c r="AC89" s="103"/>
      <c r="AD89" s="103"/>
      <c r="AE89" s="103"/>
      <c r="AF89" s="103"/>
    </row>
    <row r="90" spans="1:32">
      <c r="A90" s="105" t="s">
        <v>121</v>
      </c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3"/>
      <c r="M90" s="103"/>
      <c r="N90" s="103"/>
      <c r="O90" s="103"/>
      <c r="P90" s="103"/>
      <c r="Q90" s="103"/>
      <c r="R90" s="103"/>
      <c r="S90" s="103"/>
      <c r="T90" s="103"/>
      <c r="U90" s="103"/>
      <c r="V90" s="103"/>
      <c r="W90" s="103"/>
      <c r="X90" s="103"/>
      <c r="Y90" s="103"/>
      <c r="Z90" s="103"/>
      <c r="AA90" s="103"/>
      <c r="AB90" s="103"/>
      <c r="AC90" s="103"/>
      <c r="AD90" s="103"/>
      <c r="AE90" s="103"/>
      <c r="AF90" s="103"/>
    </row>
    <row r="91" spans="1:32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</row>
    <row r="92" spans="1:32">
      <c r="A92" s="105" t="s">
        <v>105</v>
      </c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3"/>
      <c r="M92" s="103"/>
      <c r="N92" s="103"/>
      <c r="O92" s="103"/>
      <c r="P92" s="103"/>
      <c r="Q92" s="103"/>
      <c r="R92" s="103"/>
      <c r="S92" s="103"/>
      <c r="T92" s="103"/>
      <c r="U92" s="103"/>
      <c r="V92" s="103"/>
      <c r="W92" s="103"/>
      <c r="X92" s="103"/>
      <c r="Y92" s="103"/>
      <c r="Z92" s="103"/>
      <c r="AA92" s="103"/>
      <c r="AB92" s="103"/>
      <c r="AC92" s="103"/>
      <c r="AD92" s="103"/>
      <c r="AE92" s="103"/>
      <c r="AF92" s="103"/>
    </row>
    <row r="93" spans="1:32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3"/>
      <c r="M93" s="103"/>
      <c r="N93" s="103"/>
      <c r="O93" s="103"/>
      <c r="P93" s="103"/>
      <c r="Q93" s="103"/>
      <c r="R93" s="103"/>
      <c r="S93" s="103"/>
      <c r="T93" s="103"/>
      <c r="U93" s="103"/>
      <c r="V93" s="103"/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</row>
    <row r="94" spans="1:32">
      <c r="A94" s="105" t="s">
        <v>106</v>
      </c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3"/>
      <c r="M94" s="103"/>
      <c r="N94" s="103"/>
      <c r="O94" s="103"/>
      <c r="P94" s="103"/>
      <c r="Q94" s="103"/>
      <c r="R94" s="103"/>
      <c r="S94" s="103"/>
      <c r="T94" s="103"/>
      <c r="U94" s="103"/>
      <c r="V94" s="103"/>
      <c r="W94" s="103"/>
      <c r="X94" s="103"/>
      <c r="Y94" s="103"/>
      <c r="Z94" s="103"/>
      <c r="AA94" s="103"/>
      <c r="AB94" s="103"/>
      <c r="AC94" s="103"/>
      <c r="AD94" s="103"/>
      <c r="AE94" s="103"/>
      <c r="AF94" s="103"/>
    </row>
    <row r="95" spans="1:32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3"/>
      <c r="M95" s="103"/>
      <c r="N95" s="103"/>
      <c r="O95" s="103"/>
      <c r="P95" s="103"/>
      <c r="Q95" s="103"/>
      <c r="R95" s="103"/>
      <c r="S95" s="103"/>
      <c r="T95" s="103"/>
      <c r="U95" s="103"/>
      <c r="V95" s="103"/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</row>
    <row r="96" spans="1:32">
      <c r="A96" s="105" t="s">
        <v>17</v>
      </c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3"/>
      <c r="M96" s="103"/>
      <c r="N96" s="103"/>
      <c r="O96" s="103"/>
      <c r="P96" s="103"/>
      <c r="Q96" s="103"/>
      <c r="R96" s="103"/>
      <c r="S96" s="103"/>
      <c r="T96" s="103"/>
      <c r="U96" s="103"/>
      <c r="V96" s="103"/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</row>
    <row r="97" spans="1:32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3"/>
      <c r="M97" s="103"/>
      <c r="N97" s="103"/>
      <c r="O97" s="103"/>
      <c r="P97" s="103"/>
      <c r="Q97" s="103"/>
      <c r="R97" s="103"/>
      <c r="S97" s="103"/>
      <c r="T97" s="103"/>
      <c r="U97" s="103"/>
      <c r="V97" s="103"/>
      <c r="W97" s="103"/>
      <c r="X97" s="103"/>
      <c r="Y97" s="103"/>
      <c r="Z97" s="103"/>
      <c r="AA97" s="103"/>
      <c r="AB97" s="103"/>
      <c r="AC97" s="103"/>
      <c r="AD97" s="103"/>
      <c r="AE97" s="103"/>
      <c r="AF97" s="103"/>
    </row>
    <row r="98" spans="1:32">
      <c r="A98" s="105" t="s">
        <v>107</v>
      </c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3"/>
      <c r="M98" s="103"/>
      <c r="N98" s="103"/>
      <c r="O98" s="103"/>
      <c r="P98" s="103"/>
      <c r="Q98" s="103"/>
      <c r="R98" s="103"/>
      <c r="S98" s="103"/>
      <c r="T98" s="103"/>
      <c r="U98" s="103"/>
      <c r="V98" s="103"/>
      <c r="W98" s="103"/>
      <c r="X98" s="103"/>
      <c r="Y98" s="103"/>
      <c r="Z98" s="103"/>
      <c r="AA98" s="103"/>
      <c r="AB98" s="103"/>
      <c r="AC98" s="103"/>
      <c r="AD98" s="103"/>
      <c r="AE98" s="103"/>
      <c r="AF98" s="103"/>
    </row>
    <row r="99" spans="1:32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3"/>
      <c r="M99" s="103"/>
      <c r="N99" s="103"/>
      <c r="O99" s="103"/>
      <c r="P99" s="103"/>
      <c r="Q99" s="103"/>
      <c r="R99" s="103"/>
      <c r="S99" s="103"/>
      <c r="T99" s="103"/>
      <c r="U99" s="103"/>
      <c r="V99" s="103"/>
      <c r="W99" s="103"/>
      <c r="X99" s="103"/>
      <c r="Y99" s="103"/>
      <c r="Z99" s="103"/>
      <c r="AA99" s="103"/>
      <c r="AB99" s="103"/>
      <c r="AC99" s="103"/>
      <c r="AD99" s="103"/>
      <c r="AE99" s="103"/>
      <c r="AF99" s="103"/>
    </row>
    <row r="100" spans="1:32">
      <c r="A100" s="105" t="s">
        <v>70</v>
      </c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3"/>
      <c r="M100" s="103"/>
      <c r="N100" s="103"/>
      <c r="O100" s="103"/>
      <c r="P100" s="103"/>
      <c r="Q100" s="103"/>
      <c r="R100" s="103"/>
      <c r="S100" s="103"/>
      <c r="T100" s="103"/>
      <c r="U100" s="103"/>
      <c r="V100" s="103"/>
      <c r="W100" s="103"/>
      <c r="X100" s="103"/>
      <c r="Y100" s="103"/>
      <c r="Z100" s="103"/>
      <c r="AA100" s="103"/>
      <c r="AB100" s="103"/>
      <c r="AC100" s="103"/>
      <c r="AD100" s="103"/>
      <c r="AE100" s="103"/>
      <c r="AF100" s="103"/>
    </row>
    <row r="101" spans="1:32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</row>
    <row r="102" spans="1:32">
      <c r="A102" s="105" t="s">
        <v>108</v>
      </c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3"/>
      <c r="M102" s="103"/>
      <c r="N102" s="103"/>
      <c r="O102" s="103"/>
      <c r="P102" s="103"/>
      <c r="Q102" s="103"/>
      <c r="R102" s="103"/>
      <c r="S102" s="103"/>
      <c r="T102" s="103"/>
      <c r="U102" s="103"/>
      <c r="V102" s="103"/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</row>
    <row r="103" spans="1:32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3"/>
      <c r="M103" s="103"/>
      <c r="N103" s="103"/>
      <c r="O103" s="103"/>
      <c r="P103" s="103"/>
      <c r="Q103" s="103"/>
      <c r="R103" s="103"/>
      <c r="S103" s="103"/>
      <c r="T103" s="103"/>
      <c r="U103" s="103"/>
      <c r="V103" s="103"/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</row>
    <row r="104" spans="1:32">
      <c r="A104" s="105" t="s">
        <v>109</v>
      </c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3"/>
      <c r="M104" s="103"/>
      <c r="N104" s="103"/>
      <c r="O104" s="103"/>
      <c r="P104" s="103"/>
      <c r="Q104" s="103"/>
      <c r="R104" s="103"/>
      <c r="S104" s="103"/>
      <c r="T104" s="103"/>
      <c r="U104" s="103"/>
      <c r="V104" s="103"/>
      <c r="W104" s="103"/>
      <c r="X104" s="103"/>
      <c r="Y104" s="103"/>
      <c r="Z104" s="103"/>
      <c r="AA104" s="103"/>
      <c r="AB104" s="103"/>
      <c r="AC104" s="103"/>
      <c r="AD104" s="103"/>
      <c r="AE104" s="103"/>
      <c r="AF104" s="103"/>
    </row>
    <row r="105" spans="1:32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3"/>
      <c r="M105" s="103"/>
      <c r="N105" s="103"/>
      <c r="O105" s="103"/>
      <c r="P105" s="103"/>
      <c r="Q105" s="103"/>
      <c r="R105" s="103"/>
      <c r="S105" s="103"/>
      <c r="T105" s="103"/>
      <c r="U105" s="103"/>
      <c r="V105" s="103"/>
      <c r="W105" s="103"/>
      <c r="X105" s="103"/>
      <c r="Y105" s="103"/>
      <c r="Z105" s="103"/>
      <c r="AA105" s="103"/>
      <c r="AB105" s="103"/>
      <c r="AC105" s="103"/>
      <c r="AD105" s="103"/>
      <c r="AE105" s="103"/>
      <c r="AF105" s="103"/>
    </row>
    <row r="106" spans="1:32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3"/>
      <c r="M106" s="103"/>
      <c r="N106" s="103"/>
      <c r="O106" s="103"/>
      <c r="P106" s="103"/>
      <c r="Q106" s="103"/>
      <c r="R106" s="103"/>
      <c r="S106" s="103"/>
      <c r="T106" s="103"/>
      <c r="U106" s="103"/>
      <c r="V106" s="103"/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</row>
    <row r="107" spans="1:32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3"/>
      <c r="M107" s="103"/>
      <c r="N107" s="103"/>
      <c r="O107" s="103"/>
      <c r="P107" s="103"/>
      <c r="Q107" s="103"/>
      <c r="R107" s="103"/>
      <c r="S107" s="103"/>
      <c r="T107" s="103"/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</row>
    <row r="108" spans="1:32">
      <c r="A108" s="105" t="s">
        <v>110</v>
      </c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3"/>
      <c r="M108" s="103"/>
      <c r="N108" s="103"/>
      <c r="O108" s="103"/>
      <c r="P108" s="103"/>
      <c r="Q108" s="103"/>
      <c r="R108" s="103"/>
      <c r="S108" s="103"/>
      <c r="T108" s="103"/>
      <c r="U108" s="103"/>
      <c r="V108" s="103"/>
      <c r="W108" s="103"/>
      <c r="X108" s="103"/>
      <c r="Y108" s="103"/>
      <c r="Z108" s="103"/>
      <c r="AA108" s="103"/>
      <c r="AB108" s="103"/>
      <c r="AC108" s="103"/>
      <c r="AD108" s="103"/>
      <c r="AE108" s="103"/>
      <c r="AF108" s="103"/>
    </row>
    <row r="109" spans="1:32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3"/>
      <c r="M109" s="103"/>
      <c r="N109" s="103"/>
      <c r="O109" s="103"/>
      <c r="P109" s="103"/>
      <c r="Q109" s="103"/>
      <c r="R109" s="103"/>
      <c r="S109" s="103"/>
      <c r="T109" s="103"/>
      <c r="U109" s="103"/>
      <c r="V109" s="103"/>
      <c r="W109" s="103"/>
      <c r="X109" s="103"/>
      <c r="Y109" s="103"/>
      <c r="Z109" s="103"/>
      <c r="AA109" s="103"/>
      <c r="AB109" s="103"/>
      <c r="AC109" s="103"/>
      <c r="AD109" s="103"/>
      <c r="AE109" s="103"/>
      <c r="AF109" s="103"/>
    </row>
    <row r="110" spans="1:32">
      <c r="A110" s="105" t="s">
        <v>111</v>
      </c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3"/>
      <c r="M110" s="103"/>
      <c r="N110" s="103"/>
      <c r="O110" s="103"/>
      <c r="P110" s="103"/>
      <c r="Q110" s="103"/>
      <c r="R110" s="103"/>
      <c r="S110" s="103"/>
      <c r="T110" s="103"/>
      <c r="U110" s="103"/>
      <c r="V110" s="103"/>
      <c r="W110" s="103"/>
      <c r="X110" s="103"/>
      <c r="Y110" s="103"/>
      <c r="Z110" s="103"/>
      <c r="AA110" s="103"/>
      <c r="AB110" s="103"/>
      <c r="AC110" s="103"/>
      <c r="AD110" s="103"/>
      <c r="AE110" s="103"/>
      <c r="AF110" s="103"/>
    </row>
    <row r="111" spans="1:32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3"/>
      <c r="M111" s="103"/>
      <c r="N111" s="103"/>
      <c r="O111" s="103"/>
      <c r="P111" s="103"/>
      <c r="Q111" s="103"/>
      <c r="R111" s="103"/>
      <c r="S111" s="103"/>
      <c r="T111" s="103"/>
      <c r="U111" s="103"/>
      <c r="V111" s="103"/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</row>
    <row r="112" spans="1:32">
      <c r="A112" s="105" t="s">
        <v>112</v>
      </c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3"/>
      <c r="M112" s="103"/>
      <c r="N112" s="103"/>
      <c r="O112" s="103"/>
      <c r="P112" s="103"/>
      <c r="Q112" s="103"/>
      <c r="R112" s="103"/>
      <c r="S112" s="103"/>
      <c r="T112" s="103"/>
      <c r="U112" s="103"/>
      <c r="V112" s="103"/>
      <c r="W112" s="103"/>
      <c r="X112" s="103"/>
      <c r="Y112" s="103"/>
      <c r="Z112" s="103"/>
      <c r="AA112" s="103"/>
      <c r="AB112" s="103"/>
      <c r="AC112" s="103"/>
      <c r="AD112" s="103"/>
      <c r="AE112" s="103"/>
      <c r="AF112" s="103"/>
    </row>
    <row r="113" spans="1:32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3"/>
      <c r="M113" s="103"/>
      <c r="N113" s="103"/>
      <c r="O113" s="103"/>
      <c r="P113" s="103"/>
      <c r="Q113" s="103"/>
      <c r="R113" s="103"/>
      <c r="S113" s="103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</row>
    <row r="114" spans="1:32">
      <c r="A114" s="105" t="s">
        <v>113</v>
      </c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3"/>
      <c r="M114" s="103"/>
      <c r="N114" s="103"/>
      <c r="O114" s="103"/>
      <c r="P114" s="103"/>
      <c r="Q114" s="103"/>
      <c r="R114" s="103"/>
      <c r="S114" s="103"/>
      <c r="T114" s="103"/>
      <c r="U114" s="103"/>
      <c r="V114" s="103"/>
      <c r="W114" s="103"/>
      <c r="X114" s="103"/>
      <c r="Y114" s="103"/>
      <c r="Z114" s="103"/>
      <c r="AA114" s="103"/>
      <c r="AB114" s="103"/>
      <c r="AC114" s="103"/>
      <c r="AD114" s="103"/>
      <c r="AE114" s="103"/>
      <c r="AF114" s="103"/>
    </row>
    <row r="115" spans="1:32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3"/>
      <c r="M115" s="103"/>
      <c r="N115" s="103"/>
      <c r="O115" s="103"/>
      <c r="P115" s="103"/>
      <c r="Q115" s="103"/>
      <c r="R115" s="103"/>
      <c r="S115" s="103"/>
      <c r="T115" s="103"/>
      <c r="U115" s="103"/>
      <c r="V115" s="103"/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</row>
    <row r="116" spans="1:32">
      <c r="A116" s="105" t="s">
        <v>122</v>
      </c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3"/>
      <c r="M116" s="103"/>
      <c r="N116" s="103"/>
      <c r="O116" s="103"/>
      <c r="P116" s="103"/>
      <c r="Q116" s="103"/>
      <c r="R116" s="103"/>
      <c r="S116" s="103"/>
      <c r="T116" s="103"/>
      <c r="U116" s="103"/>
      <c r="V116" s="103"/>
      <c r="W116" s="103"/>
      <c r="X116" s="103"/>
      <c r="Y116" s="103"/>
      <c r="Z116" s="103"/>
      <c r="AA116" s="103"/>
      <c r="AB116" s="103"/>
      <c r="AC116" s="103"/>
      <c r="AD116" s="103"/>
      <c r="AE116" s="103"/>
      <c r="AF116" s="103"/>
    </row>
    <row r="117" spans="1:32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3"/>
      <c r="M117" s="103"/>
      <c r="N117" s="103"/>
      <c r="O117" s="103"/>
      <c r="P117" s="103"/>
      <c r="Q117" s="103"/>
      <c r="R117" s="103"/>
      <c r="S117" s="103"/>
      <c r="T117" s="103"/>
      <c r="U117" s="103"/>
      <c r="V117" s="103"/>
      <c r="W117" s="103"/>
      <c r="X117" s="103"/>
      <c r="Y117" s="103"/>
      <c r="Z117" s="103"/>
      <c r="AA117" s="103"/>
      <c r="AB117" s="103"/>
      <c r="AC117" s="103"/>
      <c r="AD117" s="103"/>
      <c r="AE117" s="103"/>
      <c r="AF117" s="103"/>
    </row>
    <row r="118" spans="1:32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3"/>
      <c r="M118" s="103"/>
      <c r="N118" s="103"/>
      <c r="O118" s="103"/>
      <c r="P118" s="103"/>
      <c r="Q118" s="103"/>
      <c r="R118" s="103"/>
      <c r="S118" s="103"/>
      <c r="T118" s="103"/>
      <c r="U118" s="103"/>
      <c r="V118" s="103"/>
      <c r="W118" s="103"/>
      <c r="X118" s="103"/>
      <c r="Y118" s="103"/>
      <c r="Z118" s="103"/>
      <c r="AA118" s="103"/>
      <c r="AB118" s="103"/>
      <c r="AC118" s="103"/>
      <c r="AD118" s="103"/>
      <c r="AE118" s="103"/>
      <c r="AF118" s="103"/>
    </row>
    <row r="119" spans="1:32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3"/>
      <c r="M119" s="103"/>
      <c r="N119" s="103"/>
      <c r="O119" s="103"/>
      <c r="P119" s="103"/>
      <c r="Q119" s="103"/>
      <c r="R119" s="103"/>
      <c r="S119" s="103"/>
      <c r="T119" s="103"/>
      <c r="U119" s="103"/>
      <c r="V119" s="103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</row>
    <row r="120" spans="1:32">
      <c r="A120" s="105" t="s">
        <v>123</v>
      </c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3"/>
      <c r="M120" s="103"/>
      <c r="N120" s="103"/>
      <c r="O120" s="103"/>
      <c r="P120" s="103"/>
      <c r="Q120" s="103"/>
      <c r="R120" s="103"/>
      <c r="S120" s="103"/>
      <c r="T120" s="103"/>
      <c r="U120" s="103"/>
      <c r="V120" s="103"/>
      <c r="W120" s="103"/>
      <c r="X120" s="103"/>
      <c r="Y120" s="103"/>
      <c r="Z120" s="103"/>
      <c r="AA120" s="103"/>
      <c r="AB120" s="103"/>
      <c r="AC120" s="103"/>
      <c r="AD120" s="103"/>
      <c r="AE120" s="103"/>
      <c r="AF120" s="103"/>
    </row>
    <row r="121" spans="1:32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3"/>
      <c r="M121" s="103"/>
      <c r="N121" s="103"/>
      <c r="O121" s="103"/>
      <c r="P121" s="103"/>
      <c r="Q121" s="103"/>
      <c r="R121" s="103"/>
      <c r="S121" s="103"/>
      <c r="T121" s="103"/>
      <c r="U121" s="103"/>
      <c r="V121" s="103"/>
      <c r="W121" s="103"/>
      <c r="X121" s="103"/>
      <c r="Y121" s="103"/>
      <c r="Z121" s="103"/>
      <c r="AA121" s="103"/>
      <c r="AB121" s="103"/>
      <c r="AC121" s="103"/>
      <c r="AD121" s="103"/>
      <c r="AE121" s="103"/>
      <c r="AF121" s="103"/>
    </row>
    <row r="122" spans="1:32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3"/>
      <c r="M122" s="103"/>
      <c r="N122" s="103"/>
      <c r="O122" s="103"/>
      <c r="P122" s="103"/>
      <c r="Q122" s="103"/>
      <c r="R122" s="103"/>
      <c r="S122" s="103"/>
      <c r="T122" s="103"/>
      <c r="U122" s="103"/>
      <c r="V122" s="103"/>
      <c r="W122" s="103"/>
      <c r="X122" s="103"/>
      <c r="Y122" s="103"/>
      <c r="Z122" s="103"/>
      <c r="AA122" s="103"/>
      <c r="AB122" s="103"/>
      <c r="AC122" s="103"/>
      <c r="AD122" s="103"/>
      <c r="AE122" s="103"/>
      <c r="AF122" s="103"/>
    </row>
    <row r="123" spans="1:32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3"/>
      <c r="M123" s="103"/>
      <c r="N123" s="103"/>
      <c r="O123" s="103"/>
      <c r="P123" s="103"/>
      <c r="Q123" s="103"/>
      <c r="R123" s="103"/>
      <c r="S123" s="103"/>
      <c r="T123" s="103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</row>
    <row r="124" spans="1:32">
      <c r="A124" s="105" t="s">
        <v>124</v>
      </c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3"/>
      <c r="M124" s="103"/>
      <c r="N124" s="103"/>
      <c r="O124" s="103"/>
      <c r="P124" s="103"/>
      <c r="Q124" s="103"/>
      <c r="R124" s="103"/>
      <c r="S124" s="103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</row>
    <row r="125" spans="1:32">
      <c r="A125" s="105" t="s">
        <v>125</v>
      </c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3"/>
      <c r="M125" s="103"/>
      <c r="N125" s="103"/>
      <c r="O125" s="103"/>
      <c r="P125" s="103"/>
      <c r="Q125" s="103"/>
      <c r="R125" s="103"/>
      <c r="S125" s="103"/>
      <c r="T125" s="103"/>
      <c r="U125" s="103"/>
      <c r="V125" s="103"/>
      <c r="W125" s="103"/>
      <c r="X125" s="103"/>
      <c r="Y125" s="103"/>
      <c r="Z125" s="103"/>
      <c r="AA125" s="103"/>
      <c r="AB125" s="103"/>
      <c r="AC125" s="103"/>
      <c r="AD125" s="103"/>
      <c r="AE125" s="103"/>
      <c r="AF125" s="103"/>
    </row>
    <row r="126" spans="1:32">
      <c r="A126" s="105" t="s">
        <v>114</v>
      </c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3"/>
      <c r="M126" s="103"/>
      <c r="N126" s="103"/>
      <c r="O126" s="103"/>
      <c r="P126" s="103"/>
      <c r="Q126" s="103"/>
      <c r="R126" s="103"/>
      <c r="S126" s="103"/>
      <c r="T126" s="103"/>
      <c r="U126" s="103"/>
      <c r="V126" s="103"/>
      <c r="W126" s="103"/>
      <c r="X126" s="103"/>
      <c r="Y126" s="103"/>
      <c r="Z126" s="103"/>
      <c r="AA126" s="103"/>
      <c r="AB126" s="103"/>
      <c r="AC126" s="103"/>
      <c r="AD126" s="103"/>
      <c r="AE126" s="103"/>
      <c r="AF126" s="103"/>
    </row>
    <row r="127" spans="1:32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3"/>
      <c r="M127" s="103"/>
      <c r="N127" s="103"/>
      <c r="O127" s="103"/>
      <c r="P127" s="103"/>
      <c r="Q127" s="103"/>
      <c r="R127" s="103"/>
      <c r="S127" s="103"/>
      <c r="T127" s="103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</row>
    <row r="128" spans="1:32">
      <c r="A128" s="105" t="s">
        <v>115</v>
      </c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3"/>
      <c r="M128" s="103"/>
      <c r="N128" s="103"/>
      <c r="O128" s="103"/>
      <c r="P128" s="103"/>
      <c r="Q128" s="103"/>
      <c r="R128" s="103"/>
      <c r="S128" s="103"/>
      <c r="T128" s="103"/>
      <c r="U128" s="103"/>
      <c r="V128" s="103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</row>
    <row r="129" spans="1:32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3"/>
      <c r="M129" s="103"/>
      <c r="N129" s="103"/>
      <c r="O129" s="103"/>
      <c r="P129" s="103"/>
      <c r="Q129" s="103"/>
      <c r="R129" s="103"/>
      <c r="S129" s="103"/>
      <c r="T129" s="103"/>
      <c r="U129" s="103"/>
      <c r="V129" s="103"/>
      <c r="W129" s="103"/>
      <c r="X129" s="103"/>
      <c r="Y129" s="103"/>
      <c r="Z129" s="103"/>
      <c r="AA129" s="103"/>
      <c r="AB129" s="103"/>
      <c r="AC129" s="103"/>
      <c r="AD129" s="103"/>
      <c r="AE129" s="103"/>
      <c r="AF129" s="103"/>
    </row>
    <row r="130" spans="1:32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3"/>
      <c r="M130" s="103"/>
      <c r="N130" s="103"/>
      <c r="O130" s="103"/>
      <c r="P130" s="103"/>
      <c r="Q130" s="103"/>
      <c r="R130" s="103"/>
      <c r="S130" s="103"/>
      <c r="T130" s="103"/>
      <c r="U130" s="103"/>
      <c r="V130" s="103"/>
      <c r="W130" s="103"/>
      <c r="X130" s="103"/>
      <c r="Y130" s="103"/>
      <c r="Z130" s="103"/>
      <c r="AA130" s="103"/>
      <c r="AB130" s="103"/>
      <c r="AC130" s="103"/>
      <c r="AD130" s="103"/>
      <c r="AE130" s="103"/>
      <c r="AF130" s="103"/>
    </row>
    <row r="131" spans="1:32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</row>
    <row r="132" spans="1:32">
      <c r="A132" s="5" t="s">
        <v>46</v>
      </c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3"/>
      <c r="M132" s="103"/>
      <c r="N132" s="103"/>
      <c r="O132" s="103"/>
      <c r="P132" s="103"/>
      <c r="Q132" s="103"/>
      <c r="R132" s="103"/>
      <c r="S132" s="103"/>
      <c r="T132" s="103"/>
      <c r="U132" s="103"/>
      <c r="V132" s="103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</row>
    <row r="133" spans="1:32">
      <c r="A133" s="5" t="s">
        <v>128</v>
      </c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3"/>
      <c r="M133" s="103"/>
      <c r="N133" s="103"/>
      <c r="O133" s="103"/>
      <c r="P133" s="103"/>
      <c r="Q133" s="103"/>
      <c r="R133" s="103"/>
      <c r="S133" s="103"/>
      <c r="T133" s="103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</row>
    <row r="134" spans="1:32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3"/>
      <c r="M134" s="103"/>
      <c r="N134" s="103"/>
      <c r="O134" s="103"/>
      <c r="P134" s="103"/>
      <c r="Q134" s="103"/>
      <c r="R134" s="103"/>
      <c r="S134" s="103"/>
      <c r="T134" s="103"/>
      <c r="U134" s="103"/>
      <c r="V134" s="103"/>
      <c r="W134" s="103"/>
      <c r="X134" s="103"/>
      <c r="Y134" s="103"/>
      <c r="Z134" s="103"/>
      <c r="AA134" s="103"/>
      <c r="AB134" s="103"/>
      <c r="AC134" s="103"/>
      <c r="AD134" s="103"/>
      <c r="AE134" s="103"/>
      <c r="AF134" s="103"/>
    </row>
    <row r="135" spans="1:32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3"/>
      <c r="M135" s="103"/>
      <c r="N135" s="103"/>
      <c r="O135" s="103"/>
      <c r="P135" s="103"/>
      <c r="Q135" s="103"/>
      <c r="R135" s="103"/>
      <c r="S135" s="103"/>
      <c r="T135" s="103"/>
      <c r="U135" s="103"/>
      <c r="V135" s="103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</row>
    <row r="136" spans="1:32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3"/>
      <c r="M136" s="103"/>
      <c r="N136" s="103"/>
      <c r="O136" s="103"/>
      <c r="P136" s="103"/>
      <c r="Q136" s="103"/>
      <c r="R136" s="103"/>
      <c r="S136" s="103"/>
      <c r="T136" s="103"/>
      <c r="U136" s="103"/>
      <c r="V136" s="103"/>
      <c r="W136" s="103"/>
      <c r="X136" s="103"/>
      <c r="Y136" s="103"/>
      <c r="Z136" s="103"/>
      <c r="AA136" s="103"/>
      <c r="AB136" s="103"/>
      <c r="AC136" s="103"/>
      <c r="AD136" s="103"/>
      <c r="AE136" s="103"/>
      <c r="AF136" s="103"/>
    </row>
    <row r="137" spans="1:32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3"/>
      <c r="M137" s="103"/>
      <c r="N137" s="103"/>
      <c r="O137" s="103"/>
      <c r="P137" s="103"/>
      <c r="Q137" s="103"/>
      <c r="R137" s="103"/>
      <c r="S137" s="103"/>
      <c r="T137" s="103"/>
      <c r="U137" s="103"/>
      <c r="V137" s="103"/>
      <c r="W137" s="103"/>
      <c r="X137" s="103"/>
      <c r="Y137" s="103"/>
      <c r="Z137" s="103"/>
      <c r="AA137" s="103"/>
      <c r="AB137" s="103"/>
      <c r="AC137" s="103"/>
      <c r="AD137" s="103"/>
      <c r="AE137" s="103"/>
      <c r="AF137" s="103"/>
    </row>
  </sheetData>
  <sheetProtection algorithmName="SHA-512" hashValue="ducVCL7trr0gvirUrWVkV6uJTAsGE78+6JrAqUmG0V1X/wdZAVCWYTass/jkN0yE9mGaZWYHsZ1OtTkNcbRDEA==" saltValue="h2did1MO9cZALhU5tYxa0w==" spinCount="100000" sheet="1" objects="1" scenarios="1" selectLockedCells="1" selectUnlockedCells="1"/>
  <hyperlinks>
    <hyperlink ref="A48" r:id="rId1" display="http://www.yscapgroup.com/" xr:uid="{AA3F529B-7553-4F58-9252-200275177E83}"/>
  </hyperlinks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3FC264900052B4E8B7EFCB5708AF87F" ma:contentTypeVersion="13" ma:contentTypeDescription="Create a new document." ma:contentTypeScope="" ma:versionID="0a04d37ce0c42a9d4ad4e25919536400">
  <xsd:schema xmlns:xsd="http://www.w3.org/2001/XMLSchema" xmlns:xs="http://www.w3.org/2001/XMLSchema" xmlns:p="http://schemas.microsoft.com/office/2006/metadata/properties" xmlns:ns2="e8e991a0-14da-48f8-b377-886d3df09443" xmlns:ns3="d7eac4ec-cfe6-44c1-8384-f889af4f723e" targetNamespace="http://schemas.microsoft.com/office/2006/metadata/properties" ma:root="true" ma:fieldsID="17f759dd88c0267f8c2669011ec5131e" ns2:_="" ns3:_="">
    <xsd:import namespace="e8e991a0-14da-48f8-b377-886d3df09443"/>
    <xsd:import namespace="d7eac4ec-cfe6-44c1-8384-f889af4f723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e991a0-14da-48f8-b377-886d3df094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2b6a5766-90f7-438b-82a3-36862ccf51d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eac4ec-cfe6-44c1-8384-f889af4f723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020f1e17-e6f4-4609-9b1d-e1ed074f2e8b}" ma:internalName="TaxCatchAll" ma:showField="CatchAllData" ma:web="d7eac4ec-cfe6-44c1-8384-f889af4f723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eac4ec-cfe6-44c1-8384-f889af4f723e" xsi:nil="true"/>
    <lcf76f155ced4ddcb4097134ff3c332f xmlns="e8e991a0-14da-48f8-b377-886d3df0944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9526491-0214-4477-9CAD-56A8526693A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9102E46-205E-437B-B85B-AA967F24E9D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e991a0-14da-48f8-b377-886d3df09443"/>
    <ds:schemaRef ds:uri="d7eac4ec-cfe6-44c1-8384-f889af4f723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F0FDD8A-1920-41C9-B64C-0897980109B5}">
  <ds:schemaRefs>
    <ds:schemaRef ds:uri="http://schemas.microsoft.com/office/2006/metadata/properties"/>
    <ds:schemaRef ds:uri="http://schemas.microsoft.com/office/infopath/2007/PartnerControls"/>
    <ds:schemaRef ds:uri="d7eac4ec-cfe6-44c1-8384-f889af4f723e"/>
    <ds:schemaRef ds:uri="e8e991a0-14da-48f8-b377-886d3df0944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YS Portfolio Tracker™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Yehuda Bochner</dc:creator>
  <cp:lastModifiedBy>Yehuda Bochner</cp:lastModifiedBy>
  <dcterms:created xsi:type="dcterms:W3CDTF">2025-04-29T03:17:52Z</dcterms:created>
  <dcterms:modified xsi:type="dcterms:W3CDTF">2025-05-22T04:31:33Z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0x01010013FC264900052B4E8B7EFCB5708AF87F</vt:lpwstr>
  </property>
  <property fmtid="{D5CDD505-2E9C-101B-9397-08002B2CF9AE}" pid="3" name="MediaServiceImageTags">
    <vt:lpwstr/>
  </property>
</Properties>
</file>