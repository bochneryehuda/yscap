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yscapgroup.sharepoint.com/sites/SharedData/Shared Documents/Pipeline Drive/Ys Capital Group/YS CAPITAL INVESTOR SUITE - FINAL V1 - EXCEL FORMAT (3)/"/>
    </mc:Choice>
  </mc:AlternateContent>
  <xr:revisionPtr revIDLastSave="570" documentId="8_{080971D2-4873-40FC-AD80-15BDB4603E24}" xr6:coauthVersionLast="47" xr6:coauthVersionMax="47" xr10:uidLastSave="{0D9518D5-2875-4DA5-84C1-2E86ED8D6891}"/>
  <bookViews>
    <workbookView minimized="1" xWindow="36090" yWindow="885" windowWidth="19530" windowHeight="11295" xr2:uid="{00000000-000D-0000-FFFF-FFFF00000000}"/>
  </bookViews>
  <sheets>
    <sheet name="Deal Analyzer" sheetId="1" r:id="rId1"/>
    <sheet name="Sample" sheetId="6" r:id="rId2"/>
    <sheet name="Instruction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6" l="1"/>
  <c r="G51" i="6"/>
  <c r="G50" i="6"/>
  <c r="G49" i="6"/>
  <c r="G48" i="6"/>
  <c r="G47" i="6"/>
  <c r="B47" i="6"/>
  <c r="G46" i="6"/>
  <c r="G45" i="6"/>
  <c r="G44" i="6"/>
  <c r="G43" i="6"/>
  <c r="G42" i="6"/>
  <c r="G41" i="6"/>
  <c r="G40" i="6"/>
  <c r="F35" i="6"/>
  <c r="F28" i="6"/>
  <c r="B28" i="6"/>
  <c r="B30" i="6" s="1"/>
  <c r="F35" i="1"/>
  <c r="G40" i="1"/>
  <c r="B47" i="1"/>
  <c r="B50" i="1" s="1"/>
  <c r="F28" i="1"/>
  <c r="F29" i="1" s="1"/>
  <c r="B28" i="1"/>
  <c r="G52" i="6" l="1"/>
  <c r="B50" i="6"/>
  <c r="J30" i="6" s="1"/>
  <c r="F29" i="6"/>
  <c r="B35" i="6"/>
  <c r="B48" i="6"/>
  <c r="B49" i="6" s="1"/>
  <c r="B53" i="6"/>
  <c r="J32" i="6" s="1"/>
  <c r="B27" i="6"/>
  <c r="J28" i="1"/>
  <c r="F36" i="1"/>
  <c r="F37" i="1" s="1"/>
  <c r="G41" i="1"/>
  <c r="G42" i="1"/>
  <c r="G43" i="1"/>
  <c r="G44" i="1"/>
  <c r="G45" i="1"/>
  <c r="G46" i="1"/>
  <c r="G47" i="1"/>
  <c r="G48" i="1"/>
  <c r="G49" i="1"/>
  <c r="G50" i="1"/>
  <c r="G51" i="1"/>
  <c r="F52" i="1"/>
  <c r="B30" i="1"/>
  <c r="B48" i="1" s="1"/>
  <c r="F36" i="6" l="1"/>
  <c r="F37" i="6"/>
  <c r="J28" i="6"/>
  <c r="C35" i="6"/>
  <c r="B36" i="6"/>
  <c r="B37" i="6"/>
  <c r="C37" i="6" s="1"/>
  <c r="J27" i="6" s="1"/>
  <c r="J30" i="1"/>
  <c r="B53" i="1"/>
  <c r="J32" i="1" s="1"/>
  <c r="G52" i="1"/>
  <c r="J29" i="1"/>
  <c r="B35" i="1"/>
  <c r="B27" i="1"/>
  <c r="F54" i="1"/>
  <c r="J26" i="1" s="1"/>
  <c r="B49" i="1"/>
  <c r="J29" i="6" l="1"/>
  <c r="F55" i="6"/>
  <c r="F54" i="6"/>
  <c r="J23" i="6"/>
  <c r="J22" i="6"/>
  <c r="C36" i="6"/>
  <c r="J19" i="1"/>
  <c r="G54" i="1"/>
  <c r="B37" i="1"/>
  <c r="B36" i="1"/>
  <c r="C35" i="1"/>
  <c r="G55" i="6" l="1"/>
  <c r="J20" i="6"/>
  <c r="J31" i="6"/>
  <c r="G54" i="6"/>
  <c r="J19" i="6"/>
  <c r="J26" i="6"/>
  <c r="C36" i="1"/>
  <c r="J22" i="1"/>
  <c r="C37" i="1"/>
  <c r="J23" i="1"/>
  <c r="J27" i="1" l="1"/>
  <c r="F55" i="1"/>
  <c r="J31" i="1" s="1"/>
  <c r="G55" i="1" l="1"/>
  <c r="J20" i="1"/>
</calcChain>
</file>

<file path=xl/sharedStrings.xml><?xml version="1.0" encoding="utf-8"?>
<sst xmlns="http://schemas.openxmlformats.org/spreadsheetml/2006/main" count="335" uniqueCount="210">
  <si>
    <t>Property Information</t>
  </si>
  <si>
    <t>Input</t>
  </si>
  <si>
    <t>Property Address</t>
  </si>
  <si>
    <t>Number of Units</t>
  </si>
  <si>
    <t>Unit #</t>
  </si>
  <si>
    <t>Rent*</t>
  </si>
  <si>
    <t>Purchase Price</t>
  </si>
  <si>
    <t>Interest Rate (%)</t>
  </si>
  <si>
    <t>Loan Term (Years)</t>
  </si>
  <si>
    <t>Income Calculations</t>
  </si>
  <si>
    <t>Value</t>
  </si>
  <si>
    <t>Gross Scheduled Rent (Monthly)</t>
  </si>
  <si>
    <t>Vacancy Loss (%)</t>
  </si>
  <si>
    <t>Monthly</t>
  </si>
  <si>
    <t>Property Taxes</t>
  </si>
  <si>
    <t>Insurance</t>
  </si>
  <si>
    <t>Management</t>
  </si>
  <si>
    <t>Maintenance</t>
  </si>
  <si>
    <t>Water/Sewer</t>
  </si>
  <si>
    <t>Electric</t>
  </si>
  <si>
    <t>Gas/Heating</t>
  </si>
  <si>
    <t>Landscaping</t>
  </si>
  <si>
    <t>Trash Removal</t>
  </si>
  <si>
    <t>Pest Control</t>
  </si>
  <si>
    <t>Other</t>
  </si>
  <si>
    <t>Total Operating Expenses</t>
  </si>
  <si>
    <t>Ratios and Metrics</t>
  </si>
  <si>
    <t>Net Operating Income (NOI)</t>
  </si>
  <si>
    <t>Cap Rate</t>
  </si>
  <si>
    <t>Cash-on-Cash ROI</t>
  </si>
  <si>
    <t>LTV (%)</t>
  </si>
  <si>
    <t>Loan Amount (Auto)</t>
  </si>
  <si>
    <t>Loan Amount (Manual Override)</t>
  </si>
  <si>
    <t>Final Loan Amount Used</t>
  </si>
  <si>
    <t>Monthly P&amp;I</t>
  </si>
  <si>
    <t>Monthly PITI&amp;H</t>
  </si>
  <si>
    <t>Banks typically use this DSCR method for residential properties (1–4 units). It only includes mortgage, taxes, insurance, and HOA. Useful for basic loan qualification but does not account for operating expenses.</t>
  </si>
  <si>
    <t>This expanded DSCR calculation includes all major operating expenses. More common for commercial properties (5+ units) or investors seeking a realistic cash flow view. Recommended for deeper financial analysis even on residential deals.</t>
  </si>
  <si>
    <t>Beds / Bath</t>
  </si>
  <si>
    <t xml:space="preserve">Effective Gross Income (EGI) </t>
  </si>
  <si>
    <t xml:space="preserve">Yearly </t>
  </si>
  <si>
    <t>Gross Scheduled Rent (Yearly)</t>
  </si>
  <si>
    <t xml:space="preserve">Effective Gross Income (EGI) - Yearly </t>
  </si>
  <si>
    <t>Closing Costs</t>
  </si>
  <si>
    <t>Planned Improvements</t>
  </si>
  <si>
    <t>Holding Costs (Interest while vacant)</t>
  </si>
  <si>
    <t>Inspection &amp; Appraisal Fees</t>
  </si>
  <si>
    <t>Total Acquisition &amp; Setup Costs</t>
  </si>
  <si>
    <t xml:space="preserve">Down payment </t>
  </si>
  <si>
    <t>Total Cash Invested at Acquisition</t>
  </si>
  <si>
    <t>Break-Even Occupancy</t>
  </si>
  <si>
    <t>Gross Rent Multiplier (GRM)</t>
  </si>
  <si>
    <t>Operating Expense Ratio (OER)</t>
  </si>
  <si>
    <t>Return on Equity (ROE)</t>
  </si>
  <si>
    <t>Estimate return based only on property income.</t>
  </si>
  <si>
    <t>Return based on your real cash invested.</t>
  </si>
  <si>
    <t>Lender risk measurement.</t>
  </si>
  <si>
    <t>Survival point where you cover all bills.</t>
  </si>
  <si>
    <t>What % of the property must be rented just to break even?</t>
  </si>
  <si>
    <t>Rough value shortcut.</t>
  </si>
  <si>
    <t>How many years would it take for rent to equal purchase price (without expenses)?</t>
  </si>
  <si>
    <t>Efficiency of property management.</t>
  </si>
  <si>
    <t>What % of your income is being spent on expenses?</t>
  </si>
  <si>
    <t>Loan-to-Cost (LTC)</t>
  </si>
  <si>
    <t>Lender exposure on project cost.</t>
  </si>
  <si>
    <t>How much of the project is being financed vs your own cash?</t>
  </si>
  <si>
    <t>How well your built-up equity is working for you.</t>
  </si>
  <si>
    <t>Are you still making good returns or is your equity sitting lazy?</t>
  </si>
  <si>
    <t>Down Payment</t>
  </si>
  <si>
    <t xml:space="preserve">HOA </t>
  </si>
  <si>
    <t>Monthly All-In (Total Operating Expenses)</t>
  </si>
  <si>
    <t>Purchse Information</t>
  </si>
  <si>
    <t>Loan Information</t>
  </si>
  <si>
    <t>Rental Income Information</t>
  </si>
  <si>
    <t>Mortgage payment  Calculations</t>
  </si>
  <si>
    <t>Operating Expenses</t>
  </si>
  <si>
    <t>Yearly Loan Payments</t>
  </si>
  <si>
    <t>Other Acquisition Cost</t>
  </si>
  <si>
    <t>Monthly Loan Payments</t>
  </si>
  <si>
    <t>Cash Flow</t>
  </si>
  <si>
    <t>DSCR PITI + Total Operating Expenses + Vacancy factor  (DSCR Commercial)</t>
  </si>
  <si>
    <t xml:space="preserve">DSCR ratio PITI + HOA (DSCR Residential) - No Vacancy factor  </t>
  </si>
  <si>
    <t>Debt Yield (A CapRate for lenders)</t>
  </si>
  <si>
    <t>Total</t>
  </si>
  <si>
    <t>Total Purchase Price + Acquisition Costs</t>
  </si>
  <si>
    <t>ARV Property value (If more than purchase price )</t>
  </si>
  <si>
    <t>Effective Equity</t>
  </si>
  <si>
    <t>Actual % of ownership based on today's value.</t>
  </si>
  <si>
    <t>How much of the property's real value you actually own (after loan balance).</t>
  </si>
  <si>
    <t>bad debt or credit loss factor</t>
  </si>
  <si>
    <t>Vacancy &amp; Bad dept Loss (Amount)</t>
  </si>
  <si>
    <t>Total Loss</t>
  </si>
  <si>
    <t>Prepared by: Yehuda Bochner</t>
  </si>
  <si>
    <t xml:space="preserve">ARV Equity  </t>
  </si>
  <si>
    <r>
      <t xml:space="preserve">Rental Broker Fees / Leasing Fees </t>
    </r>
    <r>
      <rPr>
        <i/>
        <sz val="11"/>
        <color theme="0"/>
        <rFont val="Courier New"/>
        <family val="3"/>
      </rPr>
      <t>(optional)</t>
    </r>
  </si>
  <si>
    <r>
      <t xml:space="preserve">Refinance Costs </t>
    </r>
    <r>
      <rPr>
        <i/>
        <sz val="11"/>
        <color theme="0"/>
        <rFont val="Courier New"/>
        <family val="3"/>
      </rPr>
      <t>(optional)</t>
    </r>
  </si>
  <si>
    <t>📌 What This Sheet Is For:</t>
  </si>
  <si>
    <t>How much money you’ll make (or lose) each month</t>
  </si>
  <si>
    <t>What return you’re getting on your investment</t>
  </si>
  <si>
    <t>Whether a lender might approve the deal (based on DSCR and loan metrics)</t>
  </si>
  <si>
    <t>If the property cash flows well after all expenses</t>
  </si>
  <si>
    <t>✅ How to Use the Sheet</t>
  </si>
  <si>
    <t>Let’s go section by section.</t>
  </si>
  <si>
    <t>🏠 1. Property and Loan Info</t>
  </si>
  <si>
    <t>These are your basic deal numbers.</t>
  </si>
  <si>
    <t>Field</t>
  </si>
  <si>
    <t>What to Enter</t>
  </si>
  <si>
    <t>What you’re paying for the property</t>
  </si>
  <si>
    <t>Loan Info</t>
  </si>
  <si>
    <t>You can also override the loan amount manually if you already have a lender quote.</t>
  </si>
  <si>
    <t>Interest Rate &amp; Loan Term</t>
  </si>
  <si>
    <t>Example: 6.5% interest for 30 years</t>
  </si>
  <si>
    <t>💸 2. Monthly Loan Payments</t>
  </si>
  <si>
    <t>The sheet automatically calculates:</t>
  </si>
  <si>
    <t>Result</t>
  </si>
  <si>
    <t>What It Means</t>
  </si>
  <si>
    <t>Your mortgage payment (Principal + Interest only)</t>
  </si>
  <si>
    <t>Your mortgage + Taxes + Insurance + HOA</t>
  </si>
  <si>
    <t>Yearly PITI&amp;H</t>
  </si>
  <si>
    <t>The same, but for the full year (used for annual budgeting)</t>
  </si>
  <si>
    <t>🔧 3. Acquisition and Setup Costs</t>
  </si>
  <si>
    <t>Example Costs</t>
  </si>
  <si>
    <t>Closing costs (title, attorney fees)</t>
  </si>
  <si>
    <t>Renovations or repairs</t>
  </si>
  <si>
    <t>Holding costs while vacant</t>
  </si>
  <si>
    <t>Appraisal, inspections</t>
  </si>
  <si>
    <t>Any other upfront cost</t>
  </si>
  <si>
    <t>🏘️ 4. Rental Income</t>
  </si>
  <si>
    <t>The sheet will calculate:</t>
  </si>
  <si>
    <t>Total monthly rent</t>
  </si>
  <si>
    <t>Total yearly rent</t>
  </si>
  <si>
    <t>🧾 5. Operating Expenses</t>
  </si>
  <si>
    <t>Examples</t>
  </si>
  <si>
    <t>HOA fees</t>
  </si>
  <si>
    <t>Water, Electric, Gas</t>
  </si>
  <si>
    <t>Lawn, snow, trash</t>
  </si>
  <si>
    <t>Property Management Fees</t>
  </si>
  <si>
    <t>💰 6. Cash Flow Calculation</t>
  </si>
  <si>
    <t>Here’s where you find out:</t>
  </si>
  <si>
    <t>Metric</t>
  </si>
  <si>
    <t>Meaning</t>
  </si>
  <si>
    <t>📊 7. Deal Performance Metrics (Right Side)</t>
  </si>
  <si>
    <t>Return based only on the rent — higher is better. 5–8% is typical.</t>
  </si>
  <si>
    <t>Real return on the cash you invested — includes mortgage. 7–12% is great.</t>
  </si>
  <si>
    <t>DSCR (Debt Service Coverage Ratio)</t>
  </si>
  <si>
    <t>Measures if the property earns enough to cover the mortgage.</t>
  </si>
  <si>
    <t>Debt Yield</t>
  </si>
  <si>
    <t>Lender’s view of risk. Higher is safer.</t>
  </si>
  <si>
    <t>What % of the units must be rented just to cover all bills. Lower is better.</t>
  </si>
  <si>
    <t>GRM (Gross Rent Multiplier)</t>
  </si>
  <si>
    <t>A shortcut to compare deals: Price ÷ Rent. Lower is better.</t>
  </si>
  <si>
    <t>OER (Operating Expense Ratio)</t>
  </si>
  <si>
    <t>How much of your income is eaten by costs. Lower is better.</t>
  </si>
  <si>
    <t>LTC (Loan-to-Cost)</t>
  </si>
  <si>
    <t>How much you’re borrowing compared to total project cost</t>
  </si>
  <si>
    <t>ROE (Return on Equity)</t>
  </si>
  <si>
    <t>How hard your equity is working — especially important if you refinance later</t>
  </si>
  <si>
    <t>Effective Equity %</t>
  </si>
  <si>
    <t>How much of the property you truly own based on its current value</t>
  </si>
  <si>
    <t>🧮 What This Sheet Helps You Decide</t>
  </si>
  <si>
    <t>Can I cash flow each month — and how much?</t>
  </si>
  <si>
    <t>Am I overpaying for this property?</t>
  </si>
  <si>
    <t>How much money do I need to close?</t>
  </si>
  <si>
    <t>Will this deal qualify with a DSCR lender?</t>
  </si>
  <si>
    <t>Is this a flip, rental, or BRRRR-worthy?</t>
  </si>
  <si>
    <t>🟢 Example Entry Tips:</t>
  </si>
  <si>
    <t>Use conservative rent numbers — assume a vacancy month or two.</t>
  </si>
  <si>
    <t>Always include property management and maintenance, even if you plan to self-manage.</t>
  </si>
  <si>
    <t>If you plan to refinance later, make sure your equity and DSCR still work.</t>
  </si>
  <si>
    <t>🎯 In Short:</t>
  </si>
  <si>
    <t>This sheet tells you:</t>
  </si>
  <si>
    <t>How much cash you'll need upfront</t>
  </si>
  <si>
    <t>What your monthly cash flow will be</t>
  </si>
  <si>
    <t>Whether the property makes financial sense</t>
  </si>
  <si>
    <t>It gives you the same numbers lenders and professional investors use to make fast, smart decisions.</t>
  </si>
  <si>
    <t>🧾 YS Deal Analyzer™ Deal Analyzer Worksheet – Beginner’s Guide</t>
  </si>
  <si>
    <t>This Excel tool helps you quickly analyze rental property deals and figure out:</t>
  </si>
  <si>
    <t>It’s built for both new and experienced real estate investors to make smart decisions on whether a deal is worth it — before you buy.</t>
  </si>
  <si>
    <t>Only fill in the blue boxes. Everything else updates automatically.</t>
  </si>
  <si>
    <t>Enter your estimated Loan-to-Value (LTV) (like 75%), and the sheet will calculate how much cash you need to put down and how much you’ll borrow.</t>
  </si>
  <si>
    <t>This is where you enter all other costs you’ll pay before renting the property:</t>
  </si>
  <si>
    <t>💡 The sheet totals it up and tells you how much cash you need to close.</t>
  </si>
  <si>
    <t>Enter the monthly rent you expect to collect from each unit (if it’s a single-family, just fill in one row).</t>
  </si>
  <si>
    <t>A conservative income number (after subtracting 6% for vacancy and bad tenants)</t>
  </si>
  <si>
    <t>This gives you the Effective Gross Income (EGI) — a safer estimate of what you’ll actually receive.</t>
  </si>
  <si>
    <t>These are monthly property costs that don’t go to the bank:</t>
  </si>
  <si>
    <t>💡 Enter these as annual costs — the sheet splits them into monthly amounts.</t>
  </si>
  <si>
    <t>How much money you make before the mortgage</t>
  </si>
  <si>
    <t>How much money you make (or lose) after paying the mortgage</t>
  </si>
  <si>
    <t>💡 This is the number most investors care about.</t>
  </si>
  <si>
    <t>This section tells you how good the deal is using industry-standard terms.</t>
  </si>
  <si>
    <t>Lenders usually want at least 1.2 or 1.25</t>
  </si>
  <si>
    <t>🛡️ GENERAL DISCLAIMER</t>
  </si>
  <si>
    <t>Disclaimer &amp; Terms of Use</t>
  </si>
  <si>
    <t>By using these tools, you acknowledge and accept the terms outlined in this disclaimer.</t>
  </si>
  <si>
    <t>Designed by: YS Capital Group</t>
  </si>
  <si>
    <t>Licensed Mortgage Lender | NMLS Registered</t>
  </si>
  <si>
    <t>© 2025 YS Capital Group. All rights reserved.</t>
  </si>
  <si>
    <t>YS Capital Group complies with all fair lending laws. We are proud to be an Equal Housing Lender.</t>
  </si>
  <si>
    <t>YS Deal Analyzer™ Deal Analyzer Worksheet - Powered by YS Capital Group The tool serious investors say YES to.</t>
  </si>
  <si>
    <r>
      <t xml:space="preserve">This Excel toolset was developed solely for educational and illustrative purposes. The calculations and outputs generated herein are intended to assist with preliminary real estate deal analysis and mortgage scenario planning only. This document does </t>
    </r>
    <r>
      <rPr>
        <b/>
        <sz val="11"/>
        <color theme="0"/>
        <rFont val="Courier New"/>
        <family val="3"/>
      </rPr>
      <t>not</t>
    </r>
    <r>
      <rPr>
        <sz val="11"/>
        <color theme="0"/>
        <rFont val="Courier New"/>
        <family val="3"/>
      </rPr>
      <t xml:space="preserve"> constitute financial, investment, legal, or tax advice.</t>
    </r>
  </si>
  <si>
    <r>
      <t xml:space="preserve">All values produced are </t>
    </r>
    <r>
      <rPr>
        <b/>
        <sz val="11"/>
        <color theme="0"/>
        <rFont val="Courier New"/>
        <family val="3"/>
      </rPr>
      <t>estimates</t>
    </r>
    <r>
      <rPr>
        <sz val="11"/>
        <color theme="0"/>
        <rFont val="Courier New"/>
        <family val="3"/>
      </rPr>
      <t xml:space="preserve"> based on user input and do not guarantee loan approvals, investment returns, or deal outcomes. Please consult with a licensed financial advisor, accountant, or attorney for professional guidance.</t>
    </r>
  </si>
  <si>
    <r>
      <t xml:space="preserve">YS Capital Group, a licensed mortgage lender registered with the </t>
    </r>
    <r>
      <rPr>
        <b/>
        <sz val="11"/>
        <color theme="0"/>
        <rFont val="Courier New"/>
        <family val="3"/>
      </rPr>
      <t>Nationwide Multistate Licensing System (NMLS)</t>
    </r>
    <r>
      <rPr>
        <sz val="11"/>
        <color theme="0"/>
        <rFont val="Courier New"/>
        <family val="3"/>
      </rPr>
      <t>, assumes no liability for errors, miscalculations, or losses incurred from the use of these tools. Use of this spreadsheet is at your own risk.</t>
    </r>
  </si>
  <si>
    <r>
      <t xml:space="preserve">This document may include visual indicators or deal “widgets” such as coloring systems to assist with comparison and basic modeling; these are illustrative only and </t>
    </r>
    <r>
      <rPr>
        <b/>
        <sz val="11"/>
        <color theme="0"/>
        <rFont val="Courier New"/>
        <family val="3"/>
      </rPr>
      <t>not recommendations</t>
    </r>
    <r>
      <rPr>
        <sz val="11"/>
        <color theme="0"/>
        <rFont val="Courier New"/>
        <family val="3"/>
      </rPr>
      <t xml:space="preserve"> to buy, sell, invest, or finance any property.</t>
    </r>
  </si>
  <si>
    <r>
      <t xml:space="preserve">🏠 </t>
    </r>
    <r>
      <rPr>
        <b/>
        <sz val="11"/>
        <color theme="0"/>
        <rFont val="Courier New"/>
        <family val="3"/>
      </rPr>
      <t>Equal Housing Lender</t>
    </r>
  </si>
  <si>
    <t>TBD</t>
  </si>
  <si>
    <t>ARV Property value (If more than purchase price)</t>
  </si>
  <si>
    <t>DSCR PITI + Total Operating Expenses + Vacancy factor (DSCR Commercial)</t>
  </si>
  <si>
    <t>YS Capital Group</t>
  </si>
  <si>
    <t xml:space="preserve">NMLS ID 2609746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</si>
</sst>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17" x14ac:knownFonts="1">
    <font>
      <sz val="11"/>
      <color theme="1"/>
      <name val="Calibri"/>
      <family val="2"/>
      <scheme val="minor"/>
    </font>
    <font>
      <sz val="11"/>
      <color theme="1"/>
      <name val="Calibri"/>
      <family val="2"/>
      <scheme val="minor"/>
    </font>
    <font>
      <sz val="11"/>
      <color theme="0"/>
      <name val="Calibri"/>
      <family val="2"/>
      <scheme val="minor"/>
    </font>
    <font>
      <sz val="14"/>
      <color theme="0"/>
      <name val="Aptos Narrow"/>
      <family val="2"/>
    </font>
    <font>
      <sz val="26"/>
      <color theme="0"/>
      <name val="Calibri"/>
      <family val="2"/>
      <scheme val="minor"/>
    </font>
    <font>
      <sz val="26"/>
      <color theme="0"/>
      <name val="Courier New"/>
      <family val="3"/>
    </font>
    <font>
      <sz val="14"/>
      <color theme="0"/>
      <name val="Courier New"/>
      <family val="3"/>
    </font>
    <font>
      <b/>
      <sz val="18"/>
      <color theme="0"/>
      <name val="Courier New"/>
      <family val="3"/>
    </font>
    <font>
      <b/>
      <sz val="11"/>
      <color theme="0"/>
      <name val="Courier New"/>
      <family val="3"/>
    </font>
    <font>
      <sz val="11"/>
      <color theme="0"/>
      <name val="Courier New"/>
      <family val="3"/>
    </font>
    <font>
      <b/>
      <sz val="16"/>
      <color theme="0"/>
      <name val="Courier New"/>
      <family val="3"/>
    </font>
    <font>
      <i/>
      <sz val="11"/>
      <color theme="0"/>
      <name val="Courier New"/>
      <family val="3"/>
    </font>
    <font>
      <sz val="11"/>
      <name val="Courier New"/>
      <family val="3"/>
    </font>
    <font>
      <u/>
      <sz val="11"/>
      <color theme="10"/>
      <name val="Calibri"/>
      <family val="2"/>
      <scheme val="minor"/>
    </font>
    <font>
      <b/>
      <sz val="13.5"/>
      <color theme="0"/>
      <name val="Courier New"/>
      <family val="3"/>
    </font>
    <font>
      <b/>
      <sz val="12"/>
      <color theme="0"/>
      <name val="Courier New"/>
      <family val="3"/>
    </font>
    <font>
      <u/>
      <sz val="11"/>
      <color theme="0"/>
      <name val="Courier New"/>
      <family val="3"/>
    </font>
  </fonts>
  <fills count="7">
    <fill>
      <patternFill patternType="none"/>
    </fill>
    <fill>
      <patternFill patternType="gray125"/>
    </fill>
    <fill>
      <patternFill patternType="solid">
        <fgColor rgb="FF222932"/>
        <bgColor rgb="FF222932"/>
      </patternFill>
    </fill>
    <fill>
      <patternFill patternType="solid">
        <fgColor rgb="FF222932"/>
        <bgColor indexed="64"/>
      </patternFill>
    </fill>
    <fill>
      <patternFill patternType="solid">
        <fgColor rgb="FF76AAAC"/>
        <bgColor indexed="64"/>
      </patternFill>
    </fill>
    <fill>
      <patternFill patternType="solid">
        <fgColor rgb="FFECEDEE"/>
        <bgColor indexed="64"/>
      </patternFill>
    </fill>
    <fill>
      <patternFill patternType="solid">
        <fgColor theme="4" tint="-0.499984740745262"/>
        <bgColor indexed="64"/>
      </patternFill>
    </fill>
  </fills>
  <borders count="27">
    <border>
      <left/>
      <right/>
      <top/>
      <bottom/>
      <diagonal/>
    </border>
    <border>
      <left style="medium">
        <color theme="0"/>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style="thin">
        <color theme="0"/>
      </top>
      <bottom/>
      <diagonal/>
    </border>
    <border>
      <left/>
      <right style="thin">
        <color theme="0"/>
      </right>
      <top/>
      <bottom style="thin">
        <color theme="0"/>
      </bottom>
      <diagonal/>
    </border>
    <border>
      <left/>
      <right/>
      <top style="thin">
        <color theme="0"/>
      </top>
      <bottom/>
      <diagonal/>
    </border>
    <border>
      <left style="thin">
        <color theme="0"/>
      </left>
      <right/>
      <top/>
      <bottom/>
      <diagonal/>
    </border>
    <border>
      <left/>
      <right style="thin">
        <color theme="0"/>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indexed="64"/>
      </right>
      <top/>
      <bottom/>
      <diagonal/>
    </border>
    <border>
      <left/>
      <right/>
      <top/>
      <bottom style="thin">
        <color theme="0"/>
      </bottom>
      <diagonal/>
    </border>
    <border>
      <left/>
      <right/>
      <top style="thin">
        <color theme="0"/>
      </top>
      <bottom style="thin">
        <color theme="0"/>
      </bottom>
      <diagonal/>
    </border>
    <border>
      <left/>
      <right style="thin">
        <color indexed="64"/>
      </right>
      <top style="thin">
        <color theme="0"/>
      </top>
      <bottom/>
      <diagonal/>
    </border>
    <border>
      <left/>
      <right style="thin">
        <color indexed="64"/>
      </right>
      <top/>
      <bottom style="thin">
        <color theme="0"/>
      </bottom>
      <diagonal/>
    </border>
    <border>
      <left style="medium">
        <color theme="0"/>
      </left>
      <right/>
      <top style="medium">
        <color theme="0"/>
      </top>
      <bottom/>
      <diagonal/>
    </border>
    <border>
      <left/>
      <right style="medium">
        <color theme="0"/>
      </right>
      <top style="medium">
        <color theme="0"/>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
      <left/>
      <right/>
      <top style="medium">
        <color theme="0"/>
      </top>
      <bottom/>
      <diagonal/>
    </border>
    <border>
      <left/>
      <right/>
      <top/>
      <bottom style="medium">
        <color theme="0"/>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13" fillId="0" borderId="0" applyNumberFormat="0" applyFill="0" applyBorder="0" applyAlignment="0" applyProtection="0"/>
  </cellStyleXfs>
  <cellXfs count="128">
    <xf numFmtId="0" fontId="0" fillId="0" borderId="0" xfId="0"/>
    <xf numFmtId="0" fontId="2" fillId="0" borderId="0" xfId="0" applyFont="1"/>
    <xf numFmtId="0" fontId="2" fillId="3" borderId="0" xfId="0" applyFont="1" applyFill="1"/>
    <xf numFmtId="0" fontId="4" fillId="3" borderId="0" xfId="0" applyFont="1" applyFill="1" applyAlignment="1">
      <alignment horizontal="left"/>
    </xf>
    <xf numFmtId="0" fontId="3" fillId="2" borderId="1" xfId="0" applyFont="1" applyFill="1" applyBorder="1"/>
    <xf numFmtId="0" fontId="3" fillId="2" borderId="0" xfId="0" applyFont="1" applyFill="1"/>
    <xf numFmtId="0" fontId="2" fillId="3" borderId="14" xfId="0" applyFont="1" applyFill="1" applyBorder="1"/>
    <xf numFmtId="0" fontId="2" fillId="3" borderId="17" xfId="0" applyFont="1" applyFill="1" applyBorder="1"/>
    <xf numFmtId="0" fontId="7" fillId="3" borderId="17" xfId="0" applyFont="1" applyFill="1" applyBorder="1" applyAlignment="1">
      <alignment horizontal="left"/>
    </xf>
    <xf numFmtId="0" fontId="8" fillId="3" borderId="13" xfId="0" applyFont="1" applyFill="1" applyBorder="1" applyAlignment="1">
      <alignment horizontal="center" vertical="top"/>
    </xf>
    <xf numFmtId="0" fontId="8" fillId="3" borderId="5" xfId="0" applyFont="1" applyFill="1" applyBorder="1" applyAlignment="1">
      <alignment horizontal="center" vertical="top"/>
    </xf>
    <xf numFmtId="0" fontId="9" fillId="3" borderId="3" xfId="0" applyFont="1" applyFill="1" applyBorder="1"/>
    <xf numFmtId="0" fontId="9" fillId="3" borderId="0" xfId="0" applyFont="1" applyFill="1"/>
    <xf numFmtId="0" fontId="8" fillId="3" borderId="5" xfId="0" applyFont="1" applyFill="1" applyBorder="1"/>
    <xf numFmtId="0" fontId="8" fillId="3" borderId="2" xfId="0" applyFont="1" applyFill="1" applyBorder="1" applyAlignment="1">
      <alignment horizontal="center"/>
    </xf>
    <xf numFmtId="0" fontId="5" fillId="3" borderId="2" xfId="0" applyFont="1" applyFill="1" applyBorder="1" applyAlignment="1">
      <alignment horizontal="left"/>
    </xf>
    <xf numFmtId="0" fontId="9" fillId="3" borderId="13" xfId="0" applyFont="1" applyFill="1" applyBorder="1"/>
    <xf numFmtId="0" fontId="9" fillId="3" borderId="14" xfId="0" applyFont="1" applyFill="1" applyBorder="1"/>
    <xf numFmtId="0" fontId="9" fillId="3" borderId="5" xfId="0" applyFont="1" applyFill="1" applyBorder="1"/>
    <xf numFmtId="0" fontId="9" fillId="4" borderId="5" xfId="2" applyNumberFormat="1" applyFont="1" applyFill="1" applyBorder="1" applyProtection="1">
      <protection locked="0"/>
    </xf>
    <xf numFmtId="0" fontId="9" fillId="3" borderId="7" xfId="0" applyFont="1" applyFill="1" applyBorder="1"/>
    <xf numFmtId="0" fontId="8" fillId="3" borderId="2" xfId="0" applyFont="1" applyFill="1" applyBorder="1" applyAlignment="1">
      <alignment horizontal="left" vertical="top"/>
    </xf>
    <xf numFmtId="0" fontId="8" fillId="3" borderId="14" xfId="0" applyFont="1" applyFill="1" applyBorder="1" applyAlignment="1">
      <alignment horizontal="center" vertical="top"/>
    </xf>
    <xf numFmtId="0" fontId="10" fillId="3" borderId="3" xfId="0" applyFont="1" applyFill="1" applyBorder="1"/>
    <xf numFmtId="10" fontId="8" fillId="6" borderId="5" xfId="2" applyNumberFormat="1" applyFont="1" applyFill="1" applyBorder="1" applyAlignment="1" applyProtection="1">
      <alignment horizontal="left"/>
    </xf>
    <xf numFmtId="0" fontId="8" fillId="3" borderId="11" xfId="0" applyFont="1" applyFill="1" applyBorder="1" applyAlignment="1">
      <alignment horizontal="left" vertical="center" wrapText="1"/>
    </xf>
    <xf numFmtId="0" fontId="8" fillId="3" borderId="12" xfId="0" applyFont="1" applyFill="1" applyBorder="1" applyAlignment="1">
      <alignment horizontal="left" vertical="center" wrapText="1"/>
    </xf>
    <xf numFmtId="0" fontId="9" fillId="3" borderId="6" xfId="0" applyFont="1" applyFill="1" applyBorder="1"/>
    <xf numFmtId="0" fontId="9" fillId="4" borderId="6" xfId="2" applyNumberFormat="1" applyFont="1" applyFill="1" applyBorder="1" applyProtection="1">
      <protection locked="0"/>
    </xf>
    <xf numFmtId="0" fontId="9" fillId="3" borderId="3" xfId="0" applyFont="1" applyFill="1" applyBorder="1" applyAlignment="1">
      <alignment horizontal="left"/>
    </xf>
    <xf numFmtId="44" fontId="9" fillId="4" borderId="3" xfId="1" applyFont="1" applyFill="1" applyBorder="1" applyProtection="1">
      <protection locked="0"/>
    </xf>
    <xf numFmtId="0" fontId="9" fillId="3" borderId="8" xfId="0" applyFont="1" applyFill="1" applyBorder="1"/>
    <xf numFmtId="0" fontId="10" fillId="3" borderId="4" xfId="0" applyFont="1" applyFill="1" applyBorder="1"/>
    <xf numFmtId="10" fontId="8" fillId="6" borderId="6" xfId="0" applyNumberFormat="1" applyFont="1" applyFill="1" applyBorder="1" applyAlignment="1">
      <alignment horizontal="left"/>
    </xf>
    <xf numFmtId="0" fontId="8" fillId="3" borderId="6" xfId="0" applyFont="1" applyFill="1" applyBorder="1" applyAlignment="1">
      <alignment horizontal="left" vertical="center" wrapText="1"/>
    </xf>
    <xf numFmtId="0" fontId="8" fillId="3" borderId="9" xfId="0" applyFont="1" applyFill="1" applyBorder="1" applyAlignment="1">
      <alignment horizontal="left" vertical="center" wrapText="1"/>
    </xf>
    <xf numFmtId="0" fontId="9" fillId="3" borderId="7" xfId="0" applyFont="1" applyFill="1" applyBorder="1" applyAlignment="1">
      <alignment horizontal="left"/>
    </xf>
    <xf numFmtId="44" fontId="9" fillId="4" borderId="7" xfId="1" applyFont="1" applyFill="1" applyBorder="1" applyProtection="1">
      <protection locked="0"/>
    </xf>
    <xf numFmtId="0" fontId="9" fillId="3" borderId="12" xfId="0" applyFont="1" applyFill="1" applyBorder="1"/>
    <xf numFmtId="0" fontId="8" fillId="3" borderId="3" xfId="0" applyFont="1" applyFill="1" applyBorder="1"/>
    <xf numFmtId="0" fontId="8" fillId="3" borderId="10" xfId="0" applyFont="1" applyFill="1" applyBorder="1" applyAlignment="1">
      <alignment horizontal="center" vertical="top"/>
    </xf>
    <xf numFmtId="2" fontId="9" fillId="6" borderId="3" xfId="1" applyNumberFormat="1" applyFont="1" applyFill="1" applyBorder="1" applyAlignment="1" applyProtection="1">
      <alignment horizontal="left"/>
    </xf>
    <xf numFmtId="0" fontId="9" fillId="3" borderId="4" xfId="0" applyFont="1" applyFill="1" applyBorder="1"/>
    <xf numFmtId="44" fontId="9" fillId="4" borderId="16" xfId="1" applyFont="1" applyFill="1" applyBorder="1" applyProtection="1">
      <protection locked="0"/>
    </xf>
    <xf numFmtId="2" fontId="9" fillId="6" borderId="4" xfId="0" applyNumberFormat="1" applyFont="1" applyFill="1" applyBorder="1" applyAlignment="1">
      <alignment horizontal="left"/>
    </xf>
    <xf numFmtId="0" fontId="9" fillId="3" borderId="10" xfId="0" applyFont="1" applyFill="1" applyBorder="1"/>
    <xf numFmtId="0" fontId="9" fillId="3" borderId="0" xfId="0" applyFont="1" applyFill="1" applyAlignment="1">
      <alignment horizontal="left"/>
    </xf>
    <xf numFmtId="10" fontId="9" fillId="3" borderId="0" xfId="2" applyNumberFormat="1" applyFont="1" applyFill="1" applyProtection="1"/>
    <xf numFmtId="0" fontId="9" fillId="3" borderId="4" xfId="0" applyFont="1" applyFill="1" applyBorder="1" applyAlignment="1">
      <alignment horizontal="left"/>
    </xf>
    <xf numFmtId="44" fontId="9" fillId="4" borderId="4" xfId="1" applyFont="1" applyFill="1" applyBorder="1" applyProtection="1">
      <protection locked="0"/>
    </xf>
    <xf numFmtId="0" fontId="9" fillId="3" borderId="9" xfId="0" applyFont="1" applyFill="1" applyBorder="1"/>
    <xf numFmtId="0" fontId="8" fillId="3" borderId="0" xfId="0" applyFont="1" applyFill="1" applyAlignment="1">
      <alignment horizontal="left" vertical="center" wrapText="1"/>
    </xf>
    <xf numFmtId="0" fontId="9" fillId="4" borderId="0" xfId="2" applyNumberFormat="1" applyFont="1" applyFill="1" applyBorder="1" applyProtection="1">
      <protection locked="0"/>
    </xf>
    <xf numFmtId="0" fontId="9" fillId="3" borderId="3" xfId="0" applyFont="1" applyFill="1" applyBorder="1" applyAlignment="1">
      <alignment horizontal="left" vertical="center" wrapText="1"/>
    </xf>
    <xf numFmtId="10" fontId="9" fillId="6" borderId="3" xfId="2" applyNumberFormat="1" applyFont="1" applyFill="1" applyBorder="1" applyAlignment="1" applyProtection="1">
      <alignment horizontal="left" vertical="center" wrapText="1"/>
    </xf>
    <xf numFmtId="0" fontId="9" fillId="3" borderId="8" xfId="0" applyFont="1" applyFill="1" applyBorder="1" applyAlignment="1">
      <alignment horizontal="left" vertical="center" wrapText="1"/>
    </xf>
    <xf numFmtId="44" fontId="9" fillId="3" borderId="0" xfId="0" applyNumberFormat="1" applyFont="1" applyFill="1"/>
    <xf numFmtId="0" fontId="8" fillId="3" borderId="2" xfId="0" applyFont="1" applyFill="1" applyBorder="1" applyAlignment="1">
      <alignment horizontal="center" vertical="top"/>
    </xf>
    <xf numFmtId="0" fontId="9" fillId="3" borderId="7" xfId="0" applyFont="1" applyFill="1" applyBorder="1" applyAlignment="1">
      <alignment horizontal="left" vertical="center" wrapText="1"/>
    </xf>
    <xf numFmtId="10" fontId="9" fillId="6" borderId="7" xfId="2" applyNumberFormat="1" applyFont="1" applyFill="1" applyBorder="1" applyAlignment="1" applyProtection="1">
      <alignment horizontal="left" vertical="center" wrapText="1"/>
    </xf>
    <xf numFmtId="0" fontId="9" fillId="3" borderId="12" xfId="0" applyFont="1" applyFill="1" applyBorder="1" applyAlignment="1">
      <alignment horizontal="left" vertical="center" wrapText="1"/>
    </xf>
    <xf numFmtId="44" fontId="9" fillId="3" borderId="0" xfId="1" applyFont="1" applyFill="1" applyBorder="1" applyProtection="1"/>
    <xf numFmtId="44" fontId="12" fillId="5" borderId="8" xfId="1" applyFont="1" applyFill="1" applyBorder="1" applyProtection="1"/>
    <xf numFmtId="2" fontId="9" fillId="6" borderId="7" xfId="0" applyNumberFormat="1" applyFont="1" applyFill="1" applyBorder="1" applyAlignment="1">
      <alignment horizontal="left" vertical="center" wrapText="1"/>
    </xf>
    <xf numFmtId="44" fontId="9" fillId="4" borderId="0" xfId="1" applyFont="1" applyFill="1" applyBorder="1" applyProtection="1">
      <protection locked="0"/>
    </xf>
    <xf numFmtId="44" fontId="9" fillId="3" borderId="9" xfId="0" applyNumberFormat="1" applyFont="1" applyFill="1" applyBorder="1"/>
    <xf numFmtId="0" fontId="6" fillId="2" borderId="0" xfId="0" applyFont="1" applyFill="1"/>
    <xf numFmtId="164" fontId="9" fillId="6" borderId="7" xfId="2" applyNumberFormat="1" applyFont="1" applyFill="1" applyBorder="1" applyAlignment="1" applyProtection="1">
      <alignment horizontal="left" vertical="center" wrapText="1"/>
    </xf>
    <xf numFmtId="0" fontId="9" fillId="4" borderId="16" xfId="2" applyNumberFormat="1" applyFont="1" applyFill="1" applyBorder="1" applyProtection="1">
      <protection locked="0"/>
    </xf>
    <xf numFmtId="0" fontId="9" fillId="3" borderId="2" xfId="0" applyFont="1" applyFill="1" applyBorder="1"/>
    <xf numFmtId="10" fontId="9" fillId="6" borderId="4" xfId="2" applyNumberFormat="1" applyFont="1" applyFill="1" applyBorder="1" applyAlignment="1" applyProtection="1">
      <alignment horizontal="left"/>
    </xf>
    <xf numFmtId="0" fontId="9" fillId="3" borderId="3" xfId="0" applyFont="1" applyFill="1" applyBorder="1" applyAlignment="1">
      <alignment horizontal="left" vertical="top"/>
    </xf>
    <xf numFmtId="9" fontId="9" fillId="4" borderId="8" xfId="2" applyFont="1" applyFill="1" applyBorder="1" applyAlignment="1" applyProtection="1">
      <alignment horizontal="right" vertical="top"/>
      <protection locked="0"/>
    </xf>
    <xf numFmtId="0" fontId="8" fillId="3" borderId="13" xfId="0" applyFont="1" applyFill="1" applyBorder="1"/>
    <xf numFmtId="9" fontId="9" fillId="4" borderId="12" xfId="2" applyFont="1" applyFill="1" applyBorder="1" applyAlignment="1" applyProtection="1">
      <alignment horizontal="right" vertical="top"/>
      <protection locked="0"/>
    </xf>
    <xf numFmtId="9" fontId="9" fillId="3" borderId="12" xfId="1" applyNumberFormat="1" applyFont="1" applyFill="1" applyBorder="1" applyProtection="1"/>
    <xf numFmtId="44" fontId="9" fillId="3" borderId="12" xfId="1" applyFont="1" applyFill="1" applyBorder="1" applyProtection="1"/>
    <xf numFmtId="44" fontId="12" fillId="5" borderId="9" xfId="1" applyFont="1" applyFill="1" applyBorder="1" applyProtection="1"/>
    <xf numFmtId="0" fontId="8" fillId="3" borderId="17" xfId="0" applyFont="1" applyFill="1" applyBorder="1" applyAlignment="1">
      <alignment horizontal="center" vertical="top"/>
    </xf>
    <xf numFmtId="44" fontId="9" fillId="4" borderId="10" xfId="1" applyFont="1" applyFill="1" applyBorder="1" applyProtection="1">
      <protection locked="0"/>
    </xf>
    <xf numFmtId="44" fontId="9" fillId="3" borderId="2" xfId="0" applyNumberFormat="1" applyFont="1" applyFill="1" applyBorder="1"/>
    <xf numFmtId="44" fontId="9" fillId="4" borderId="18" xfId="1" applyFont="1" applyFill="1" applyBorder="1" applyProtection="1">
      <protection locked="0"/>
    </xf>
    <xf numFmtId="44" fontId="9" fillId="3" borderId="8" xfId="0" applyNumberFormat="1" applyFont="1" applyFill="1" applyBorder="1"/>
    <xf numFmtId="44" fontId="9" fillId="4" borderId="15" xfId="1" applyFont="1" applyFill="1" applyBorder="1" applyProtection="1">
      <protection locked="0"/>
    </xf>
    <xf numFmtId="44" fontId="9" fillId="3" borderId="12" xfId="0" applyNumberFormat="1" applyFont="1" applyFill="1" applyBorder="1"/>
    <xf numFmtId="44" fontId="9" fillId="3" borderId="14" xfId="0" applyNumberFormat="1" applyFont="1" applyFill="1" applyBorder="1"/>
    <xf numFmtId="0" fontId="8" fillId="3" borderId="4" xfId="0" applyFont="1" applyFill="1" applyBorder="1"/>
    <xf numFmtId="44" fontId="12" fillId="5" borderId="14" xfId="0" applyNumberFormat="1" applyFont="1" applyFill="1" applyBorder="1"/>
    <xf numFmtId="44" fontId="9" fillId="6" borderId="17" xfId="0" applyNumberFormat="1" applyFont="1" applyFill="1" applyBorder="1"/>
    <xf numFmtId="44" fontId="9" fillId="4" borderId="5" xfId="1" applyFont="1" applyFill="1" applyBorder="1" applyProtection="1">
      <protection locked="0"/>
    </xf>
    <xf numFmtId="44" fontId="12" fillId="5" borderId="19" xfId="1" applyFont="1" applyFill="1" applyBorder="1" applyProtection="1"/>
    <xf numFmtId="44" fontId="12" fillId="5" borderId="9" xfId="0" applyNumberFormat="1" applyFont="1" applyFill="1" applyBorder="1"/>
    <xf numFmtId="44" fontId="9" fillId="3" borderId="10" xfId="1" applyFont="1" applyFill="1" applyBorder="1" applyProtection="1"/>
    <xf numFmtId="44" fontId="9" fillId="3" borderId="16" xfId="1" applyFont="1" applyFill="1" applyBorder="1" applyProtection="1"/>
    <xf numFmtId="0" fontId="9" fillId="0" borderId="0" xfId="0" applyFont="1"/>
    <xf numFmtId="0" fontId="9" fillId="3" borderId="20" xfId="0" applyFont="1" applyFill="1" applyBorder="1"/>
    <xf numFmtId="0" fontId="9" fillId="3" borderId="21" xfId="0" applyFont="1" applyFill="1" applyBorder="1"/>
    <xf numFmtId="0" fontId="9" fillId="3" borderId="1" xfId="0" applyFont="1" applyFill="1" applyBorder="1"/>
    <xf numFmtId="0" fontId="9" fillId="3" borderId="22" xfId="0" applyFont="1" applyFill="1" applyBorder="1"/>
    <xf numFmtId="0" fontId="7" fillId="3" borderId="1" xfId="0" applyFont="1" applyFill="1" applyBorder="1" applyAlignment="1">
      <alignment vertical="center"/>
    </xf>
    <xf numFmtId="0" fontId="14" fillId="3" borderId="1" xfId="0" applyFont="1" applyFill="1" applyBorder="1" applyAlignment="1">
      <alignment vertical="center"/>
    </xf>
    <xf numFmtId="0" fontId="8" fillId="3" borderId="1" xfId="0" applyFont="1" applyFill="1" applyBorder="1" applyAlignment="1">
      <alignment horizontal="left" vertical="center" indent="1"/>
    </xf>
    <xf numFmtId="0" fontId="15" fillId="3" borderId="1" xfId="0" applyFont="1" applyFill="1" applyBorder="1" applyAlignment="1">
      <alignment vertical="center"/>
    </xf>
    <xf numFmtId="0" fontId="8" fillId="3" borderId="1" xfId="0" applyFont="1" applyFill="1" applyBorder="1" applyAlignment="1">
      <alignment horizontal="center" vertical="center" wrapText="1"/>
    </xf>
    <xf numFmtId="0" fontId="8" fillId="3" borderId="22" xfId="0" applyFont="1" applyFill="1" applyBorder="1" applyAlignment="1">
      <alignment horizontal="center" vertical="center" wrapText="1"/>
    </xf>
    <xf numFmtId="0" fontId="8" fillId="3" borderId="1" xfId="0" applyFont="1" applyFill="1" applyBorder="1" applyAlignment="1">
      <alignment vertical="center" wrapText="1"/>
    </xf>
    <xf numFmtId="0" fontId="9" fillId="3" borderId="22" xfId="0" applyFont="1" applyFill="1" applyBorder="1" applyAlignment="1">
      <alignment vertical="center" wrapText="1"/>
    </xf>
    <xf numFmtId="0" fontId="9" fillId="3" borderId="1" xfId="0" applyFont="1" applyFill="1" applyBorder="1" applyAlignment="1">
      <alignment horizontal="left" vertical="center" indent="1"/>
    </xf>
    <xf numFmtId="0" fontId="8" fillId="3" borderId="1" xfId="0" applyFont="1" applyFill="1" applyBorder="1"/>
    <xf numFmtId="0" fontId="16" fillId="3" borderId="1" xfId="3" applyFont="1" applyFill="1" applyBorder="1"/>
    <xf numFmtId="0" fontId="9" fillId="3" borderId="23" xfId="0" applyFont="1" applyFill="1" applyBorder="1"/>
    <xf numFmtId="0" fontId="9" fillId="3" borderId="24" xfId="0" applyFont="1" applyFill="1" applyBorder="1"/>
    <xf numFmtId="0" fontId="9" fillId="3" borderId="25" xfId="0" applyFont="1" applyFill="1" applyBorder="1"/>
    <xf numFmtId="0" fontId="9" fillId="3" borderId="26" xfId="0" applyFont="1" applyFill="1" applyBorder="1"/>
    <xf numFmtId="0" fontId="9" fillId="3" borderId="17" xfId="0" applyFont="1" applyFill="1" applyBorder="1"/>
    <xf numFmtId="44" fontId="9" fillId="6" borderId="12" xfId="0" applyNumberFormat="1" applyFont="1" applyFill="1" applyBorder="1"/>
    <xf numFmtId="44" fontId="9" fillId="6" borderId="9" xfId="0" applyNumberFormat="1" applyFont="1" applyFill="1" applyBorder="1"/>
    <xf numFmtId="44" fontId="9" fillId="6" borderId="3" xfId="1" applyFont="1" applyFill="1" applyBorder="1" applyProtection="1"/>
    <xf numFmtId="44" fontId="9" fillId="6" borderId="7" xfId="1" applyFont="1" applyFill="1" applyBorder="1" applyProtection="1"/>
    <xf numFmtId="44" fontId="9" fillId="6" borderId="4" xfId="1" applyFont="1" applyFill="1" applyBorder="1" applyProtection="1"/>
    <xf numFmtId="0" fontId="9" fillId="3" borderId="11" xfId="0" applyFont="1" applyFill="1" applyBorder="1"/>
    <xf numFmtId="44" fontId="9" fillId="6" borderId="8" xfId="0" applyNumberFormat="1" applyFont="1" applyFill="1" applyBorder="1"/>
    <xf numFmtId="0" fontId="9" fillId="3" borderId="10" xfId="0" applyFont="1" applyFill="1" applyBorder="1" applyAlignment="1">
      <alignment horizontal="left"/>
    </xf>
    <xf numFmtId="0" fontId="9" fillId="3" borderId="8" xfId="0" applyFont="1" applyFill="1" applyBorder="1" applyAlignment="1">
      <alignment horizontal="left"/>
    </xf>
    <xf numFmtId="0" fontId="11" fillId="3" borderId="16" xfId="0" applyFont="1" applyFill="1" applyBorder="1" applyAlignment="1">
      <alignment horizontal="left"/>
    </xf>
    <xf numFmtId="0" fontId="11" fillId="3" borderId="9" xfId="0" applyFont="1" applyFill="1" applyBorder="1" applyAlignment="1">
      <alignment horizontal="left"/>
    </xf>
    <xf numFmtId="0" fontId="7" fillId="3" borderId="13" xfId="0" applyFont="1" applyFill="1" applyBorder="1" applyAlignment="1">
      <alignment horizontal="left"/>
    </xf>
    <xf numFmtId="0" fontId="7" fillId="3" borderId="17" xfId="0" applyFont="1" applyFill="1" applyBorder="1" applyAlignment="1">
      <alignment horizontal="left"/>
    </xf>
  </cellXfs>
  <cellStyles count="4">
    <cellStyle name="Currency" xfId="1" builtinId="4"/>
    <cellStyle name="Hyperlink" xfId="3" builtinId="8"/>
    <cellStyle name="Normal" xfId="0" builtinId="0"/>
    <cellStyle name="Percent" xfId="2" builtinId="5"/>
  </cellStyles>
  <dxfs count="0"/>
  <tableStyles count="0" defaultTableStyle="TableStyleMedium9" defaultPivotStyle="PivotStyleLight16"/>
  <colors>
    <mruColors>
      <color rgb="FFECEDEE"/>
      <color rgb="FF222932"/>
      <color rgb="FF76AAAC"/>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1410769</xdr:colOff>
      <xdr:row>0</xdr:row>
      <xdr:rowOff>50800</xdr:rowOff>
    </xdr:from>
    <xdr:to>
      <xdr:col>5</xdr:col>
      <xdr:colOff>1435347</xdr:colOff>
      <xdr:row>12</xdr:row>
      <xdr:rowOff>58616</xdr:rowOff>
    </xdr:to>
    <xdr:pic>
      <xdr:nvPicPr>
        <xdr:cNvPr id="3" name="image1.png" title="Image">
          <a:extLst>
            <a:ext uri="{FF2B5EF4-FFF2-40B4-BE49-F238E27FC236}">
              <a16:creationId xmlns:a16="http://schemas.microsoft.com/office/drawing/2014/main" id="{15792EB9-0181-40BD-8CD6-759868E2155F}"/>
            </a:ext>
          </a:extLst>
        </xdr:cNvPr>
        <xdr:cNvPicPr preferRelativeResize="0"/>
      </xdr:nvPicPr>
      <xdr:blipFill>
        <a:blip xmlns:r="http://schemas.openxmlformats.org/officeDocument/2006/relationships" r:embed="rId1" cstate="print"/>
        <a:stretch>
          <a:fillRect/>
        </a:stretch>
      </xdr:blipFill>
      <xdr:spPr>
        <a:xfrm>
          <a:off x="7518399" y="50800"/>
          <a:ext cx="7062178" cy="2645508"/>
        </a:xfrm>
        <a:prstGeom prst="rect">
          <a:avLst/>
        </a:prstGeom>
        <a:noFill/>
      </xdr:spPr>
    </xdr:pic>
    <xdr:clientData/>
  </xdr:twoCellAnchor>
  <xdr:twoCellAnchor editAs="absolute">
    <xdr:from>
      <xdr:col>0</xdr:col>
      <xdr:colOff>38100</xdr:colOff>
      <xdr:row>0</xdr:row>
      <xdr:rowOff>50799</xdr:rowOff>
    </xdr:from>
    <xdr:to>
      <xdr:col>2</xdr:col>
      <xdr:colOff>1629835</xdr:colOff>
      <xdr:row>12</xdr:row>
      <xdr:rowOff>58616</xdr:rowOff>
    </xdr:to>
    <xdr:pic>
      <xdr:nvPicPr>
        <xdr:cNvPr id="4" name="image3.png" title="Image">
          <a:extLst>
            <a:ext uri="{FF2B5EF4-FFF2-40B4-BE49-F238E27FC236}">
              <a16:creationId xmlns:a16="http://schemas.microsoft.com/office/drawing/2014/main" id="{4860D061-2D16-45DC-B34E-07157F4CBBBC}"/>
            </a:ext>
          </a:extLst>
        </xdr:cNvPr>
        <xdr:cNvPicPr preferRelativeResize="0"/>
      </xdr:nvPicPr>
      <xdr:blipFill>
        <a:blip xmlns:r="http://schemas.openxmlformats.org/officeDocument/2006/relationships" r:embed="rId2" cstate="print"/>
        <a:stretch>
          <a:fillRect/>
        </a:stretch>
      </xdr:blipFill>
      <xdr:spPr>
        <a:xfrm>
          <a:off x="38100" y="50799"/>
          <a:ext cx="7714011" cy="2530300"/>
        </a:xfrm>
        <a:prstGeom prst="rect">
          <a:avLst/>
        </a:prstGeom>
        <a:noFill/>
      </xdr:spPr>
    </xdr:pic>
    <xdr:clientData/>
  </xdr:twoCellAnchor>
  <xdr:twoCellAnchor editAs="absolute">
    <xdr:from>
      <xdr:col>5</xdr:col>
      <xdr:colOff>1186231</xdr:colOff>
      <xdr:row>0</xdr:row>
      <xdr:rowOff>43961</xdr:rowOff>
    </xdr:from>
    <xdr:to>
      <xdr:col>8</xdr:col>
      <xdr:colOff>2130544</xdr:colOff>
      <xdr:row>12</xdr:row>
      <xdr:rowOff>51777</xdr:rowOff>
    </xdr:to>
    <xdr:pic>
      <xdr:nvPicPr>
        <xdr:cNvPr id="6" name="image1.png" title="Image">
          <a:extLst>
            <a:ext uri="{FF2B5EF4-FFF2-40B4-BE49-F238E27FC236}">
              <a16:creationId xmlns:a16="http://schemas.microsoft.com/office/drawing/2014/main" id="{532BE520-01DA-495E-ABD2-E73D43099D77}"/>
            </a:ext>
          </a:extLst>
        </xdr:cNvPr>
        <xdr:cNvPicPr preferRelativeResize="0"/>
      </xdr:nvPicPr>
      <xdr:blipFill>
        <a:blip xmlns:r="http://schemas.openxmlformats.org/officeDocument/2006/relationships" r:embed="rId1" cstate="print"/>
        <a:stretch>
          <a:fillRect/>
        </a:stretch>
      </xdr:blipFill>
      <xdr:spPr>
        <a:xfrm>
          <a:off x="14331461" y="43961"/>
          <a:ext cx="7062178" cy="2645508"/>
        </a:xfrm>
        <a:prstGeom prst="rect">
          <a:avLst/>
        </a:prstGeom>
        <a:noFill/>
      </xdr:spPr>
    </xdr:pic>
    <xdr:clientData/>
  </xdr:twoCellAnchor>
  <xdr:twoCellAnchor editAs="absolute">
    <xdr:from>
      <xdr:col>8</xdr:col>
      <xdr:colOff>1882405</xdr:colOff>
      <xdr:row>0</xdr:row>
      <xdr:rowOff>29308</xdr:rowOff>
    </xdr:from>
    <xdr:to>
      <xdr:col>9</xdr:col>
      <xdr:colOff>2296380</xdr:colOff>
      <xdr:row>12</xdr:row>
      <xdr:rowOff>37124</xdr:rowOff>
    </xdr:to>
    <xdr:pic>
      <xdr:nvPicPr>
        <xdr:cNvPr id="7" name="image1.png" title="Image">
          <a:extLst>
            <a:ext uri="{FF2B5EF4-FFF2-40B4-BE49-F238E27FC236}">
              <a16:creationId xmlns:a16="http://schemas.microsoft.com/office/drawing/2014/main" id="{07EC4235-334B-4A2E-BCE4-41B37666FAE7}"/>
            </a:ext>
          </a:extLst>
        </xdr:cNvPr>
        <xdr:cNvPicPr preferRelativeResize="0"/>
      </xdr:nvPicPr>
      <xdr:blipFill>
        <a:blip xmlns:r="http://schemas.openxmlformats.org/officeDocument/2006/relationships" r:embed="rId1" cstate="print"/>
        <a:stretch>
          <a:fillRect/>
        </a:stretch>
      </xdr:blipFill>
      <xdr:spPr>
        <a:xfrm>
          <a:off x="21145500" y="29308"/>
          <a:ext cx="7062178" cy="2645508"/>
        </a:xfrm>
        <a:prstGeom prst="rect">
          <a:avLst/>
        </a:prstGeom>
        <a:noFill/>
      </xdr:spPr>
    </xdr:pic>
    <xdr:clientData/>
  </xdr:twoCellAnchor>
  <xdr:twoCellAnchor editAs="absolute">
    <xdr:from>
      <xdr:col>9</xdr:col>
      <xdr:colOff>2037757</xdr:colOff>
      <xdr:row>0</xdr:row>
      <xdr:rowOff>29307</xdr:rowOff>
    </xdr:from>
    <xdr:to>
      <xdr:col>11</xdr:col>
      <xdr:colOff>649087</xdr:colOff>
      <xdr:row>12</xdr:row>
      <xdr:rowOff>37123</xdr:rowOff>
    </xdr:to>
    <xdr:pic>
      <xdr:nvPicPr>
        <xdr:cNvPr id="8" name="image1.png" title="Image">
          <a:extLst>
            <a:ext uri="{FF2B5EF4-FFF2-40B4-BE49-F238E27FC236}">
              <a16:creationId xmlns:a16="http://schemas.microsoft.com/office/drawing/2014/main" id="{BA7F6C55-BA16-4BC5-98CE-C8977ABD17EC}"/>
            </a:ext>
          </a:extLst>
        </xdr:cNvPr>
        <xdr:cNvPicPr preferRelativeResize="0"/>
      </xdr:nvPicPr>
      <xdr:blipFill>
        <a:blip xmlns:r="http://schemas.openxmlformats.org/officeDocument/2006/relationships" r:embed="rId1" cstate="print"/>
        <a:stretch>
          <a:fillRect/>
        </a:stretch>
      </xdr:blipFill>
      <xdr:spPr>
        <a:xfrm>
          <a:off x="27944884" y="29307"/>
          <a:ext cx="7062178" cy="2645508"/>
        </a:xfrm>
        <a:prstGeom prst="rect">
          <a:avLst/>
        </a:prstGeom>
        <a:noFill/>
      </xdr:spPr>
    </xdr:pic>
    <xdr:clientData/>
  </xdr:twoCellAnchor>
  <xdr:twoCellAnchor editAs="absolute">
    <xdr:from>
      <xdr:col>11</xdr:col>
      <xdr:colOff>400948</xdr:colOff>
      <xdr:row>0</xdr:row>
      <xdr:rowOff>14654</xdr:rowOff>
    </xdr:from>
    <xdr:to>
      <xdr:col>11</xdr:col>
      <xdr:colOff>7463126</xdr:colOff>
      <xdr:row>12</xdr:row>
      <xdr:rowOff>22470</xdr:rowOff>
    </xdr:to>
    <xdr:pic>
      <xdr:nvPicPr>
        <xdr:cNvPr id="9" name="image1.png" title="Image">
          <a:extLst>
            <a:ext uri="{FF2B5EF4-FFF2-40B4-BE49-F238E27FC236}">
              <a16:creationId xmlns:a16="http://schemas.microsoft.com/office/drawing/2014/main" id="{766CCD9F-3C2C-4CD8-993D-03DF988626C9}"/>
            </a:ext>
          </a:extLst>
        </xdr:cNvPr>
        <xdr:cNvPicPr preferRelativeResize="0"/>
      </xdr:nvPicPr>
      <xdr:blipFill>
        <a:blip xmlns:r="http://schemas.openxmlformats.org/officeDocument/2006/relationships" r:embed="rId1" cstate="print"/>
        <a:stretch>
          <a:fillRect/>
        </a:stretch>
      </xdr:blipFill>
      <xdr:spPr>
        <a:xfrm>
          <a:off x="34758923" y="14654"/>
          <a:ext cx="7062178" cy="2645508"/>
        </a:xfrm>
        <a:prstGeom prst="rect">
          <a:avLst/>
        </a:prstGeom>
        <a:noFill/>
      </xdr:spPr>
    </xdr:pic>
    <xdr:clientData/>
  </xdr:twoCellAnchor>
  <xdr:twoCellAnchor editAs="absolute">
    <xdr:from>
      <xdr:col>11</xdr:col>
      <xdr:colOff>7214987</xdr:colOff>
      <xdr:row>0</xdr:row>
      <xdr:rowOff>0</xdr:rowOff>
    </xdr:from>
    <xdr:to>
      <xdr:col>11</xdr:col>
      <xdr:colOff>14269080</xdr:colOff>
      <xdr:row>12</xdr:row>
      <xdr:rowOff>7816</xdr:rowOff>
    </xdr:to>
    <xdr:pic>
      <xdr:nvPicPr>
        <xdr:cNvPr id="10" name="image1.png" title="Image">
          <a:extLst>
            <a:ext uri="{FF2B5EF4-FFF2-40B4-BE49-F238E27FC236}">
              <a16:creationId xmlns:a16="http://schemas.microsoft.com/office/drawing/2014/main" id="{9BF5A887-7169-44F3-8F9C-E5C005B9C354}"/>
            </a:ext>
          </a:extLst>
        </xdr:cNvPr>
        <xdr:cNvPicPr preferRelativeResize="0"/>
      </xdr:nvPicPr>
      <xdr:blipFill>
        <a:blip xmlns:r="http://schemas.openxmlformats.org/officeDocument/2006/relationships" r:embed="rId1" cstate="print"/>
        <a:stretch>
          <a:fillRect/>
        </a:stretch>
      </xdr:blipFill>
      <xdr:spPr>
        <a:xfrm>
          <a:off x="41572962" y="0"/>
          <a:ext cx="7062178" cy="2645508"/>
        </a:xfrm>
        <a:prstGeom prst="rect">
          <a:avLst/>
        </a:prstGeom>
        <a:noFill/>
      </xdr:spPr>
    </xdr:pic>
    <xdr:clientData/>
  </xdr:twoCellAnchor>
  <xdr:twoCellAnchor editAs="absolute">
    <xdr:from>
      <xdr:col>0</xdr:col>
      <xdr:colOff>0</xdr:colOff>
      <xdr:row>63</xdr:row>
      <xdr:rowOff>13576</xdr:rowOff>
    </xdr:from>
    <xdr:to>
      <xdr:col>2</xdr:col>
      <xdr:colOff>954548</xdr:colOff>
      <xdr:row>75</xdr:row>
      <xdr:rowOff>21391</xdr:rowOff>
    </xdr:to>
    <xdr:pic>
      <xdr:nvPicPr>
        <xdr:cNvPr id="11" name="image1.png" title="Image">
          <a:extLst>
            <a:ext uri="{FF2B5EF4-FFF2-40B4-BE49-F238E27FC236}">
              <a16:creationId xmlns:a16="http://schemas.microsoft.com/office/drawing/2014/main" id="{CC08A127-8BB6-47EB-A6E2-F9A10A5085CA}"/>
            </a:ext>
          </a:extLst>
        </xdr:cNvPr>
        <xdr:cNvPicPr preferRelativeResize="0"/>
      </xdr:nvPicPr>
      <xdr:blipFill>
        <a:blip xmlns:r="http://schemas.openxmlformats.org/officeDocument/2006/relationships" r:embed="rId1" cstate="print"/>
        <a:stretch>
          <a:fillRect/>
        </a:stretch>
      </xdr:blipFill>
      <xdr:spPr>
        <a:xfrm>
          <a:off x="0" y="14135100"/>
          <a:ext cx="7060224" cy="2598615"/>
        </a:xfrm>
        <a:prstGeom prst="rect">
          <a:avLst/>
        </a:prstGeom>
        <a:noFill/>
      </xdr:spPr>
    </xdr:pic>
    <xdr:clientData/>
  </xdr:twoCellAnchor>
  <xdr:twoCellAnchor editAs="absolute">
    <xdr:from>
      <xdr:col>2</xdr:col>
      <xdr:colOff>706409</xdr:colOff>
      <xdr:row>63</xdr:row>
      <xdr:rowOff>2830</xdr:rowOff>
    </xdr:from>
    <xdr:to>
      <xdr:col>5</xdr:col>
      <xdr:colOff>738429</xdr:colOff>
      <xdr:row>75</xdr:row>
      <xdr:rowOff>10645</xdr:rowOff>
    </xdr:to>
    <xdr:pic>
      <xdr:nvPicPr>
        <xdr:cNvPr id="12" name="image1.png" title="Image">
          <a:extLst>
            <a:ext uri="{FF2B5EF4-FFF2-40B4-BE49-F238E27FC236}">
              <a16:creationId xmlns:a16="http://schemas.microsoft.com/office/drawing/2014/main" id="{65F1DF4E-8826-4862-937A-7C79969A16BD}"/>
            </a:ext>
          </a:extLst>
        </xdr:cNvPr>
        <xdr:cNvPicPr preferRelativeResize="0"/>
      </xdr:nvPicPr>
      <xdr:blipFill>
        <a:blip xmlns:r="http://schemas.openxmlformats.org/officeDocument/2006/relationships" r:embed="rId1" cstate="print"/>
        <a:stretch>
          <a:fillRect/>
        </a:stretch>
      </xdr:blipFill>
      <xdr:spPr>
        <a:xfrm>
          <a:off x="6812085" y="14124354"/>
          <a:ext cx="7058270" cy="2598615"/>
        </a:xfrm>
        <a:prstGeom prst="rect">
          <a:avLst/>
        </a:prstGeom>
        <a:noFill/>
      </xdr:spPr>
    </xdr:pic>
    <xdr:clientData/>
  </xdr:twoCellAnchor>
  <xdr:twoCellAnchor editAs="absolute">
    <xdr:from>
      <xdr:col>5</xdr:col>
      <xdr:colOff>478027</xdr:colOff>
      <xdr:row>63</xdr:row>
      <xdr:rowOff>3269</xdr:rowOff>
    </xdr:from>
    <xdr:to>
      <xdr:col>8</xdr:col>
      <xdr:colOff>1414898</xdr:colOff>
      <xdr:row>75</xdr:row>
      <xdr:rowOff>11084</xdr:rowOff>
    </xdr:to>
    <xdr:pic>
      <xdr:nvPicPr>
        <xdr:cNvPr id="13" name="image1.png" title="Image">
          <a:extLst>
            <a:ext uri="{FF2B5EF4-FFF2-40B4-BE49-F238E27FC236}">
              <a16:creationId xmlns:a16="http://schemas.microsoft.com/office/drawing/2014/main" id="{B385AA73-F370-4F8B-809B-33563E19763B}"/>
            </a:ext>
          </a:extLst>
        </xdr:cNvPr>
        <xdr:cNvPicPr preferRelativeResize="0"/>
      </xdr:nvPicPr>
      <xdr:blipFill>
        <a:blip xmlns:r="http://schemas.openxmlformats.org/officeDocument/2006/relationships" r:embed="rId1" cstate="print"/>
        <a:stretch>
          <a:fillRect/>
        </a:stretch>
      </xdr:blipFill>
      <xdr:spPr>
        <a:xfrm>
          <a:off x="13629096" y="13778390"/>
          <a:ext cx="7072285" cy="2530297"/>
        </a:xfrm>
        <a:prstGeom prst="rect">
          <a:avLst/>
        </a:prstGeom>
        <a:noFill/>
      </xdr:spPr>
    </xdr:pic>
    <xdr:clientData/>
  </xdr:twoCellAnchor>
  <xdr:twoCellAnchor editAs="absolute">
    <xdr:from>
      <xdr:col>8</xdr:col>
      <xdr:colOff>1167634</xdr:colOff>
      <xdr:row>62</xdr:row>
      <xdr:rowOff>203622</xdr:rowOff>
    </xdr:from>
    <xdr:to>
      <xdr:col>9</xdr:col>
      <xdr:colOff>1585780</xdr:colOff>
      <xdr:row>75</xdr:row>
      <xdr:rowOff>1230</xdr:rowOff>
    </xdr:to>
    <xdr:pic>
      <xdr:nvPicPr>
        <xdr:cNvPr id="14" name="image1.png" title="Image">
          <a:extLst>
            <a:ext uri="{FF2B5EF4-FFF2-40B4-BE49-F238E27FC236}">
              <a16:creationId xmlns:a16="http://schemas.microsoft.com/office/drawing/2014/main" id="{4E6D37A2-2C7B-49C0-A16B-E1F7AB2F11FA}"/>
            </a:ext>
          </a:extLst>
        </xdr:cNvPr>
        <xdr:cNvPicPr preferRelativeResize="0"/>
      </xdr:nvPicPr>
      <xdr:blipFill>
        <a:blip xmlns:r="http://schemas.openxmlformats.org/officeDocument/2006/relationships" r:embed="rId1" cstate="print"/>
        <a:stretch>
          <a:fillRect/>
        </a:stretch>
      </xdr:blipFill>
      <xdr:spPr>
        <a:xfrm>
          <a:off x="20454117" y="13765251"/>
          <a:ext cx="7065939" cy="2530297"/>
        </a:xfrm>
        <a:prstGeom prst="rect">
          <a:avLst/>
        </a:prstGeom>
        <a:noFill/>
      </xdr:spPr>
    </xdr:pic>
    <xdr:clientData/>
  </xdr:twoCellAnchor>
  <xdr:twoCellAnchor editAs="absolute">
    <xdr:from>
      <xdr:col>9</xdr:col>
      <xdr:colOff>1285527</xdr:colOff>
      <xdr:row>62</xdr:row>
      <xdr:rowOff>190922</xdr:rowOff>
    </xdr:from>
    <xdr:to>
      <xdr:col>10</xdr:col>
      <xdr:colOff>5349099</xdr:colOff>
      <xdr:row>74</xdr:row>
      <xdr:rowOff>198736</xdr:rowOff>
    </xdr:to>
    <xdr:pic>
      <xdr:nvPicPr>
        <xdr:cNvPr id="15" name="image1.png" title="Image">
          <a:extLst>
            <a:ext uri="{FF2B5EF4-FFF2-40B4-BE49-F238E27FC236}">
              <a16:creationId xmlns:a16="http://schemas.microsoft.com/office/drawing/2014/main" id="{9AE82EA3-BB5A-4EB4-9945-2745C5D28485}"/>
            </a:ext>
          </a:extLst>
        </xdr:cNvPr>
        <xdr:cNvPicPr preferRelativeResize="0"/>
      </xdr:nvPicPr>
      <xdr:blipFill>
        <a:blip xmlns:r="http://schemas.openxmlformats.org/officeDocument/2006/relationships" r:embed="rId1" cstate="print"/>
        <a:stretch>
          <a:fillRect/>
        </a:stretch>
      </xdr:blipFill>
      <xdr:spPr>
        <a:xfrm>
          <a:off x="27199492" y="14098954"/>
          <a:ext cx="7071948" cy="2598615"/>
        </a:xfrm>
        <a:prstGeom prst="rect">
          <a:avLst/>
        </a:prstGeom>
        <a:noFill/>
      </xdr:spPr>
    </xdr:pic>
    <xdr:clientData/>
  </xdr:twoCellAnchor>
  <xdr:twoCellAnchor editAs="absolute">
    <xdr:from>
      <xdr:col>10</xdr:col>
      <xdr:colOff>5113659</xdr:colOff>
      <xdr:row>62</xdr:row>
      <xdr:rowOff>178222</xdr:rowOff>
    </xdr:from>
    <xdr:to>
      <xdr:col>11</xdr:col>
      <xdr:colOff>6723595</xdr:colOff>
      <xdr:row>74</xdr:row>
      <xdr:rowOff>186036</xdr:rowOff>
    </xdr:to>
    <xdr:pic>
      <xdr:nvPicPr>
        <xdr:cNvPr id="16" name="image1.png" title="Image">
          <a:extLst>
            <a:ext uri="{FF2B5EF4-FFF2-40B4-BE49-F238E27FC236}">
              <a16:creationId xmlns:a16="http://schemas.microsoft.com/office/drawing/2014/main" id="{6BE36058-CF94-4FE8-B7B1-3E9C31F81F93}"/>
            </a:ext>
          </a:extLst>
        </xdr:cNvPr>
        <xdr:cNvPicPr preferRelativeResize="0"/>
      </xdr:nvPicPr>
      <xdr:blipFill>
        <a:blip xmlns:r="http://schemas.openxmlformats.org/officeDocument/2006/relationships" r:embed="rId1" cstate="print"/>
        <a:stretch>
          <a:fillRect/>
        </a:stretch>
      </xdr:blipFill>
      <xdr:spPr>
        <a:xfrm>
          <a:off x="34036000" y="14086254"/>
          <a:ext cx="7062178" cy="2598615"/>
        </a:xfrm>
        <a:prstGeom prst="rect">
          <a:avLst/>
        </a:prstGeom>
        <a:noFill/>
      </xdr:spPr>
    </xdr:pic>
    <xdr:clientData/>
  </xdr:twoCellAnchor>
  <xdr:twoCellAnchor editAs="absolute">
    <xdr:from>
      <xdr:col>11</xdr:col>
      <xdr:colOff>6477410</xdr:colOff>
      <xdr:row>62</xdr:row>
      <xdr:rowOff>176268</xdr:rowOff>
    </xdr:from>
    <xdr:to>
      <xdr:col>11</xdr:col>
      <xdr:colOff>13531085</xdr:colOff>
      <xdr:row>74</xdr:row>
      <xdr:rowOff>184082</xdr:rowOff>
    </xdr:to>
    <xdr:pic>
      <xdr:nvPicPr>
        <xdr:cNvPr id="17" name="image1.png" title="Image">
          <a:extLst>
            <a:ext uri="{FF2B5EF4-FFF2-40B4-BE49-F238E27FC236}">
              <a16:creationId xmlns:a16="http://schemas.microsoft.com/office/drawing/2014/main" id="{302E6C4C-913E-4B7D-80F9-79A1B9B2C13B}"/>
            </a:ext>
          </a:extLst>
        </xdr:cNvPr>
        <xdr:cNvPicPr preferRelativeResize="0"/>
      </xdr:nvPicPr>
      <xdr:blipFill>
        <a:blip xmlns:r="http://schemas.openxmlformats.org/officeDocument/2006/relationships" r:embed="rId1" cstate="print"/>
        <a:stretch>
          <a:fillRect/>
        </a:stretch>
      </xdr:blipFill>
      <xdr:spPr>
        <a:xfrm>
          <a:off x="40851993" y="14084300"/>
          <a:ext cx="7060224" cy="2598615"/>
        </a:xfrm>
        <a:prstGeom prst="rect">
          <a:avLst/>
        </a:prstGeom>
        <a:noFill/>
      </xdr:spPr>
    </xdr:pic>
    <xdr:clientData/>
  </xdr:twoCellAnchor>
  <xdr:twoCellAnchor editAs="absolute">
    <xdr:from>
      <xdr:col>11</xdr:col>
      <xdr:colOff>12925980</xdr:colOff>
      <xdr:row>62</xdr:row>
      <xdr:rowOff>157807</xdr:rowOff>
    </xdr:from>
    <xdr:to>
      <xdr:col>13</xdr:col>
      <xdr:colOff>1113028</xdr:colOff>
      <xdr:row>74</xdr:row>
      <xdr:rowOff>158002</xdr:rowOff>
    </xdr:to>
    <xdr:pic>
      <xdr:nvPicPr>
        <xdr:cNvPr id="18" name="image1.png" title="Image">
          <a:extLst>
            <a:ext uri="{FF2B5EF4-FFF2-40B4-BE49-F238E27FC236}">
              <a16:creationId xmlns:a16="http://schemas.microsoft.com/office/drawing/2014/main" id="{88FDD798-A5F0-4DF3-91D5-9ED8F7A28895}"/>
            </a:ext>
          </a:extLst>
        </xdr:cNvPr>
        <xdr:cNvPicPr preferRelativeResize="0"/>
      </xdr:nvPicPr>
      <xdr:blipFill>
        <a:blip xmlns:r="http://schemas.openxmlformats.org/officeDocument/2006/relationships" r:embed="rId1" cstate="print"/>
        <a:stretch>
          <a:fillRect/>
        </a:stretch>
      </xdr:blipFill>
      <xdr:spPr>
        <a:xfrm>
          <a:off x="47307946" y="13716152"/>
          <a:ext cx="7053116" cy="2522678"/>
        </a:xfrm>
        <a:prstGeom prst="rect">
          <a:avLst/>
        </a:prstGeom>
        <a:noFill/>
      </xdr:spPr>
    </xdr:pic>
    <xdr:clientData/>
  </xdr:twoCellAnchor>
  <xdr:twoCellAnchor editAs="absolute">
    <xdr:from>
      <xdr:col>11</xdr:col>
      <xdr:colOff>14017338</xdr:colOff>
      <xdr:row>0</xdr:row>
      <xdr:rowOff>0</xdr:rowOff>
    </xdr:from>
    <xdr:to>
      <xdr:col>13</xdr:col>
      <xdr:colOff>2205154</xdr:colOff>
      <xdr:row>12</xdr:row>
      <xdr:rowOff>7816</xdr:rowOff>
    </xdr:to>
    <xdr:pic>
      <xdr:nvPicPr>
        <xdr:cNvPr id="19" name="image1.png" title="Image">
          <a:extLst>
            <a:ext uri="{FF2B5EF4-FFF2-40B4-BE49-F238E27FC236}">
              <a16:creationId xmlns:a16="http://schemas.microsoft.com/office/drawing/2014/main" id="{08112E5B-A9CF-4B6D-8C21-3FFF3CA4E678}"/>
            </a:ext>
          </a:extLst>
        </xdr:cNvPr>
        <xdr:cNvPicPr preferRelativeResize="0"/>
      </xdr:nvPicPr>
      <xdr:blipFill>
        <a:blip xmlns:r="http://schemas.openxmlformats.org/officeDocument/2006/relationships" r:embed="rId1" cstate="print"/>
        <a:stretch>
          <a:fillRect/>
        </a:stretch>
      </xdr:blipFill>
      <xdr:spPr>
        <a:xfrm>
          <a:off x="48399304" y="0"/>
          <a:ext cx="7053884" cy="2530299"/>
        </a:xfrm>
        <a:prstGeom prst="rect">
          <a:avLst/>
        </a:prstGeom>
        <a:noFill/>
      </xdr:spPr>
    </xdr:pic>
    <xdr:clientData/>
  </xdr:twoCellAnchor>
  <xdr:twoCellAnchor editAs="absolute">
    <xdr:from>
      <xdr:col>0</xdr:col>
      <xdr:colOff>210207</xdr:colOff>
      <xdr:row>64</xdr:row>
      <xdr:rowOff>14450</xdr:rowOff>
    </xdr:from>
    <xdr:to>
      <xdr:col>0</xdr:col>
      <xdr:colOff>904457</xdr:colOff>
      <xdr:row>67</xdr:row>
      <xdr:rowOff>91965</xdr:rowOff>
    </xdr:to>
    <xdr:pic>
      <xdr:nvPicPr>
        <xdr:cNvPr id="2" name="Picture 1">
          <a:extLst>
            <a:ext uri="{FF2B5EF4-FFF2-40B4-BE49-F238E27FC236}">
              <a16:creationId xmlns:a16="http://schemas.microsoft.com/office/drawing/2014/main" id="{5C8CD05A-5C1D-E371-AE96-87F32BBE76DB}"/>
            </a:ext>
          </a:extLst>
        </xdr:cNvPr>
        <xdr:cNvPicPr>
          <a:picLocks noChangeAspect="1"/>
        </xdr:cNvPicPr>
      </xdr:nvPicPr>
      <xdr:blipFill>
        <a:blip xmlns:r="http://schemas.openxmlformats.org/officeDocument/2006/relationships" r:embed="rId3"/>
        <a:stretch>
          <a:fillRect/>
        </a:stretch>
      </xdr:blipFill>
      <xdr:spPr>
        <a:xfrm>
          <a:off x="210207" y="13993209"/>
          <a:ext cx="694250" cy="708135"/>
        </a:xfrm>
        <a:prstGeom prst="rect">
          <a:avLst/>
        </a:prstGeom>
      </xdr:spPr>
    </xdr:pic>
    <xdr:clientData/>
  </xdr:twoCellAnchor>
  <xdr:twoCellAnchor editAs="absolute">
    <xdr:from>
      <xdr:col>11</xdr:col>
      <xdr:colOff>15818068</xdr:colOff>
      <xdr:row>0</xdr:row>
      <xdr:rowOff>0</xdr:rowOff>
    </xdr:from>
    <xdr:to>
      <xdr:col>13</xdr:col>
      <xdr:colOff>4005884</xdr:colOff>
      <xdr:row>12</xdr:row>
      <xdr:rowOff>7816</xdr:rowOff>
    </xdr:to>
    <xdr:pic>
      <xdr:nvPicPr>
        <xdr:cNvPr id="5" name="image1.png" title="Image">
          <a:extLst>
            <a:ext uri="{FF2B5EF4-FFF2-40B4-BE49-F238E27FC236}">
              <a16:creationId xmlns:a16="http://schemas.microsoft.com/office/drawing/2014/main" id="{F5D6217F-89C8-4E0E-96BB-386BB9C35ADC}"/>
            </a:ext>
          </a:extLst>
        </xdr:cNvPr>
        <xdr:cNvPicPr preferRelativeResize="0"/>
      </xdr:nvPicPr>
      <xdr:blipFill>
        <a:blip xmlns:r="http://schemas.openxmlformats.org/officeDocument/2006/relationships" r:embed="rId1" cstate="print"/>
        <a:stretch>
          <a:fillRect/>
        </a:stretch>
      </xdr:blipFill>
      <xdr:spPr>
        <a:xfrm>
          <a:off x="50200034" y="0"/>
          <a:ext cx="7053884" cy="2530299"/>
        </a:xfrm>
        <a:prstGeom prst="rect">
          <a:avLst/>
        </a:prstGeom>
        <a:noFill/>
      </xdr:spPr>
    </xdr:pic>
    <xdr:clientData/>
  </xdr:twoCellAnchor>
  <xdr:twoCellAnchor editAs="absolute">
    <xdr:from>
      <xdr:col>11</xdr:col>
      <xdr:colOff>15804930</xdr:colOff>
      <xdr:row>62</xdr:row>
      <xdr:rowOff>144517</xdr:rowOff>
    </xdr:from>
    <xdr:to>
      <xdr:col>13</xdr:col>
      <xdr:colOff>3992746</xdr:colOff>
      <xdr:row>74</xdr:row>
      <xdr:rowOff>152333</xdr:rowOff>
    </xdr:to>
    <xdr:pic>
      <xdr:nvPicPr>
        <xdr:cNvPr id="20" name="image1.png" title="Image">
          <a:extLst>
            <a:ext uri="{FF2B5EF4-FFF2-40B4-BE49-F238E27FC236}">
              <a16:creationId xmlns:a16="http://schemas.microsoft.com/office/drawing/2014/main" id="{72A82603-654F-4462-B5C5-EC7CBAD39CB7}"/>
            </a:ext>
          </a:extLst>
        </xdr:cNvPr>
        <xdr:cNvPicPr preferRelativeResize="0"/>
      </xdr:nvPicPr>
      <xdr:blipFill>
        <a:blip xmlns:r="http://schemas.openxmlformats.org/officeDocument/2006/relationships" r:embed="rId1" cstate="print"/>
        <a:stretch>
          <a:fillRect/>
        </a:stretch>
      </xdr:blipFill>
      <xdr:spPr>
        <a:xfrm>
          <a:off x="50186896" y="13702862"/>
          <a:ext cx="7053884" cy="2530299"/>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832700</xdr:colOff>
      <xdr:row>0</xdr:row>
      <xdr:rowOff>50800</xdr:rowOff>
    </xdr:from>
    <xdr:to>
      <xdr:col>5</xdr:col>
      <xdr:colOff>962382</xdr:colOff>
      <xdr:row>12</xdr:row>
      <xdr:rowOff>58616</xdr:rowOff>
    </xdr:to>
    <xdr:pic>
      <xdr:nvPicPr>
        <xdr:cNvPr id="2" name="image1.png" title="Image">
          <a:extLst>
            <a:ext uri="{FF2B5EF4-FFF2-40B4-BE49-F238E27FC236}">
              <a16:creationId xmlns:a16="http://schemas.microsoft.com/office/drawing/2014/main" id="{7B79C12E-B973-4E72-82E8-71A9A62C263E}"/>
            </a:ext>
          </a:extLst>
        </xdr:cNvPr>
        <xdr:cNvPicPr preferRelativeResize="0"/>
      </xdr:nvPicPr>
      <xdr:blipFill>
        <a:blip xmlns:r="http://schemas.openxmlformats.org/officeDocument/2006/relationships" r:embed="rId1" cstate="print"/>
        <a:stretch>
          <a:fillRect/>
        </a:stretch>
      </xdr:blipFill>
      <xdr:spPr>
        <a:xfrm>
          <a:off x="7537249" y="50800"/>
          <a:ext cx="7055210" cy="2568136"/>
        </a:xfrm>
        <a:prstGeom prst="rect">
          <a:avLst/>
        </a:prstGeom>
        <a:noFill/>
      </xdr:spPr>
    </xdr:pic>
    <xdr:clientData/>
  </xdr:twoCellAnchor>
  <xdr:twoCellAnchor editAs="absolute">
    <xdr:from>
      <xdr:col>0</xdr:col>
      <xdr:colOff>38100</xdr:colOff>
      <xdr:row>0</xdr:row>
      <xdr:rowOff>50799</xdr:rowOff>
    </xdr:from>
    <xdr:to>
      <xdr:col>2</xdr:col>
      <xdr:colOff>1051766</xdr:colOff>
      <xdr:row>12</xdr:row>
      <xdr:rowOff>58616</xdr:rowOff>
    </xdr:to>
    <xdr:pic>
      <xdr:nvPicPr>
        <xdr:cNvPr id="3" name="image3.png" title="Image">
          <a:extLst>
            <a:ext uri="{FF2B5EF4-FFF2-40B4-BE49-F238E27FC236}">
              <a16:creationId xmlns:a16="http://schemas.microsoft.com/office/drawing/2014/main" id="{4C09BDD0-E242-40F0-A334-8F1E45048DEC}"/>
            </a:ext>
          </a:extLst>
        </xdr:cNvPr>
        <xdr:cNvPicPr preferRelativeResize="0"/>
      </xdr:nvPicPr>
      <xdr:blipFill>
        <a:blip xmlns:r="http://schemas.openxmlformats.org/officeDocument/2006/relationships" r:embed="rId2" cstate="print"/>
        <a:stretch>
          <a:fillRect/>
        </a:stretch>
      </xdr:blipFill>
      <xdr:spPr>
        <a:xfrm>
          <a:off x="38100" y="50799"/>
          <a:ext cx="7718215" cy="2568137"/>
        </a:xfrm>
        <a:prstGeom prst="rect">
          <a:avLst/>
        </a:prstGeom>
        <a:noFill/>
      </xdr:spPr>
    </xdr:pic>
    <xdr:clientData/>
  </xdr:twoCellAnchor>
  <xdr:twoCellAnchor editAs="absolute">
    <xdr:from>
      <xdr:col>5</xdr:col>
      <xdr:colOff>713266</xdr:colOff>
      <xdr:row>0</xdr:row>
      <xdr:rowOff>43961</xdr:rowOff>
    </xdr:from>
    <xdr:to>
      <xdr:col>8</xdr:col>
      <xdr:colOff>1657579</xdr:colOff>
      <xdr:row>12</xdr:row>
      <xdr:rowOff>51777</xdr:rowOff>
    </xdr:to>
    <xdr:pic>
      <xdr:nvPicPr>
        <xdr:cNvPr id="4" name="image1.png" title="Image">
          <a:extLst>
            <a:ext uri="{FF2B5EF4-FFF2-40B4-BE49-F238E27FC236}">
              <a16:creationId xmlns:a16="http://schemas.microsoft.com/office/drawing/2014/main" id="{6F4F222C-12BD-4353-97FF-4B95D000718D}"/>
            </a:ext>
          </a:extLst>
        </xdr:cNvPr>
        <xdr:cNvPicPr preferRelativeResize="0"/>
      </xdr:nvPicPr>
      <xdr:blipFill>
        <a:blip xmlns:r="http://schemas.openxmlformats.org/officeDocument/2006/relationships" r:embed="rId1" cstate="print"/>
        <a:stretch>
          <a:fillRect/>
        </a:stretch>
      </xdr:blipFill>
      <xdr:spPr>
        <a:xfrm>
          <a:off x="14343343" y="43961"/>
          <a:ext cx="7078414" cy="2568136"/>
        </a:xfrm>
        <a:prstGeom prst="rect">
          <a:avLst/>
        </a:prstGeom>
        <a:noFill/>
      </xdr:spPr>
    </xdr:pic>
    <xdr:clientData/>
  </xdr:twoCellAnchor>
  <xdr:twoCellAnchor editAs="absolute">
    <xdr:from>
      <xdr:col>8</xdr:col>
      <xdr:colOff>1409440</xdr:colOff>
      <xdr:row>0</xdr:row>
      <xdr:rowOff>29308</xdr:rowOff>
    </xdr:from>
    <xdr:to>
      <xdr:col>9</xdr:col>
      <xdr:colOff>2125587</xdr:colOff>
      <xdr:row>12</xdr:row>
      <xdr:rowOff>37124</xdr:rowOff>
    </xdr:to>
    <xdr:pic>
      <xdr:nvPicPr>
        <xdr:cNvPr id="5" name="image1.png" title="Image">
          <a:extLst>
            <a:ext uri="{FF2B5EF4-FFF2-40B4-BE49-F238E27FC236}">
              <a16:creationId xmlns:a16="http://schemas.microsoft.com/office/drawing/2014/main" id="{327C5918-7543-4EE0-9E6C-A268B6A4CF9F}"/>
            </a:ext>
          </a:extLst>
        </xdr:cNvPr>
        <xdr:cNvPicPr preferRelativeResize="0"/>
      </xdr:nvPicPr>
      <xdr:blipFill>
        <a:blip xmlns:r="http://schemas.openxmlformats.org/officeDocument/2006/relationships" r:embed="rId1" cstate="print"/>
        <a:stretch>
          <a:fillRect/>
        </a:stretch>
      </xdr:blipFill>
      <xdr:spPr>
        <a:xfrm>
          <a:off x="21173618" y="29308"/>
          <a:ext cx="7063607" cy="2568136"/>
        </a:xfrm>
        <a:prstGeom prst="rect">
          <a:avLst/>
        </a:prstGeom>
        <a:noFill/>
      </xdr:spPr>
    </xdr:pic>
    <xdr:clientData/>
  </xdr:twoCellAnchor>
  <xdr:twoCellAnchor editAs="absolute">
    <xdr:from>
      <xdr:col>9</xdr:col>
      <xdr:colOff>1866964</xdr:colOff>
      <xdr:row>0</xdr:row>
      <xdr:rowOff>29307</xdr:rowOff>
    </xdr:from>
    <xdr:to>
      <xdr:col>11</xdr:col>
      <xdr:colOff>478294</xdr:colOff>
      <xdr:row>12</xdr:row>
      <xdr:rowOff>37123</xdr:rowOff>
    </xdr:to>
    <xdr:pic>
      <xdr:nvPicPr>
        <xdr:cNvPr id="6" name="image1.png" title="Image">
          <a:extLst>
            <a:ext uri="{FF2B5EF4-FFF2-40B4-BE49-F238E27FC236}">
              <a16:creationId xmlns:a16="http://schemas.microsoft.com/office/drawing/2014/main" id="{74E91CF3-DAF0-4D11-BAEC-F5F49037FBB2}"/>
            </a:ext>
          </a:extLst>
        </xdr:cNvPr>
        <xdr:cNvPicPr preferRelativeResize="0"/>
      </xdr:nvPicPr>
      <xdr:blipFill>
        <a:blip xmlns:r="http://schemas.openxmlformats.org/officeDocument/2006/relationships" r:embed="rId1" cstate="print"/>
        <a:stretch>
          <a:fillRect/>
        </a:stretch>
      </xdr:blipFill>
      <xdr:spPr>
        <a:xfrm>
          <a:off x="27978602" y="29307"/>
          <a:ext cx="7061910" cy="2568136"/>
        </a:xfrm>
        <a:prstGeom prst="rect">
          <a:avLst/>
        </a:prstGeom>
        <a:noFill/>
      </xdr:spPr>
    </xdr:pic>
    <xdr:clientData/>
  </xdr:twoCellAnchor>
  <xdr:twoCellAnchor editAs="absolute">
    <xdr:from>
      <xdr:col>11</xdr:col>
      <xdr:colOff>230155</xdr:colOff>
      <xdr:row>0</xdr:row>
      <xdr:rowOff>14654</xdr:rowOff>
    </xdr:from>
    <xdr:to>
      <xdr:col>11</xdr:col>
      <xdr:colOff>7292333</xdr:colOff>
      <xdr:row>12</xdr:row>
      <xdr:rowOff>22470</xdr:rowOff>
    </xdr:to>
    <xdr:pic>
      <xdr:nvPicPr>
        <xdr:cNvPr id="7" name="image1.png" title="Image">
          <a:extLst>
            <a:ext uri="{FF2B5EF4-FFF2-40B4-BE49-F238E27FC236}">
              <a16:creationId xmlns:a16="http://schemas.microsoft.com/office/drawing/2014/main" id="{455CC724-4467-4B0E-B9B1-9A761E43F192}"/>
            </a:ext>
          </a:extLst>
        </xdr:cNvPr>
        <xdr:cNvPicPr preferRelativeResize="0"/>
      </xdr:nvPicPr>
      <xdr:blipFill>
        <a:blip xmlns:r="http://schemas.openxmlformats.org/officeDocument/2006/relationships" r:embed="rId1" cstate="print"/>
        <a:stretch>
          <a:fillRect/>
        </a:stretch>
      </xdr:blipFill>
      <xdr:spPr>
        <a:xfrm>
          <a:off x="34792373" y="14654"/>
          <a:ext cx="7062178" cy="2568136"/>
        </a:xfrm>
        <a:prstGeom prst="rect">
          <a:avLst/>
        </a:prstGeom>
        <a:noFill/>
      </xdr:spPr>
    </xdr:pic>
    <xdr:clientData/>
  </xdr:twoCellAnchor>
  <xdr:twoCellAnchor editAs="absolute">
    <xdr:from>
      <xdr:col>11</xdr:col>
      <xdr:colOff>7044194</xdr:colOff>
      <xdr:row>0</xdr:row>
      <xdr:rowOff>0</xdr:rowOff>
    </xdr:from>
    <xdr:to>
      <xdr:col>12</xdr:col>
      <xdr:colOff>1866874</xdr:colOff>
      <xdr:row>12</xdr:row>
      <xdr:rowOff>7816</xdr:rowOff>
    </xdr:to>
    <xdr:pic>
      <xdr:nvPicPr>
        <xdr:cNvPr id="8" name="image1.png" title="Image">
          <a:extLst>
            <a:ext uri="{FF2B5EF4-FFF2-40B4-BE49-F238E27FC236}">
              <a16:creationId xmlns:a16="http://schemas.microsoft.com/office/drawing/2014/main" id="{7CCC95B9-1149-40B4-9174-C8668EC96DDB}"/>
            </a:ext>
          </a:extLst>
        </xdr:cNvPr>
        <xdr:cNvPicPr preferRelativeResize="0"/>
      </xdr:nvPicPr>
      <xdr:blipFill>
        <a:blip xmlns:r="http://schemas.openxmlformats.org/officeDocument/2006/relationships" r:embed="rId1" cstate="print"/>
        <a:stretch>
          <a:fillRect/>
        </a:stretch>
      </xdr:blipFill>
      <xdr:spPr>
        <a:xfrm>
          <a:off x="41606412" y="0"/>
          <a:ext cx="7055144" cy="2568136"/>
        </a:xfrm>
        <a:prstGeom prst="rect">
          <a:avLst/>
        </a:prstGeom>
        <a:noFill/>
      </xdr:spPr>
    </xdr:pic>
    <xdr:clientData/>
  </xdr:twoCellAnchor>
  <xdr:twoCellAnchor editAs="absolute">
    <xdr:from>
      <xdr:col>0</xdr:col>
      <xdr:colOff>0</xdr:colOff>
      <xdr:row>63</xdr:row>
      <xdr:rowOff>13576</xdr:rowOff>
    </xdr:from>
    <xdr:to>
      <xdr:col>2</xdr:col>
      <xdr:colOff>376479</xdr:colOff>
      <xdr:row>75</xdr:row>
      <xdr:rowOff>21391</xdr:rowOff>
    </xdr:to>
    <xdr:pic>
      <xdr:nvPicPr>
        <xdr:cNvPr id="9" name="image1.png" title="Image">
          <a:extLst>
            <a:ext uri="{FF2B5EF4-FFF2-40B4-BE49-F238E27FC236}">
              <a16:creationId xmlns:a16="http://schemas.microsoft.com/office/drawing/2014/main" id="{47E959B0-3BF6-4BD3-BE8D-1738E1C4EE20}"/>
            </a:ext>
          </a:extLst>
        </xdr:cNvPr>
        <xdr:cNvPicPr preferRelativeResize="0"/>
      </xdr:nvPicPr>
      <xdr:blipFill>
        <a:blip xmlns:r="http://schemas.openxmlformats.org/officeDocument/2006/relationships" r:embed="rId1" cstate="print"/>
        <a:stretch>
          <a:fillRect/>
        </a:stretch>
      </xdr:blipFill>
      <xdr:spPr>
        <a:xfrm>
          <a:off x="0" y="13965796"/>
          <a:ext cx="7081028" cy="2568135"/>
        </a:xfrm>
        <a:prstGeom prst="rect">
          <a:avLst/>
        </a:prstGeom>
        <a:noFill/>
      </xdr:spPr>
    </xdr:pic>
    <xdr:clientData/>
  </xdr:twoCellAnchor>
  <xdr:twoCellAnchor editAs="absolute">
    <xdr:from>
      <xdr:col>2</xdr:col>
      <xdr:colOff>128340</xdr:colOff>
      <xdr:row>63</xdr:row>
      <xdr:rowOff>2830</xdr:rowOff>
    </xdr:from>
    <xdr:to>
      <xdr:col>5</xdr:col>
      <xdr:colOff>265464</xdr:colOff>
      <xdr:row>75</xdr:row>
      <xdr:rowOff>10645</xdr:rowOff>
    </xdr:to>
    <xdr:pic>
      <xdr:nvPicPr>
        <xdr:cNvPr id="10" name="image1.png" title="Image">
          <a:extLst>
            <a:ext uri="{FF2B5EF4-FFF2-40B4-BE49-F238E27FC236}">
              <a16:creationId xmlns:a16="http://schemas.microsoft.com/office/drawing/2014/main" id="{2F599B35-A41F-4047-BFD4-BAF98BA44650}"/>
            </a:ext>
          </a:extLst>
        </xdr:cNvPr>
        <xdr:cNvPicPr preferRelativeResize="0"/>
      </xdr:nvPicPr>
      <xdr:blipFill>
        <a:blip xmlns:r="http://schemas.openxmlformats.org/officeDocument/2006/relationships" r:embed="rId1" cstate="print"/>
        <a:stretch>
          <a:fillRect/>
        </a:stretch>
      </xdr:blipFill>
      <xdr:spPr>
        <a:xfrm>
          <a:off x="6832889" y="13955050"/>
          <a:ext cx="7062652" cy="2568135"/>
        </a:xfrm>
        <a:prstGeom prst="rect">
          <a:avLst/>
        </a:prstGeom>
        <a:noFill/>
      </xdr:spPr>
    </xdr:pic>
    <xdr:clientData/>
  </xdr:twoCellAnchor>
  <xdr:twoCellAnchor editAs="absolute">
    <xdr:from>
      <xdr:col>5</xdr:col>
      <xdr:colOff>5062</xdr:colOff>
      <xdr:row>63</xdr:row>
      <xdr:rowOff>3269</xdr:rowOff>
    </xdr:from>
    <xdr:to>
      <xdr:col>8</xdr:col>
      <xdr:colOff>941933</xdr:colOff>
      <xdr:row>75</xdr:row>
      <xdr:rowOff>11084</xdr:rowOff>
    </xdr:to>
    <xdr:pic>
      <xdr:nvPicPr>
        <xdr:cNvPr id="11" name="image1.png" title="Image">
          <a:extLst>
            <a:ext uri="{FF2B5EF4-FFF2-40B4-BE49-F238E27FC236}">
              <a16:creationId xmlns:a16="http://schemas.microsoft.com/office/drawing/2014/main" id="{12AC2531-D405-4C17-8CF9-32E39FAA86FC}"/>
            </a:ext>
          </a:extLst>
        </xdr:cNvPr>
        <xdr:cNvPicPr preferRelativeResize="0"/>
      </xdr:nvPicPr>
      <xdr:blipFill>
        <a:blip xmlns:r="http://schemas.openxmlformats.org/officeDocument/2006/relationships" r:embed="rId1" cstate="print"/>
        <a:stretch>
          <a:fillRect/>
        </a:stretch>
      </xdr:blipFill>
      <xdr:spPr>
        <a:xfrm>
          <a:off x="13635139" y="13955489"/>
          <a:ext cx="7070972" cy="2568135"/>
        </a:xfrm>
        <a:prstGeom prst="rect">
          <a:avLst/>
        </a:prstGeom>
        <a:noFill/>
      </xdr:spPr>
    </xdr:pic>
    <xdr:clientData/>
  </xdr:twoCellAnchor>
  <xdr:twoCellAnchor editAs="absolute">
    <xdr:from>
      <xdr:col>8</xdr:col>
      <xdr:colOff>694669</xdr:colOff>
      <xdr:row>62</xdr:row>
      <xdr:rowOff>203622</xdr:rowOff>
    </xdr:from>
    <xdr:to>
      <xdr:col>9</xdr:col>
      <xdr:colOff>1414987</xdr:colOff>
      <xdr:row>75</xdr:row>
      <xdr:rowOff>1230</xdr:rowOff>
    </xdr:to>
    <xdr:pic>
      <xdr:nvPicPr>
        <xdr:cNvPr id="12" name="image1.png" title="Image">
          <a:extLst>
            <a:ext uri="{FF2B5EF4-FFF2-40B4-BE49-F238E27FC236}">
              <a16:creationId xmlns:a16="http://schemas.microsoft.com/office/drawing/2014/main" id="{BEDEEE2A-9DCA-40CA-830A-E7AE750F7428}"/>
            </a:ext>
          </a:extLst>
        </xdr:cNvPr>
        <xdr:cNvPicPr preferRelativeResize="0"/>
      </xdr:nvPicPr>
      <xdr:blipFill>
        <a:blip xmlns:r="http://schemas.openxmlformats.org/officeDocument/2006/relationships" r:embed="rId1" cstate="print"/>
        <a:stretch>
          <a:fillRect/>
        </a:stretch>
      </xdr:blipFill>
      <xdr:spPr>
        <a:xfrm>
          <a:off x="20458847" y="13942482"/>
          <a:ext cx="7067778" cy="2571288"/>
        </a:xfrm>
        <a:prstGeom prst="rect">
          <a:avLst/>
        </a:prstGeom>
        <a:noFill/>
      </xdr:spPr>
    </xdr:pic>
    <xdr:clientData/>
  </xdr:twoCellAnchor>
  <xdr:twoCellAnchor editAs="absolute">
    <xdr:from>
      <xdr:col>9</xdr:col>
      <xdr:colOff>1114734</xdr:colOff>
      <xdr:row>62</xdr:row>
      <xdr:rowOff>190922</xdr:rowOff>
    </xdr:from>
    <xdr:to>
      <xdr:col>10</xdr:col>
      <xdr:colOff>5178306</xdr:colOff>
      <xdr:row>74</xdr:row>
      <xdr:rowOff>198736</xdr:rowOff>
    </xdr:to>
    <xdr:pic>
      <xdr:nvPicPr>
        <xdr:cNvPr id="13" name="image1.png" title="Image">
          <a:extLst>
            <a:ext uri="{FF2B5EF4-FFF2-40B4-BE49-F238E27FC236}">
              <a16:creationId xmlns:a16="http://schemas.microsoft.com/office/drawing/2014/main" id="{544A13F7-0BC5-42FB-ABB5-2EB1AA488A0A}"/>
            </a:ext>
          </a:extLst>
        </xdr:cNvPr>
        <xdr:cNvPicPr preferRelativeResize="0"/>
      </xdr:nvPicPr>
      <xdr:blipFill>
        <a:blip xmlns:r="http://schemas.openxmlformats.org/officeDocument/2006/relationships" r:embed="rId1" cstate="print"/>
        <a:stretch>
          <a:fillRect/>
        </a:stretch>
      </xdr:blipFill>
      <xdr:spPr>
        <a:xfrm>
          <a:off x="27226372" y="13929782"/>
          <a:ext cx="7061910" cy="2568134"/>
        </a:xfrm>
        <a:prstGeom prst="rect">
          <a:avLst/>
        </a:prstGeom>
        <a:noFill/>
      </xdr:spPr>
    </xdr:pic>
    <xdr:clientData/>
  </xdr:twoCellAnchor>
  <xdr:twoCellAnchor editAs="absolute">
    <xdr:from>
      <xdr:col>10</xdr:col>
      <xdr:colOff>4942866</xdr:colOff>
      <xdr:row>62</xdr:row>
      <xdr:rowOff>178222</xdr:rowOff>
    </xdr:from>
    <xdr:to>
      <xdr:col>11</xdr:col>
      <xdr:colOff>6552802</xdr:colOff>
      <xdr:row>74</xdr:row>
      <xdr:rowOff>186036</xdr:rowOff>
    </xdr:to>
    <xdr:pic>
      <xdr:nvPicPr>
        <xdr:cNvPr id="14" name="image1.png" title="Image">
          <a:extLst>
            <a:ext uri="{FF2B5EF4-FFF2-40B4-BE49-F238E27FC236}">
              <a16:creationId xmlns:a16="http://schemas.microsoft.com/office/drawing/2014/main" id="{C4B864B8-023B-493E-8D25-BC6301CCBD46}"/>
            </a:ext>
          </a:extLst>
        </xdr:cNvPr>
        <xdr:cNvPicPr preferRelativeResize="0"/>
      </xdr:nvPicPr>
      <xdr:blipFill>
        <a:blip xmlns:r="http://schemas.openxmlformats.org/officeDocument/2006/relationships" r:embed="rId1" cstate="print"/>
        <a:stretch>
          <a:fillRect/>
        </a:stretch>
      </xdr:blipFill>
      <xdr:spPr>
        <a:xfrm>
          <a:off x="34052842" y="13917082"/>
          <a:ext cx="7062178" cy="2568134"/>
        </a:xfrm>
        <a:prstGeom prst="rect">
          <a:avLst/>
        </a:prstGeom>
        <a:noFill/>
      </xdr:spPr>
    </xdr:pic>
    <xdr:clientData/>
  </xdr:twoCellAnchor>
  <xdr:twoCellAnchor editAs="absolute">
    <xdr:from>
      <xdr:col>11</xdr:col>
      <xdr:colOff>6306617</xdr:colOff>
      <xdr:row>62</xdr:row>
      <xdr:rowOff>176268</xdr:rowOff>
    </xdr:from>
    <xdr:to>
      <xdr:col>12</xdr:col>
      <xdr:colOff>1128879</xdr:colOff>
      <xdr:row>74</xdr:row>
      <xdr:rowOff>184082</xdr:rowOff>
    </xdr:to>
    <xdr:pic>
      <xdr:nvPicPr>
        <xdr:cNvPr id="15" name="image1.png" title="Image">
          <a:extLst>
            <a:ext uri="{FF2B5EF4-FFF2-40B4-BE49-F238E27FC236}">
              <a16:creationId xmlns:a16="http://schemas.microsoft.com/office/drawing/2014/main" id="{08D103DE-E769-416C-8823-544CBA21D650}"/>
            </a:ext>
          </a:extLst>
        </xdr:cNvPr>
        <xdr:cNvPicPr preferRelativeResize="0"/>
      </xdr:nvPicPr>
      <xdr:blipFill>
        <a:blip xmlns:r="http://schemas.openxmlformats.org/officeDocument/2006/relationships" r:embed="rId1" cstate="print"/>
        <a:stretch>
          <a:fillRect/>
        </a:stretch>
      </xdr:blipFill>
      <xdr:spPr>
        <a:xfrm>
          <a:off x="40868835" y="13915128"/>
          <a:ext cx="7052362" cy="2568134"/>
        </a:xfrm>
        <a:prstGeom prst="rect">
          <a:avLst/>
        </a:prstGeom>
        <a:noFill/>
      </xdr:spPr>
    </xdr:pic>
    <xdr:clientData/>
  </xdr:twoCellAnchor>
  <xdr:twoCellAnchor editAs="absolute">
    <xdr:from>
      <xdr:col>11</xdr:col>
      <xdr:colOff>10600566</xdr:colOff>
      <xdr:row>62</xdr:row>
      <xdr:rowOff>184083</xdr:rowOff>
    </xdr:from>
    <xdr:to>
      <xdr:col>13</xdr:col>
      <xdr:colOff>2978613</xdr:colOff>
      <xdr:row>74</xdr:row>
      <xdr:rowOff>184278</xdr:rowOff>
    </xdr:to>
    <xdr:pic>
      <xdr:nvPicPr>
        <xdr:cNvPr id="16" name="image1.png" title="Image">
          <a:extLst>
            <a:ext uri="{FF2B5EF4-FFF2-40B4-BE49-F238E27FC236}">
              <a16:creationId xmlns:a16="http://schemas.microsoft.com/office/drawing/2014/main" id="{3B142F25-942B-4957-813A-A88086064459}"/>
            </a:ext>
          </a:extLst>
        </xdr:cNvPr>
        <xdr:cNvPicPr preferRelativeResize="0"/>
      </xdr:nvPicPr>
      <xdr:blipFill>
        <a:blip xmlns:r="http://schemas.openxmlformats.org/officeDocument/2006/relationships" r:embed="rId1" cstate="print"/>
        <a:stretch>
          <a:fillRect/>
        </a:stretch>
      </xdr:blipFill>
      <xdr:spPr>
        <a:xfrm>
          <a:off x="45162784" y="13922943"/>
          <a:ext cx="7054167" cy="2560515"/>
        </a:xfrm>
        <a:prstGeom prst="rect">
          <a:avLst/>
        </a:prstGeom>
        <a:noFill/>
      </xdr:spPr>
    </xdr:pic>
    <xdr:clientData/>
  </xdr:twoCellAnchor>
  <xdr:twoCellAnchor editAs="absolute">
    <xdr:from>
      <xdr:col>11</xdr:col>
      <xdr:colOff>10614614</xdr:colOff>
      <xdr:row>0</xdr:row>
      <xdr:rowOff>0</xdr:rowOff>
    </xdr:from>
    <xdr:to>
      <xdr:col>13</xdr:col>
      <xdr:colOff>2993429</xdr:colOff>
      <xdr:row>12</xdr:row>
      <xdr:rowOff>7816</xdr:rowOff>
    </xdr:to>
    <xdr:pic>
      <xdr:nvPicPr>
        <xdr:cNvPr id="17" name="image1.png" title="Image">
          <a:extLst>
            <a:ext uri="{FF2B5EF4-FFF2-40B4-BE49-F238E27FC236}">
              <a16:creationId xmlns:a16="http://schemas.microsoft.com/office/drawing/2014/main" id="{67A50C1E-E149-4C9C-B6DC-3D35F3086464}"/>
            </a:ext>
          </a:extLst>
        </xdr:cNvPr>
        <xdr:cNvPicPr preferRelativeResize="0"/>
      </xdr:nvPicPr>
      <xdr:blipFill>
        <a:blip xmlns:r="http://schemas.openxmlformats.org/officeDocument/2006/relationships" r:embed="rId1" cstate="print"/>
        <a:stretch>
          <a:fillRect/>
        </a:stretch>
      </xdr:blipFill>
      <xdr:spPr>
        <a:xfrm>
          <a:off x="45176832" y="0"/>
          <a:ext cx="7054935" cy="2568136"/>
        </a:xfrm>
        <a:prstGeom prst="rect">
          <a:avLst/>
        </a:prstGeom>
        <a:noFill/>
      </xdr:spPr>
    </xdr:pic>
    <xdr:clientData/>
  </xdr:twoCellAnchor>
  <xdr:twoCellAnchor editAs="absolute">
    <xdr:from>
      <xdr:col>0</xdr:col>
      <xdr:colOff>52552</xdr:colOff>
      <xdr:row>63</xdr:row>
      <xdr:rowOff>192965</xdr:rowOff>
    </xdr:from>
    <xdr:to>
      <xdr:col>0</xdr:col>
      <xdr:colOff>670036</xdr:colOff>
      <xdr:row>66</xdr:row>
      <xdr:rowOff>192179</xdr:rowOff>
    </xdr:to>
    <xdr:pic>
      <xdr:nvPicPr>
        <xdr:cNvPr id="18" name="Picture 17">
          <a:extLst>
            <a:ext uri="{FF2B5EF4-FFF2-40B4-BE49-F238E27FC236}">
              <a16:creationId xmlns:a16="http://schemas.microsoft.com/office/drawing/2014/main" id="{0CB6E95E-84F6-2376-13E3-EE50F347FBC3}"/>
            </a:ext>
          </a:extLst>
        </xdr:cNvPr>
        <xdr:cNvPicPr>
          <a:picLocks noChangeAspect="1"/>
        </xdr:cNvPicPr>
      </xdr:nvPicPr>
      <xdr:blipFill>
        <a:blip xmlns:r="http://schemas.openxmlformats.org/officeDocument/2006/relationships" r:embed="rId3"/>
        <a:stretch>
          <a:fillRect/>
        </a:stretch>
      </xdr:blipFill>
      <xdr:spPr>
        <a:xfrm>
          <a:off x="52552" y="13961517"/>
          <a:ext cx="617484" cy="6298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0" y="0"/>
    <xdr:ext cx="6876098" cy="1524000"/>
    <xdr:pic>
      <xdr:nvPicPr>
        <xdr:cNvPr id="2" name="image3.png" title="Image">
          <a:extLst>
            <a:ext uri="{FF2B5EF4-FFF2-40B4-BE49-F238E27FC236}">
              <a16:creationId xmlns:a16="http://schemas.microsoft.com/office/drawing/2014/main" id="{4F5C197E-DB07-4605-8168-1854FDE53DD8}"/>
            </a:ext>
          </a:extLst>
        </xdr:cNvPr>
        <xdr:cNvPicPr preferRelativeResize="0"/>
      </xdr:nvPicPr>
      <xdr:blipFill>
        <a:blip xmlns:r="http://schemas.openxmlformats.org/officeDocument/2006/relationships" r:embed="rId1" cstate="print"/>
        <a:stretch>
          <a:fillRect/>
        </a:stretch>
      </xdr:blipFill>
      <xdr:spPr>
        <a:xfrm>
          <a:off x="0" y="0"/>
          <a:ext cx="6876098" cy="1524000"/>
        </a:xfrm>
        <a:prstGeom prst="rect">
          <a:avLst/>
        </a:prstGeom>
        <a:noFill/>
      </xdr:spPr>
    </xdr:pic>
    <xdr:clientData/>
  </xdr:absoluteAnchor>
  <xdr:absoluteAnchor>
    <xdr:pos x="6623685" y="0"/>
    <xdr:ext cx="7796213" cy="1531620"/>
    <xdr:pic>
      <xdr:nvPicPr>
        <xdr:cNvPr id="3" name="image1.png" title="Image">
          <a:extLst>
            <a:ext uri="{FF2B5EF4-FFF2-40B4-BE49-F238E27FC236}">
              <a16:creationId xmlns:a16="http://schemas.microsoft.com/office/drawing/2014/main" id="{5388FA70-3557-41AD-AC2F-5255AAD1652B}"/>
            </a:ext>
          </a:extLst>
        </xdr:cNvPr>
        <xdr:cNvPicPr preferRelativeResize="0"/>
      </xdr:nvPicPr>
      <xdr:blipFill>
        <a:blip xmlns:r="http://schemas.openxmlformats.org/officeDocument/2006/relationships" r:embed="rId2" cstate="print"/>
        <a:stretch>
          <a:fillRect/>
        </a:stretch>
      </xdr:blipFill>
      <xdr:spPr>
        <a:xfrm>
          <a:off x="6623685" y="0"/>
          <a:ext cx="7796213" cy="1531620"/>
        </a:xfrm>
        <a:prstGeom prst="rect">
          <a:avLst/>
        </a:prstGeom>
        <a:noFill/>
      </xdr:spPr>
    </xdr:pic>
    <xdr:clientData/>
  </xdr:absoluteAnchor>
  <xdr:absoluteAnchor>
    <xdr:pos x="8211503" y="0"/>
    <xdr:ext cx="7772400" cy="1531620"/>
    <xdr:pic>
      <xdr:nvPicPr>
        <xdr:cNvPr id="4" name="image1.png" title="Image">
          <a:extLst>
            <a:ext uri="{FF2B5EF4-FFF2-40B4-BE49-F238E27FC236}">
              <a16:creationId xmlns:a16="http://schemas.microsoft.com/office/drawing/2014/main" id="{B285E87F-D316-4324-891B-13278C7B6EE6}"/>
            </a:ext>
          </a:extLst>
        </xdr:cNvPr>
        <xdr:cNvPicPr preferRelativeResize="0"/>
      </xdr:nvPicPr>
      <xdr:blipFill>
        <a:blip xmlns:r="http://schemas.openxmlformats.org/officeDocument/2006/relationships" r:embed="rId2" cstate="print"/>
        <a:stretch>
          <a:fillRect/>
        </a:stretch>
      </xdr:blipFill>
      <xdr:spPr>
        <a:xfrm>
          <a:off x="8211503" y="0"/>
          <a:ext cx="7772400" cy="1531620"/>
        </a:xfrm>
        <a:prstGeom prst="rect">
          <a:avLst/>
        </a:prstGeom>
        <a:noFill/>
      </xdr:spPr>
    </xdr:pic>
    <xdr:clientData/>
  </xdr:absoluteAnchor>
  <xdr:twoCellAnchor editAs="absolute">
    <xdr:from>
      <xdr:col>0</xdr:col>
      <xdr:colOff>76200</xdr:colOff>
      <xdr:row>194</xdr:row>
      <xdr:rowOff>114299</xdr:rowOff>
    </xdr:from>
    <xdr:to>
      <xdr:col>0</xdr:col>
      <xdr:colOff>421042</xdr:colOff>
      <xdr:row>196</xdr:row>
      <xdr:rowOff>100278</xdr:rowOff>
    </xdr:to>
    <xdr:pic>
      <xdr:nvPicPr>
        <xdr:cNvPr id="6" name="Picture 5">
          <a:extLst>
            <a:ext uri="{FF2B5EF4-FFF2-40B4-BE49-F238E27FC236}">
              <a16:creationId xmlns:a16="http://schemas.microsoft.com/office/drawing/2014/main" id="{3846D69C-B815-40F4-A33C-47A042A623F9}"/>
            </a:ext>
          </a:extLst>
        </xdr:cNvPr>
        <xdr:cNvPicPr>
          <a:picLocks noChangeAspect="1"/>
        </xdr:cNvPicPr>
      </xdr:nvPicPr>
      <xdr:blipFill>
        <a:blip xmlns:r="http://schemas.openxmlformats.org/officeDocument/2006/relationships" r:embed="rId3"/>
        <a:stretch>
          <a:fillRect/>
        </a:stretch>
      </xdr:blipFill>
      <xdr:spPr>
        <a:xfrm>
          <a:off x="76200" y="36156899"/>
          <a:ext cx="344842" cy="35173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yscapgro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8"/>
  <sheetViews>
    <sheetView tabSelected="1" topLeftCell="A7" zoomScale="58" zoomScaleNormal="58" workbookViewId="0">
      <selection activeCell="F34" sqref="F34"/>
    </sheetView>
  </sheetViews>
  <sheetFormatPr defaultColWidth="8.85546875" defaultRowHeight="16.899999999999999" customHeight="1" x14ac:dyDescent="0.25"/>
  <cols>
    <col min="1" max="1" width="59.42578125" style="1" customWidth="1"/>
    <col min="2" max="2" width="29.85546875" style="1" customWidth="1"/>
    <col min="3" max="3" width="29.7109375" style="1" customWidth="1"/>
    <col min="4" max="4" width="18.140625" style="1" customWidth="1"/>
    <col min="5" max="5" width="54.7109375" style="1" customWidth="1"/>
    <col min="6" max="6" width="52.140625" style="1" bestFit="1" customWidth="1"/>
    <col min="7" max="7" width="15.7109375" style="1" bestFit="1" customWidth="1"/>
    <col min="8" max="8" width="21.7109375" style="1" customWidth="1"/>
    <col min="9" max="9" width="97" style="1" customWidth="1"/>
    <col min="10" max="10" width="43.7109375" style="1" bestFit="1" customWidth="1"/>
    <col min="11" max="11" width="79.5703125" style="1" customWidth="1"/>
    <col min="12" max="12" width="239.42578125" style="1" customWidth="1"/>
    <col min="13" max="13" width="35.7109375" style="1" bestFit="1" customWidth="1"/>
    <col min="14" max="14" width="59.85546875" style="1" customWidth="1"/>
    <col min="15" max="16384" width="8.85546875" style="1"/>
  </cols>
  <sheetData>
    <row r="1" spans="1:14" ht="16.899999999999999" customHeight="1" x14ac:dyDescent="0.25">
      <c r="A1" s="2"/>
      <c r="B1" s="2"/>
      <c r="C1" s="2"/>
      <c r="D1" s="2"/>
      <c r="E1" s="2"/>
      <c r="F1" s="2"/>
      <c r="G1" s="2"/>
      <c r="H1" s="2"/>
      <c r="I1" s="2"/>
      <c r="J1" s="2"/>
      <c r="K1" s="2"/>
      <c r="L1" s="2"/>
      <c r="M1" s="2"/>
      <c r="N1" s="2"/>
    </row>
    <row r="2" spans="1:14" ht="16.899999999999999" customHeight="1" x14ac:dyDescent="0.25">
      <c r="A2" s="2"/>
      <c r="B2" s="2"/>
      <c r="C2" s="2"/>
      <c r="D2" s="2"/>
      <c r="E2" s="2"/>
      <c r="F2" s="2"/>
      <c r="G2" s="2"/>
      <c r="H2" s="2"/>
      <c r="I2" s="2"/>
      <c r="J2" s="2"/>
      <c r="K2" s="2"/>
      <c r="L2" s="2"/>
      <c r="M2" s="2"/>
      <c r="N2" s="2"/>
    </row>
    <row r="3" spans="1:14" ht="16.899999999999999" customHeight="1" x14ac:dyDescent="0.25">
      <c r="A3" s="2"/>
      <c r="B3" s="2"/>
      <c r="C3" s="2"/>
      <c r="D3" s="2"/>
      <c r="E3" s="2"/>
      <c r="F3" s="2"/>
      <c r="G3" s="2"/>
      <c r="H3" s="2"/>
      <c r="I3" s="2"/>
      <c r="J3" s="2"/>
      <c r="K3" s="2"/>
      <c r="L3" s="2"/>
      <c r="M3" s="2"/>
      <c r="N3" s="2"/>
    </row>
    <row r="4" spans="1:14" ht="16.899999999999999" customHeight="1" x14ac:dyDescent="0.25">
      <c r="A4" s="2"/>
      <c r="B4" s="2"/>
      <c r="C4" s="2"/>
      <c r="D4" s="2"/>
      <c r="E4" s="2"/>
      <c r="F4" s="2"/>
      <c r="G4" s="2"/>
      <c r="H4" s="2"/>
      <c r="I4" s="2"/>
      <c r="J4" s="2"/>
      <c r="K4" s="2"/>
      <c r="L4" s="2"/>
      <c r="M4" s="2"/>
      <c r="N4" s="2"/>
    </row>
    <row r="5" spans="1:14" ht="16.899999999999999" customHeight="1" x14ac:dyDescent="0.25">
      <c r="A5" s="2"/>
      <c r="B5" s="2"/>
      <c r="C5" s="2"/>
      <c r="D5" s="2"/>
      <c r="E5" s="2"/>
      <c r="F5" s="2"/>
      <c r="G5" s="2"/>
      <c r="H5" s="2"/>
      <c r="I5" s="2"/>
      <c r="J5" s="2"/>
      <c r="K5" s="2"/>
      <c r="L5" s="2"/>
      <c r="M5" s="2"/>
      <c r="N5" s="2"/>
    </row>
    <row r="6" spans="1:14" ht="16.899999999999999" customHeight="1" x14ac:dyDescent="0.25">
      <c r="A6" s="2"/>
      <c r="B6" s="2"/>
      <c r="C6" s="2"/>
      <c r="D6" s="2"/>
      <c r="E6" s="2"/>
      <c r="F6" s="2"/>
      <c r="G6" s="2"/>
      <c r="H6" s="2"/>
      <c r="I6" s="2"/>
      <c r="J6" s="2"/>
      <c r="K6" s="2"/>
      <c r="L6" s="2"/>
      <c r="M6" s="2"/>
      <c r="N6" s="2"/>
    </row>
    <row r="7" spans="1:14" ht="16.899999999999999" customHeight="1" x14ac:dyDescent="0.25">
      <c r="A7" s="2"/>
      <c r="B7" s="2"/>
      <c r="C7" s="2"/>
      <c r="D7" s="2"/>
      <c r="E7" s="2"/>
      <c r="F7" s="2"/>
      <c r="G7" s="2"/>
      <c r="H7" s="2"/>
      <c r="I7" s="2"/>
      <c r="J7" s="2"/>
      <c r="K7" s="2"/>
      <c r="L7" s="2"/>
      <c r="M7" s="2"/>
      <c r="N7" s="2"/>
    </row>
    <row r="8" spans="1:14" ht="16.899999999999999" customHeight="1" x14ac:dyDescent="0.25">
      <c r="A8" s="2"/>
      <c r="B8" s="2"/>
      <c r="C8" s="2"/>
      <c r="D8" s="2"/>
      <c r="E8" s="2"/>
      <c r="F8" s="2"/>
      <c r="G8" s="2"/>
      <c r="H8" s="2"/>
      <c r="I8" s="2"/>
      <c r="J8" s="2"/>
      <c r="K8" s="2"/>
      <c r="L8" s="2"/>
      <c r="M8" s="2"/>
      <c r="N8" s="2"/>
    </row>
    <row r="9" spans="1:14" ht="16.899999999999999" customHeight="1" x14ac:dyDescent="0.25">
      <c r="A9" s="2"/>
      <c r="B9" s="2"/>
      <c r="C9" s="2"/>
      <c r="D9" s="2"/>
      <c r="E9" s="2"/>
      <c r="F9" s="2"/>
      <c r="G9" s="2"/>
      <c r="H9" s="2"/>
      <c r="I9" s="2"/>
      <c r="J9" s="2"/>
      <c r="K9" s="2"/>
      <c r="L9" s="2"/>
      <c r="M9" s="2"/>
      <c r="N9" s="2"/>
    </row>
    <row r="10" spans="1:14" ht="16.899999999999999" customHeight="1" x14ac:dyDescent="0.25">
      <c r="A10" s="2"/>
      <c r="B10" s="2"/>
      <c r="C10" s="2"/>
      <c r="D10" s="2"/>
      <c r="E10" s="2"/>
      <c r="F10" s="2"/>
      <c r="G10" s="2"/>
      <c r="H10" s="2"/>
      <c r="I10" s="2"/>
      <c r="J10" s="2"/>
      <c r="K10" s="2"/>
      <c r="L10" s="2"/>
      <c r="M10" s="2"/>
      <c r="N10" s="2"/>
    </row>
    <row r="11" spans="1:14" ht="16.899999999999999" customHeight="1" x14ac:dyDescent="0.25">
      <c r="A11" s="2"/>
      <c r="B11" s="2"/>
      <c r="C11" s="2"/>
      <c r="D11" s="2"/>
      <c r="E11" s="2"/>
      <c r="F11" s="2"/>
      <c r="G11" s="2"/>
      <c r="H11" s="2"/>
      <c r="I11" s="2"/>
      <c r="J11" s="2"/>
      <c r="K11" s="2"/>
      <c r="L11" s="2"/>
      <c r="M11" s="2"/>
      <c r="N11" s="2"/>
    </row>
    <row r="12" spans="1:14" ht="16.899999999999999" customHeight="1" x14ac:dyDescent="0.25">
      <c r="A12" s="2"/>
      <c r="B12" s="2"/>
      <c r="C12" s="2"/>
      <c r="D12" s="2"/>
      <c r="E12" s="2"/>
      <c r="F12" s="2"/>
      <c r="G12" s="2"/>
      <c r="H12" s="2"/>
      <c r="I12" s="2"/>
      <c r="J12" s="2"/>
      <c r="K12" s="2"/>
      <c r="L12" s="2"/>
      <c r="M12" s="2"/>
      <c r="N12" s="2"/>
    </row>
    <row r="13" spans="1:14" ht="16.899999999999999" customHeight="1" x14ac:dyDescent="0.25">
      <c r="A13" s="2"/>
      <c r="B13" s="2"/>
      <c r="C13" s="2"/>
      <c r="D13" s="2"/>
      <c r="E13" s="2"/>
      <c r="F13" s="2"/>
      <c r="G13" s="2"/>
      <c r="H13" s="2"/>
      <c r="I13" s="2"/>
      <c r="J13" s="2"/>
      <c r="K13" s="2"/>
      <c r="L13" s="2"/>
      <c r="M13" s="2"/>
      <c r="N13" s="2"/>
    </row>
    <row r="14" spans="1:14" ht="29.65" customHeight="1" x14ac:dyDescent="0.3">
      <c r="A14" s="4" t="s">
        <v>92</v>
      </c>
      <c r="B14" s="2"/>
      <c r="C14" s="2"/>
      <c r="D14" s="2"/>
      <c r="E14" s="2"/>
      <c r="F14" s="2"/>
      <c r="G14" s="2"/>
      <c r="H14" s="2"/>
      <c r="I14" s="2"/>
      <c r="J14" s="2"/>
      <c r="K14" s="2"/>
      <c r="L14" s="2"/>
      <c r="M14" s="2"/>
      <c r="N14" s="2"/>
    </row>
    <row r="15" spans="1:14" ht="16.899999999999999" customHeight="1" x14ac:dyDescent="0.3">
      <c r="A15" s="5"/>
      <c r="B15" s="2"/>
      <c r="C15" s="2"/>
      <c r="D15" s="2"/>
      <c r="E15" s="2"/>
      <c r="F15" s="2"/>
      <c r="G15" s="2"/>
      <c r="H15" s="2"/>
      <c r="I15" s="2"/>
      <c r="J15" s="2"/>
      <c r="K15" s="2"/>
      <c r="L15" s="2"/>
      <c r="M15" s="2"/>
      <c r="N15" s="2"/>
    </row>
    <row r="16" spans="1:14" ht="30.6" customHeight="1" x14ac:dyDescent="0.4">
      <c r="A16" s="126" t="s">
        <v>199</v>
      </c>
      <c r="B16" s="127"/>
      <c r="C16" s="127"/>
      <c r="D16" s="127"/>
      <c r="E16" s="127"/>
      <c r="F16" s="127"/>
      <c r="G16" s="127"/>
      <c r="H16" s="8"/>
      <c r="I16" s="7"/>
      <c r="J16" s="7"/>
      <c r="K16" s="7"/>
      <c r="L16" s="6"/>
      <c r="M16" s="2"/>
      <c r="N16" s="2"/>
    </row>
    <row r="17" spans="1:14" ht="30.6" customHeight="1" x14ac:dyDescent="0.5">
      <c r="A17" s="3"/>
      <c r="B17" s="3"/>
      <c r="C17" s="3"/>
      <c r="D17" s="3"/>
      <c r="E17" s="3"/>
      <c r="F17" s="3"/>
      <c r="G17" s="2"/>
      <c r="H17" s="3"/>
      <c r="I17" s="2"/>
      <c r="J17" s="2"/>
      <c r="K17" s="2"/>
      <c r="L17" s="2"/>
      <c r="M17" s="2"/>
      <c r="N17" s="2"/>
    </row>
    <row r="18" spans="1:14" ht="16.899999999999999" customHeight="1" x14ac:dyDescent="0.55000000000000004">
      <c r="A18" s="9" t="s">
        <v>0</v>
      </c>
      <c r="B18" s="10" t="s">
        <v>1</v>
      </c>
      <c r="C18" s="11"/>
      <c r="D18" s="12"/>
      <c r="E18" s="13" t="s">
        <v>73</v>
      </c>
      <c r="F18" s="14" t="s">
        <v>1</v>
      </c>
      <c r="G18" s="15"/>
      <c r="H18" s="12"/>
      <c r="I18" s="9" t="s">
        <v>26</v>
      </c>
      <c r="J18" s="9" t="s">
        <v>10</v>
      </c>
      <c r="K18" s="16"/>
      <c r="L18" s="17"/>
      <c r="M18" s="12"/>
      <c r="N18" s="12"/>
    </row>
    <row r="19" spans="1:14" ht="16.899999999999999" customHeight="1" x14ac:dyDescent="0.35">
      <c r="A19" s="18" t="s">
        <v>2</v>
      </c>
      <c r="B19" s="19"/>
      <c r="C19" s="20"/>
      <c r="D19" s="12"/>
      <c r="E19" s="21" t="s">
        <v>4</v>
      </c>
      <c r="F19" s="22" t="s">
        <v>5</v>
      </c>
      <c r="G19" s="22" t="s">
        <v>38</v>
      </c>
      <c r="H19" s="12"/>
      <c r="I19" s="23" t="s">
        <v>28</v>
      </c>
      <c r="J19" s="24" t="e">
        <f>F54/B23</f>
        <v>#DIV/0!</v>
      </c>
      <c r="K19" s="25" t="s">
        <v>54</v>
      </c>
      <c r="L19" s="26"/>
      <c r="M19" s="12"/>
      <c r="N19" s="12"/>
    </row>
    <row r="20" spans="1:14" ht="16.899999999999999" customHeight="1" x14ac:dyDescent="0.35">
      <c r="A20" s="27" t="s">
        <v>3</v>
      </c>
      <c r="B20" s="28"/>
      <c r="C20" s="20"/>
      <c r="D20" s="12"/>
      <c r="E20" s="29">
        <v>1</v>
      </c>
      <c r="F20" s="30"/>
      <c r="G20" s="31"/>
      <c r="H20" s="12"/>
      <c r="I20" s="32" t="s">
        <v>29</v>
      </c>
      <c r="J20" s="33" t="e">
        <f>F55/B49</f>
        <v>#DIV/0!</v>
      </c>
      <c r="K20" s="34" t="s">
        <v>55</v>
      </c>
      <c r="L20" s="35"/>
      <c r="M20" s="12"/>
      <c r="N20" s="12"/>
    </row>
    <row r="21" spans="1:14" ht="16.899999999999999" customHeight="1" x14ac:dyDescent="0.25">
      <c r="A21" s="12"/>
      <c r="B21" s="12"/>
      <c r="C21" s="20"/>
      <c r="D21" s="12"/>
      <c r="E21" s="36">
        <v>2</v>
      </c>
      <c r="F21" s="37"/>
      <c r="G21" s="38"/>
      <c r="H21" s="12"/>
      <c r="I21" s="12"/>
      <c r="J21" s="12"/>
      <c r="K21" s="12"/>
      <c r="L21" s="12"/>
      <c r="M21" s="12"/>
      <c r="N21" s="12"/>
    </row>
    <row r="22" spans="1:14" ht="16.899999999999999" customHeight="1" x14ac:dyDescent="0.3">
      <c r="A22" s="39" t="s">
        <v>71</v>
      </c>
      <c r="B22" s="40" t="s">
        <v>1</v>
      </c>
      <c r="C22" s="20"/>
      <c r="D22" s="12"/>
      <c r="E22" s="36">
        <v>3</v>
      </c>
      <c r="F22" s="37"/>
      <c r="G22" s="38"/>
      <c r="H22" s="12"/>
      <c r="I22" s="11" t="s">
        <v>81</v>
      </c>
      <c r="J22" s="41" t="e">
        <f>F28/B36</f>
        <v>#DIV/0!</v>
      </c>
      <c r="K22" s="122" t="s">
        <v>36</v>
      </c>
      <c r="L22" s="123"/>
      <c r="M22" s="12"/>
      <c r="N22" s="12"/>
    </row>
    <row r="23" spans="1:14" ht="16.899999999999999" customHeight="1" x14ac:dyDescent="0.3">
      <c r="A23" s="42" t="s">
        <v>6</v>
      </c>
      <c r="B23" s="43"/>
      <c r="C23" s="20"/>
      <c r="D23" s="12"/>
      <c r="E23" s="36">
        <v>4</v>
      </c>
      <c r="F23" s="37"/>
      <c r="G23" s="38"/>
      <c r="H23" s="12"/>
      <c r="I23" s="42" t="s">
        <v>207</v>
      </c>
      <c r="J23" s="44" t="e">
        <f>F37/12/B37</f>
        <v>#DIV/0!</v>
      </c>
      <c r="K23" s="124" t="s">
        <v>37</v>
      </c>
      <c r="L23" s="125"/>
      <c r="M23" s="12"/>
      <c r="N23" s="12"/>
    </row>
    <row r="24" spans="1:14" ht="16.899999999999999" customHeight="1" x14ac:dyDescent="0.25">
      <c r="A24" s="45"/>
      <c r="B24" s="12"/>
      <c r="C24" s="20"/>
      <c r="D24" s="12"/>
      <c r="E24" s="36">
        <v>5</v>
      </c>
      <c r="F24" s="37"/>
      <c r="G24" s="38"/>
      <c r="H24" s="12"/>
      <c r="I24" s="12"/>
      <c r="J24" s="46"/>
      <c r="K24" s="47"/>
      <c r="L24" s="12"/>
      <c r="M24" s="12"/>
      <c r="N24" s="12"/>
    </row>
    <row r="25" spans="1:14" ht="16.899999999999999" customHeight="1" x14ac:dyDescent="0.3">
      <c r="A25" s="39" t="s">
        <v>72</v>
      </c>
      <c r="B25" s="40" t="s">
        <v>1</v>
      </c>
      <c r="C25" s="20"/>
      <c r="D25" s="12"/>
      <c r="E25" s="48">
        <v>6</v>
      </c>
      <c r="F25" s="49"/>
      <c r="G25" s="50"/>
      <c r="H25" s="12"/>
      <c r="I25" s="51"/>
      <c r="J25" s="51"/>
      <c r="K25" s="51"/>
      <c r="L25" s="12"/>
      <c r="M25" s="12"/>
      <c r="N25" s="12"/>
    </row>
    <row r="26" spans="1:14" ht="16.899999999999999" customHeight="1" x14ac:dyDescent="0.25">
      <c r="A26" s="20" t="s">
        <v>30</v>
      </c>
      <c r="B26" s="52"/>
      <c r="C26" s="20"/>
      <c r="D26" s="12"/>
      <c r="E26" s="46"/>
      <c r="F26" s="46"/>
      <c r="G26" s="12"/>
      <c r="H26" s="12"/>
      <c r="I26" s="53" t="s">
        <v>82</v>
      </c>
      <c r="J26" s="54" t="e">
        <f>F54/B30</f>
        <v>#DIV/0!</v>
      </c>
      <c r="K26" s="53" t="s">
        <v>56</v>
      </c>
      <c r="L26" s="55"/>
      <c r="M26" s="12"/>
      <c r="N26" s="12"/>
    </row>
    <row r="27" spans="1:14" ht="16.899999999999999" customHeight="1" x14ac:dyDescent="0.25">
      <c r="A27" s="20" t="s">
        <v>68</v>
      </c>
      <c r="B27" s="56">
        <f>B23-B30</f>
        <v>0</v>
      </c>
      <c r="C27" s="20"/>
      <c r="D27" s="12"/>
      <c r="E27" s="9" t="s">
        <v>9</v>
      </c>
      <c r="F27" s="57" t="s">
        <v>10</v>
      </c>
      <c r="G27" s="11"/>
      <c r="H27" s="12"/>
      <c r="I27" s="58" t="s">
        <v>50</v>
      </c>
      <c r="J27" s="59" t="e">
        <f>C37/F37</f>
        <v>#DIV/0!</v>
      </c>
      <c r="K27" s="58" t="s">
        <v>57</v>
      </c>
      <c r="L27" s="60" t="s">
        <v>58</v>
      </c>
      <c r="M27" s="12"/>
      <c r="N27" s="12"/>
    </row>
    <row r="28" spans="1:14" ht="16.899999999999999" customHeight="1" x14ac:dyDescent="0.25">
      <c r="A28" s="20" t="s">
        <v>31</v>
      </c>
      <c r="B28" s="61" t="str">
        <f>IF(B26&lt;&gt;"", B23*B26/100, "")</f>
        <v/>
      </c>
      <c r="C28" s="20"/>
      <c r="D28" s="12"/>
      <c r="E28" s="11" t="s">
        <v>11</v>
      </c>
      <c r="F28" s="62">
        <f>SUM(F20:F26)</f>
        <v>0</v>
      </c>
      <c r="G28" s="20"/>
      <c r="H28" s="12"/>
      <c r="I28" s="58" t="s">
        <v>51</v>
      </c>
      <c r="J28" s="63" t="e">
        <f>B23/F29</f>
        <v>#DIV/0!</v>
      </c>
      <c r="K28" s="58" t="s">
        <v>59</v>
      </c>
      <c r="L28" s="60" t="s">
        <v>60</v>
      </c>
      <c r="M28" s="12"/>
      <c r="N28" s="12"/>
    </row>
    <row r="29" spans="1:14" ht="16.899999999999999" customHeight="1" x14ac:dyDescent="0.25">
      <c r="A29" s="20" t="s">
        <v>32</v>
      </c>
      <c r="B29" s="64"/>
      <c r="C29" s="20"/>
      <c r="D29" s="12"/>
      <c r="E29" s="42" t="s">
        <v>41</v>
      </c>
      <c r="F29" s="65">
        <f>F28*12</f>
        <v>0</v>
      </c>
      <c r="G29" s="42"/>
      <c r="H29" s="12"/>
      <c r="I29" s="58" t="s">
        <v>52</v>
      </c>
      <c r="J29" s="59" t="e">
        <f>F52/F37</f>
        <v>#DIV/0!</v>
      </c>
      <c r="K29" s="58" t="s">
        <v>61</v>
      </c>
      <c r="L29" s="60" t="s">
        <v>62</v>
      </c>
      <c r="M29" s="12"/>
      <c r="N29" s="12"/>
    </row>
    <row r="30" spans="1:14" ht="16.899999999999999" customHeight="1" x14ac:dyDescent="0.25">
      <c r="A30" s="20" t="s">
        <v>33</v>
      </c>
      <c r="B30" s="61">
        <f>IF(B28="", B29, B28)</f>
        <v>0</v>
      </c>
      <c r="C30" s="20"/>
      <c r="D30" s="12"/>
      <c r="E30" s="12"/>
      <c r="F30" s="12"/>
      <c r="G30" s="12"/>
      <c r="H30" s="12"/>
      <c r="I30" s="58" t="s">
        <v>63</v>
      </c>
      <c r="J30" s="59" t="e">
        <f>B30/B50</f>
        <v>#DIV/0!</v>
      </c>
      <c r="K30" s="58" t="s">
        <v>64</v>
      </c>
      <c r="L30" s="60" t="s">
        <v>65</v>
      </c>
      <c r="M30" s="12"/>
      <c r="N30" s="12"/>
    </row>
    <row r="31" spans="1:14" ht="16.899999999999999" customHeight="1" x14ac:dyDescent="0.3">
      <c r="A31" s="20" t="s">
        <v>7</v>
      </c>
      <c r="B31" s="52"/>
      <c r="C31" s="20"/>
      <c r="D31" s="66"/>
      <c r="E31" s="12"/>
      <c r="F31" s="12"/>
      <c r="G31" s="12"/>
      <c r="H31" s="12"/>
      <c r="I31" s="58" t="s">
        <v>53</v>
      </c>
      <c r="J31" s="67" t="e">
        <f>F55/B53</f>
        <v>#DIV/0!</v>
      </c>
      <c r="K31" s="58" t="s">
        <v>66</v>
      </c>
      <c r="L31" s="60" t="s">
        <v>67</v>
      </c>
      <c r="M31" s="12"/>
      <c r="N31" s="12"/>
    </row>
    <row r="32" spans="1:14" ht="16.899999999999999" customHeight="1" x14ac:dyDescent="0.25">
      <c r="A32" s="42" t="s">
        <v>8</v>
      </c>
      <c r="B32" s="68">
        <v>30</v>
      </c>
      <c r="C32" s="42"/>
      <c r="D32" s="12"/>
      <c r="E32" s="9" t="s">
        <v>39</v>
      </c>
      <c r="F32" s="57" t="s">
        <v>10</v>
      </c>
      <c r="G32" s="69"/>
      <c r="H32" s="12"/>
      <c r="I32" s="42" t="s">
        <v>86</v>
      </c>
      <c r="J32" s="70" t="e">
        <f>B53/B52</f>
        <v>#DIV/0!</v>
      </c>
      <c r="K32" s="42" t="s">
        <v>87</v>
      </c>
      <c r="L32" s="50" t="s">
        <v>88</v>
      </c>
      <c r="M32" s="12"/>
      <c r="N32" s="12"/>
    </row>
    <row r="33" spans="1:14" ht="16.899999999999999" customHeight="1" x14ac:dyDescent="0.25">
      <c r="A33" s="12"/>
      <c r="B33" s="12"/>
      <c r="C33" s="12"/>
      <c r="D33" s="12"/>
      <c r="E33" s="71" t="s">
        <v>89</v>
      </c>
      <c r="F33" s="72"/>
      <c r="G33" s="20"/>
      <c r="H33" s="12"/>
      <c r="I33" s="12"/>
      <c r="J33" s="12"/>
      <c r="K33" s="12"/>
      <c r="L33" s="12"/>
      <c r="M33" s="12"/>
      <c r="N33" s="12"/>
    </row>
    <row r="34" spans="1:14" ht="16.899999999999999" customHeight="1" x14ac:dyDescent="0.3">
      <c r="A34" s="73" t="s">
        <v>74</v>
      </c>
      <c r="B34" s="69" t="s">
        <v>78</v>
      </c>
      <c r="C34" s="17" t="s">
        <v>76</v>
      </c>
      <c r="D34" s="12"/>
      <c r="E34" s="20" t="s">
        <v>12</v>
      </c>
      <c r="F34" s="74"/>
      <c r="G34" s="20"/>
      <c r="H34" s="12"/>
      <c r="I34" s="12"/>
      <c r="J34" s="12"/>
      <c r="K34" s="12"/>
      <c r="L34" s="12"/>
      <c r="M34" s="12"/>
      <c r="N34" s="12"/>
    </row>
    <row r="35" spans="1:14" ht="16.899999999999999" customHeight="1" x14ac:dyDescent="0.3">
      <c r="A35" s="18" t="s">
        <v>34</v>
      </c>
      <c r="B35" s="117">
        <f>IF(B32&gt;0, PMT(B31/100/12, B32*12, -B30), "")</f>
        <v>0</v>
      </c>
      <c r="C35" s="121">
        <f>B35*12</f>
        <v>0</v>
      </c>
      <c r="D35" s="66"/>
      <c r="E35" s="20" t="s">
        <v>91</v>
      </c>
      <c r="F35" s="75">
        <f>F33+F34</f>
        <v>0</v>
      </c>
      <c r="G35" s="20"/>
      <c r="H35" s="12"/>
      <c r="I35" s="12"/>
      <c r="J35" s="12"/>
      <c r="K35" s="12"/>
      <c r="L35" s="12"/>
      <c r="M35" s="12"/>
      <c r="N35" s="12"/>
    </row>
    <row r="36" spans="1:14" ht="16.899999999999999" customHeight="1" x14ac:dyDescent="0.3">
      <c r="A36" s="120" t="s">
        <v>35</v>
      </c>
      <c r="B36" s="118">
        <f>B35+G40+G41+G42</f>
        <v>0</v>
      </c>
      <c r="C36" s="115">
        <f>B36*12</f>
        <v>0</v>
      </c>
      <c r="D36" s="66"/>
      <c r="E36" s="20" t="s">
        <v>90</v>
      </c>
      <c r="F36" s="76">
        <f>F29*F35</f>
        <v>0</v>
      </c>
      <c r="G36" s="20"/>
      <c r="H36" s="12"/>
      <c r="I36" s="12"/>
      <c r="J36" s="12"/>
      <c r="K36" s="12"/>
      <c r="L36" s="12"/>
      <c r="M36" s="12"/>
      <c r="N36" s="12"/>
    </row>
    <row r="37" spans="1:14" ht="16.899999999999999" customHeight="1" x14ac:dyDescent="0.3">
      <c r="A37" s="27" t="s">
        <v>70</v>
      </c>
      <c r="B37" s="119">
        <f>B35+G52</f>
        <v>0</v>
      </c>
      <c r="C37" s="116">
        <f>B37*12</f>
        <v>0</v>
      </c>
      <c r="D37" s="66"/>
      <c r="E37" s="42" t="s">
        <v>42</v>
      </c>
      <c r="F37" s="77">
        <f>F29-F36</f>
        <v>0</v>
      </c>
      <c r="G37" s="42"/>
      <c r="H37" s="12"/>
      <c r="I37" s="12"/>
      <c r="J37" s="12"/>
      <c r="K37" s="12"/>
      <c r="L37" s="12"/>
      <c r="M37" s="12"/>
      <c r="N37" s="12"/>
    </row>
    <row r="38" spans="1:14" ht="16.899999999999999" customHeight="1" x14ac:dyDescent="0.3">
      <c r="A38" s="12"/>
      <c r="B38" s="12"/>
      <c r="C38" s="12"/>
      <c r="D38" s="66"/>
      <c r="E38" s="12"/>
      <c r="F38" s="12"/>
      <c r="G38" s="12"/>
      <c r="H38" s="12"/>
      <c r="I38" s="12"/>
      <c r="J38" s="12"/>
      <c r="K38" s="12"/>
      <c r="L38" s="12"/>
      <c r="M38" s="12"/>
      <c r="N38" s="12"/>
    </row>
    <row r="39" spans="1:14" ht="16.899999999999999" customHeight="1" x14ac:dyDescent="0.3">
      <c r="A39" s="73" t="s">
        <v>47</v>
      </c>
      <c r="B39" s="78" t="s">
        <v>1</v>
      </c>
      <c r="C39" s="11"/>
      <c r="D39" s="66"/>
      <c r="E39" s="9" t="s">
        <v>75</v>
      </c>
      <c r="F39" s="57" t="s">
        <v>40</v>
      </c>
      <c r="G39" s="17" t="s">
        <v>13</v>
      </c>
      <c r="H39" s="12"/>
      <c r="I39" s="12"/>
      <c r="J39" s="12"/>
      <c r="K39" s="12"/>
      <c r="L39" s="12"/>
      <c r="M39" s="12"/>
      <c r="N39" s="12"/>
    </row>
    <row r="40" spans="1:14" ht="16.899999999999999" customHeight="1" x14ac:dyDescent="0.3">
      <c r="A40" s="11" t="s">
        <v>43</v>
      </c>
      <c r="B40" s="79"/>
      <c r="C40" s="20"/>
      <c r="D40" s="66"/>
      <c r="E40" s="69" t="s">
        <v>14</v>
      </c>
      <c r="F40" s="64"/>
      <c r="G40" s="80">
        <f>F40/12</f>
        <v>0</v>
      </c>
      <c r="H40" s="12"/>
      <c r="I40" s="12"/>
      <c r="J40" s="12"/>
      <c r="K40" s="12"/>
      <c r="L40" s="12"/>
      <c r="M40" s="12"/>
      <c r="N40" s="12"/>
    </row>
    <row r="41" spans="1:14" ht="16.899999999999999" customHeight="1" x14ac:dyDescent="0.3">
      <c r="A41" s="20" t="s">
        <v>44</v>
      </c>
      <c r="B41" s="64"/>
      <c r="C41" s="20"/>
      <c r="D41" s="66"/>
      <c r="E41" s="11" t="s">
        <v>15</v>
      </c>
      <c r="F41" s="81"/>
      <c r="G41" s="82">
        <f t="shared" ref="G41:G52" si="0">F41/12</f>
        <v>0</v>
      </c>
      <c r="H41" s="12"/>
      <c r="I41" s="12"/>
      <c r="J41" s="12"/>
      <c r="K41" s="12"/>
      <c r="L41" s="12"/>
      <c r="M41" s="12"/>
      <c r="N41" s="12"/>
    </row>
    <row r="42" spans="1:14" ht="16.899999999999999" customHeight="1" x14ac:dyDescent="0.3">
      <c r="A42" s="20" t="s">
        <v>45</v>
      </c>
      <c r="B42" s="64"/>
      <c r="C42" s="20"/>
      <c r="D42" s="66"/>
      <c r="E42" s="20" t="s">
        <v>69</v>
      </c>
      <c r="F42" s="83"/>
      <c r="G42" s="84">
        <f t="shared" si="0"/>
        <v>0</v>
      </c>
      <c r="H42" s="12"/>
      <c r="I42" s="12"/>
      <c r="J42" s="12"/>
      <c r="K42" s="12"/>
      <c r="L42" s="12"/>
      <c r="M42" s="12"/>
      <c r="N42" s="12"/>
    </row>
    <row r="43" spans="1:14" ht="16.899999999999999" customHeight="1" x14ac:dyDescent="0.3">
      <c r="A43" s="20" t="s">
        <v>94</v>
      </c>
      <c r="B43" s="64"/>
      <c r="C43" s="20"/>
      <c r="D43" s="66"/>
      <c r="E43" s="20" t="s">
        <v>16</v>
      </c>
      <c r="F43" s="83"/>
      <c r="G43" s="84">
        <f t="shared" si="0"/>
        <v>0</v>
      </c>
      <c r="H43" s="12"/>
      <c r="I43" s="12"/>
      <c r="J43" s="12"/>
      <c r="K43" s="12"/>
      <c r="L43" s="12"/>
      <c r="M43" s="12"/>
      <c r="N43" s="12"/>
    </row>
    <row r="44" spans="1:14" ht="16.899999999999999" customHeight="1" x14ac:dyDescent="0.3">
      <c r="A44" s="20" t="s">
        <v>95</v>
      </c>
      <c r="B44" s="64"/>
      <c r="C44" s="20"/>
      <c r="D44" s="66"/>
      <c r="E44" s="20" t="s">
        <v>17</v>
      </c>
      <c r="F44" s="83"/>
      <c r="G44" s="84">
        <f t="shared" si="0"/>
        <v>0</v>
      </c>
      <c r="H44" s="12"/>
      <c r="I44" s="12"/>
      <c r="J44" s="12"/>
      <c r="K44" s="12"/>
      <c r="L44" s="12"/>
      <c r="M44" s="12"/>
      <c r="N44" s="12"/>
    </row>
    <row r="45" spans="1:14" ht="16.899999999999999" customHeight="1" x14ac:dyDescent="0.3">
      <c r="A45" s="20" t="s">
        <v>46</v>
      </c>
      <c r="B45" s="64"/>
      <c r="C45" s="20"/>
      <c r="D45" s="66"/>
      <c r="E45" s="20" t="s">
        <v>18</v>
      </c>
      <c r="F45" s="83"/>
      <c r="G45" s="84">
        <f t="shared" si="0"/>
        <v>0</v>
      </c>
      <c r="H45" s="12"/>
      <c r="I45" s="12"/>
      <c r="J45" s="12"/>
      <c r="K45" s="12"/>
      <c r="L45" s="12"/>
      <c r="M45" s="12"/>
      <c r="N45" s="12"/>
    </row>
    <row r="46" spans="1:14" ht="16.899999999999999" customHeight="1" x14ac:dyDescent="0.25">
      <c r="A46" s="42" t="s">
        <v>77</v>
      </c>
      <c r="B46" s="43"/>
      <c r="C46" s="20"/>
      <c r="D46" s="12"/>
      <c r="E46" s="20" t="s">
        <v>19</v>
      </c>
      <c r="F46" s="83"/>
      <c r="G46" s="84">
        <f t="shared" si="0"/>
        <v>0</v>
      </c>
      <c r="H46" s="12"/>
      <c r="I46" s="12"/>
      <c r="J46" s="12"/>
      <c r="K46" s="12"/>
      <c r="L46" s="12"/>
      <c r="M46" s="12"/>
      <c r="N46" s="12"/>
    </row>
    <row r="47" spans="1:14" ht="16.899999999999999" customHeight="1" x14ac:dyDescent="0.25">
      <c r="A47" s="69" t="s">
        <v>83</v>
      </c>
      <c r="B47" s="85">
        <f>SUM(B40:B46)</f>
        <v>0</v>
      </c>
      <c r="C47" s="20"/>
      <c r="D47" s="12"/>
      <c r="E47" s="20" t="s">
        <v>20</v>
      </c>
      <c r="F47" s="83"/>
      <c r="G47" s="84">
        <f t="shared" si="0"/>
        <v>0</v>
      </c>
      <c r="H47" s="12"/>
      <c r="I47" s="12"/>
      <c r="J47" s="12"/>
      <c r="K47" s="12"/>
      <c r="L47" s="12"/>
      <c r="M47" s="12"/>
      <c r="N47" s="12"/>
    </row>
    <row r="48" spans="1:14" ht="16.899999999999999" customHeight="1" x14ac:dyDescent="0.3">
      <c r="A48" s="86" t="s">
        <v>48</v>
      </c>
      <c r="B48" s="65">
        <f>B23-B30</f>
        <v>0</v>
      </c>
      <c r="C48" s="20"/>
      <c r="D48" s="12"/>
      <c r="E48" s="20" t="s">
        <v>21</v>
      </c>
      <c r="F48" s="83"/>
      <c r="G48" s="84">
        <f t="shared" si="0"/>
        <v>0</v>
      </c>
      <c r="H48" s="12"/>
      <c r="I48" s="12"/>
      <c r="J48" s="12"/>
      <c r="K48" s="12"/>
      <c r="L48" s="12"/>
      <c r="M48" s="12"/>
      <c r="N48" s="12"/>
    </row>
    <row r="49" spans="1:14" ht="16.899999999999999" customHeight="1" x14ac:dyDescent="0.25">
      <c r="A49" s="69" t="s">
        <v>49</v>
      </c>
      <c r="B49" s="87">
        <f>B47+B48</f>
        <v>0</v>
      </c>
      <c r="C49" s="20"/>
      <c r="D49" s="12"/>
      <c r="E49" s="20" t="s">
        <v>22</v>
      </c>
      <c r="F49" s="83"/>
      <c r="G49" s="84">
        <f t="shared" si="0"/>
        <v>0</v>
      </c>
      <c r="H49" s="12"/>
      <c r="I49" s="12"/>
      <c r="J49" s="12"/>
      <c r="K49" s="12"/>
      <c r="L49" s="12"/>
      <c r="M49" s="12"/>
      <c r="N49" s="12"/>
    </row>
    <row r="50" spans="1:14" ht="16.899999999999999" customHeight="1" x14ac:dyDescent="0.25">
      <c r="A50" s="69" t="s">
        <v>84</v>
      </c>
      <c r="B50" s="88">
        <f>B23+B47</f>
        <v>0</v>
      </c>
      <c r="C50" s="20"/>
      <c r="D50" s="12"/>
      <c r="E50" s="20" t="s">
        <v>23</v>
      </c>
      <c r="F50" s="83"/>
      <c r="G50" s="84">
        <f t="shared" si="0"/>
        <v>0</v>
      </c>
      <c r="H50" s="12"/>
      <c r="I50" s="12"/>
      <c r="J50" s="12"/>
      <c r="K50" s="12"/>
      <c r="L50" s="12"/>
      <c r="M50" s="12"/>
      <c r="N50" s="12"/>
    </row>
    <row r="51" spans="1:14" ht="16.899999999999999" customHeight="1" x14ac:dyDescent="0.25">
      <c r="A51" s="12"/>
      <c r="B51" s="12"/>
      <c r="C51" s="20"/>
      <c r="D51" s="12"/>
      <c r="E51" s="42" t="s">
        <v>24</v>
      </c>
      <c r="F51" s="83"/>
      <c r="G51" s="84">
        <f t="shared" si="0"/>
        <v>0</v>
      </c>
      <c r="H51" s="12"/>
      <c r="I51" s="12"/>
      <c r="J51" s="12"/>
      <c r="K51" s="12"/>
      <c r="L51" s="12"/>
      <c r="M51" s="12"/>
      <c r="N51" s="12"/>
    </row>
    <row r="52" spans="1:14" ht="16.899999999999999" customHeight="1" x14ac:dyDescent="0.25">
      <c r="A52" s="11" t="s">
        <v>85</v>
      </c>
      <c r="B52" s="89"/>
      <c r="C52" s="20"/>
      <c r="D52" s="12"/>
      <c r="E52" s="69" t="s">
        <v>25</v>
      </c>
      <c r="F52" s="90">
        <f>SUM(F40:F51)</f>
        <v>0</v>
      </c>
      <c r="G52" s="91">
        <f t="shared" si="0"/>
        <v>0</v>
      </c>
      <c r="H52" s="12"/>
      <c r="I52" s="12"/>
      <c r="J52" s="12"/>
      <c r="K52" s="12"/>
      <c r="L52" s="12"/>
      <c r="M52" s="12"/>
      <c r="N52" s="12"/>
    </row>
    <row r="53" spans="1:14" ht="16.899999999999999" customHeight="1" x14ac:dyDescent="0.25">
      <c r="A53" s="69" t="s">
        <v>93</v>
      </c>
      <c r="B53" s="92">
        <f>B52-B30</f>
        <v>0</v>
      </c>
      <c r="C53" s="20"/>
      <c r="D53" s="12"/>
      <c r="E53" s="12"/>
      <c r="F53" s="12"/>
      <c r="G53" s="12"/>
      <c r="H53" s="12"/>
      <c r="I53" s="12"/>
      <c r="J53" s="12"/>
      <c r="K53" s="12"/>
      <c r="L53" s="12"/>
      <c r="M53" s="12"/>
      <c r="N53" s="12"/>
    </row>
    <row r="54" spans="1:14" ht="16.899999999999999" customHeight="1" x14ac:dyDescent="0.25">
      <c r="A54" s="18"/>
      <c r="B54" s="31"/>
      <c r="C54" s="31"/>
      <c r="D54" s="12"/>
      <c r="E54" s="11" t="s">
        <v>27</v>
      </c>
      <c r="F54" s="92">
        <f>F37-F52</f>
        <v>0</v>
      </c>
      <c r="G54" s="82">
        <f>F54/12</f>
        <v>0</v>
      </c>
      <c r="H54" s="12"/>
      <c r="I54" s="12"/>
      <c r="J54" s="12"/>
      <c r="K54" s="12"/>
      <c r="L54" s="12"/>
      <c r="M54" s="12"/>
      <c r="N54" s="12"/>
    </row>
    <row r="55" spans="1:14" ht="16.899999999999999" customHeight="1" x14ac:dyDescent="0.25">
      <c r="A55" s="27"/>
      <c r="B55" s="50"/>
      <c r="C55" s="50"/>
      <c r="D55" s="12"/>
      <c r="E55" s="42" t="s">
        <v>79</v>
      </c>
      <c r="F55" s="93">
        <f>F37-C37</f>
        <v>0</v>
      </c>
      <c r="G55" s="65">
        <f>F55/12</f>
        <v>0</v>
      </c>
      <c r="H55" s="12"/>
      <c r="I55" s="12"/>
      <c r="J55" s="12"/>
      <c r="K55" s="12"/>
      <c r="L55" s="12"/>
      <c r="M55" s="12"/>
      <c r="N55" s="12"/>
    </row>
    <row r="56" spans="1:14" ht="16.899999999999999" customHeight="1" x14ac:dyDescent="0.25">
      <c r="A56" s="12"/>
      <c r="B56" s="12"/>
      <c r="C56" s="12"/>
      <c r="D56" s="12"/>
      <c r="E56" s="12"/>
      <c r="F56" s="12"/>
      <c r="G56" s="12"/>
      <c r="H56" s="12"/>
      <c r="I56" s="12"/>
      <c r="J56" s="12"/>
      <c r="K56" s="12"/>
      <c r="L56" s="12"/>
      <c r="M56" s="12"/>
      <c r="N56" s="12"/>
    </row>
    <row r="57" spans="1:14" ht="16.899999999999999" customHeight="1" x14ac:dyDescent="0.25">
      <c r="A57" s="12"/>
      <c r="B57" s="12"/>
      <c r="C57" s="12"/>
      <c r="D57" s="12"/>
      <c r="E57" s="12"/>
      <c r="F57" s="12"/>
      <c r="G57" s="12"/>
      <c r="H57" s="12"/>
      <c r="I57" s="12"/>
      <c r="J57" s="12"/>
      <c r="K57" s="12"/>
      <c r="L57" s="12"/>
      <c r="M57" s="12"/>
      <c r="N57" s="12"/>
    </row>
    <row r="58" spans="1:14" ht="16.899999999999999" customHeight="1" x14ac:dyDescent="0.25">
      <c r="A58" s="12"/>
      <c r="B58" s="12"/>
      <c r="C58" s="12"/>
      <c r="D58" s="12"/>
      <c r="E58" s="12"/>
      <c r="F58" s="12"/>
      <c r="G58" s="12"/>
      <c r="H58" s="12"/>
      <c r="I58" s="12"/>
      <c r="J58" s="12"/>
      <c r="K58" s="12"/>
      <c r="L58" s="12"/>
      <c r="M58" s="12"/>
      <c r="N58" s="12"/>
    </row>
    <row r="59" spans="1:14" ht="16.899999999999999" customHeight="1" x14ac:dyDescent="0.25">
      <c r="A59" s="12"/>
      <c r="B59" s="12"/>
      <c r="C59" s="12"/>
      <c r="D59" s="12"/>
      <c r="E59" s="12"/>
      <c r="F59" s="12"/>
      <c r="G59" s="12"/>
      <c r="H59" s="12"/>
      <c r="I59" s="12"/>
      <c r="J59" s="12"/>
      <c r="K59" s="12"/>
      <c r="L59" s="12"/>
      <c r="M59" s="12"/>
      <c r="N59" s="12"/>
    </row>
    <row r="60" spans="1:14" ht="16.899999999999999" customHeight="1" x14ac:dyDescent="0.25">
      <c r="A60" s="12"/>
      <c r="B60" s="12"/>
      <c r="C60" s="12"/>
      <c r="D60" s="12"/>
      <c r="E60" s="12"/>
      <c r="F60" s="12"/>
      <c r="G60" s="12"/>
      <c r="H60" s="12"/>
      <c r="I60" s="12"/>
      <c r="J60" s="12"/>
      <c r="K60" s="12"/>
      <c r="L60" s="12"/>
      <c r="M60" s="12"/>
      <c r="N60" s="12"/>
    </row>
    <row r="61" spans="1:14" ht="16.899999999999999" customHeight="1" x14ac:dyDescent="0.25">
      <c r="A61" s="12" t="s">
        <v>208</v>
      </c>
      <c r="B61" s="12"/>
      <c r="C61" s="12"/>
      <c r="D61" s="12"/>
      <c r="E61" s="12"/>
      <c r="F61" s="12"/>
      <c r="G61" s="12"/>
      <c r="H61" s="12"/>
      <c r="I61" s="12"/>
      <c r="J61" s="12"/>
      <c r="K61" s="12"/>
      <c r="L61" s="12"/>
      <c r="M61" s="12"/>
      <c r="N61" s="12"/>
    </row>
    <row r="62" spans="1:14" ht="16.899999999999999" customHeight="1" x14ac:dyDescent="0.25">
      <c r="A62" s="12" t="s">
        <v>209</v>
      </c>
      <c r="B62" s="12"/>
      <c r="C62" s="12"/>
      <c r="D62" s="12"/>
      <c r="E62" s="12"/>
      <c r="F62" s="12"/>
      <c r="G62" s="12"/>
      <c r="H62" s="12"/>
      <c r="I62" s="12"/>
      <c r="J62" s="12"/>
      <c r="K62" s="12"/>
      <c r="L62" s="12"/>
      <c r="M62" s="12"/>
      <c r="N62" s="12"/>
    </row>
    <row r="63" spans="1:14" ht="16.899999999999999" customHeight="1" x14ac:dyDescent="0.25">
      <c r="A63" s="12"/>
      <c r="B63" s="12"/>
      <c r="C63" s="12"/>
      <c r="D63" s="12"/>
      <c r="E63" s="12"/>
      <c r="F63" s="12"/>
      <c r="G63" s="12"/>
      <c r="H63" s="12"/>
      <c r="I63" s="12"/>
      <c r="J63" s="12"/>
      <c r="K63" s="12"/>
      <c r="L63" s="12"/>
      <c r="M63" s="12"/>
      <c r="N63" s="12"/>
    </row>
    <row r="64" spans="1:14" ht="16.899999999999999" customHeight="1" x14ac:dyDescent="0.25">
      <c r="A64" s="2"/>
      <c r="B64" s="2"/>
      <c r="C64" s="2"/>
      <c r="D64" s="2"/>
      <c r="E64" s="2"/>
      <c r="F64" s="2"/>
      <c r="G64" s="2"/>
      <c r="H64" s="2"/>
      <c r="I64" s="2"/>
      <c r="J64" s="2"/>
      <c r="K64" s="2"/>
      <c r="L64" s="2"/>
      <c r="M64" s="2"/>
      <c r="N64" s="2"/>
    </row>
    <row r="65" spans="1:14" ht="16.899999999999999" customHeight="1" x14ac:dyDescent="0.25">
      <c r="A65" s="2"/>
      <c r="B65" s="2"/>
      <c r="C65" s="2"/>
      <c r="D65" s="2"/>
      <c r="E65" s="2"/>
      <c r="F65" s="2"/>
      <c r="G65" s="2"/>
      <c r="H65" s="2"/>
      <c r="I65" s="2"/>
      <c r="J65" s="2"/>
      <c r="K65" s="2"/>
      <c r="L65" s="2"/>
      <c r="M65" s="2"/>
      <c r="N65" s="2"/>
    </row>
    <row r="66" spans="1:14" ht="16.899999999999999" customHeight="1" x14ac:dyDescent="0.25">
      <c r="A66" s="2"/>
      <c r="B66" s="2"/>
      <c r="C66" s="2"/>
      <c r="D66" s="2"/>
      <c r="E66" s="2"/>
      <c r="F66" s="2"/>
      <c r="G66" s="2"/>
      <c r="H66" s="2"/>
      <c r="I66" s="2"/>
      <c r="J66" s="2"/>
      <c r="K66" s="2"/>
      <c r="L66" s="2"/>
      <c r="M66" s="2"/>
      <c r="N66" s="2"/>
    </row>
    <row r="67" spans="1:14" ht="16.899999999999999" customHeight="1" x14ac:dyDescent="0.25">
      <c r="A67" s="2"/>
      <c r="B67" s="2"/>
      <c r="C67" s="2"/>
      <c r="D67" s="2"/>
      <c r="E67" s="2"/>
      <c r="F67" s="2"/>
      <c r="G67" s="2"/>
      <c r="H67" s="2"/>
      <c r="I67" s="2"/>
      <c r="J67" s="2"/>
      <c r="K67" s="2"/>
      <c r="L67" s="2"/>
      <c r="M67" s="2"/>
      <c r="N67" s="2"/>
    </row>
    <row r="68" spans="1:14" ht="16.899999999999999" customHeight="1" x14ac:dyDescent="0.25">
      <c r="A68" s="2"/>
      <c r="B68" s="2"/>
      <c r="C68" s="2"/>
      <c r="D68" s="2"/>
      <c r="E68" s="2"/>
      <c r="F68" s="2"/>
      <c r="G68" s="2"/>
      <c r="H68" s="2"/>
      <c r="I68" s="2"/>
      <c r="J68" s="2"/>
      <c r="K68" s="2"/>
      <c r="L68" s="2"/>
      <c r="M68" s="2"/>
      <c r="N68" s="2"/>
    </row>
  </sheetData>
  <sheetProtection algorithmName="SHA-512" hashValue="ns8I15iN1/idF5CQnuIvU3x/Xe2P9d4Jfdzr1m8cwoUb5VXSGihua3YMFuAZkKdkCyiL77b29u8waV4XGECGEw==" saltValue="4HsTuByzAhp2jcVFaHodmw==" spinCount="100000" sheet="1" objects="1" scenarios="1" selectLockedCells="1"/>
  <mergeCells count="3">
    <mergeCell ref="K22:L22"/>
    <mergeCell ref="K23:L23"/>
    <mergeCell ref="A16:G16"/>
  </mergeCells>
  <dataValidations count="5">
    <dataValidation allowBlank="1" showInputMessage="1" showErrorMessage="1" prompt="Enter as a percentage (e.g., 75 for 75%)" sqref="B26" xr:uid="{35FCC1C2-EE9F-411D-B79D-59E797B50AF7}"/>
    <dataValidation allowBlank="1" showInputMessage="1" showErrorMessage="1" prompt="Optional: Enter manually if not using LTV" sqref="B29" xr:uid="{10450378-5FA4-4B16-B3F6-8382A0831ED1}"/>
    <dataValidation allowBlank="1" showInputMessage="1" showErrorMessage="1" prompt="Enter annual interest rate (e.g., 6.5 for 6.5%)" sqref="B31" xr:uid="{DDF18DD5-88FD-46CE-8699-6D3B291FE8DD}"/>
    <dataValidation allowBlank="1" showInputMessage="1" showErrorMessage="1" prompt="Total loan term in years (e.g., 30)" sqref="B32" xr:uid="{907FCCBA-57D3-4581-97DD-9E5E934FC428}"/>
    <dataValidation allowBlank="1" showInputMessage="1" showErrorMessage="1" prompt="Enter the purchase price of the property_x000a_" sqref="B23 B52" xr:uid="{9B910469-0DC8-4EE2-9CCB-14BB3ADEE5FE}"/>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91B9-F2D7-4994-A901-EE5E794CDBDF}">
  <dimension ref="A1:N68"/>
  <sheetViews>
    <sheetView zoomScale="58" zoomScaleNormal="58" workbookViewId="0">
      <selection activeCell="A61" sqref="A61:A62"/>
    </sheetView>
  </sheetViews>
  <sheetFormatPr defaultColWidth="8.85546875" defaultRowHeight="16.899999999999999" customHeight="1" x14ac:dyDescent="0.25"/>
  <cols>
    <col min="1" max="1" width="67.85546875" style="1" customWidth="1"/>
    <col min="2" max="2" width="29.85546875" style="1" customWidth="1"/>
    <col min="3" max="3" width="28.140625" style="1" customWidth="1"/>
    <col min="4" max="4" width="18.140625" style="1" customWidth="1"/>
    <col min="5" max="5" width="54.7109375" style="1" customWidth="1"/>
    <col min="6" max="6" width="52.140625" style="1" bestFit="1" customWidth="1"/>
    <col min="7" max="7" width="15.7109375" style="1" bestFit="1" customWidth="1"/>
    <col min="8" max="8" width="21.7109375" style="1" customWidth="1"/>
    <col min="9" max="9" width="92.5703125" style="1" customWidth="1"/>
    <col min="10" max="10" width="43.7109375" style="1" bestFit="1" customWidth="1"/>
    <col min="11" max="11" width="79.5703125" style="1" customWidth="1"/>
    <col min="12" max="12" width="178.28515625" style="1" customWidth="1"/>
    <col min="13" max="13" width="35.7109375" style="1" bestFit="1" customWidth="1"/>
    <col min="14" max="14" width="59.85546875" style="1" customWidth="1"/>
    <col min="15" max="16384" width="8.85546875" style="1"/>
  </cols>
  <sheetData>
    <row r="1" spans="1:14" ht="16.899999999999999" customHeight="1" x14ac:dyDescent="0.25">
      <c r="A1" s="2"/>
      <c r="B1" s="2"/>
      <c r="C1" s="2"/>
      <c r="D1" s="2"/>
      <c r="E1" s="2"/>
      <c r="F1" s="2"/>
      <c r="G1" s="2"/>
      <c r="H1" s="2"/>
      <c r="I1" s="2"/>
      <c r="J1" s="2"/>
      <c r="K1" s="2"/>
      <c r="L1" s="2"/>
      <c r="M1" s="2"/>
      <c r="N1" s="2"/>
    </row>
    <row r="2" spans="1:14" ht="16.899999999999999" customHeight="1" x14ac:dyDescent="0.25">
      <c r="A2" s="2"/>
      <c r="B2" s="2"/>
      <c r="C2" s="2"/>
      <c r="D2" s="2"/>
      <c r="E2" s="2"/>
      <c r="F2" s="2"/>
      <c r="G2" s="2"/>
      <c r="H2" s="2"/>
      <c r="I2" s="2"/>
      <c r="J2" s="2"/>
      <c r="K2" s="2"/>
      <c r="L2" s="2"/>
      <c r="M2" s="2"/>
      <c r="N2" s="2"/>
    </row>
    <row r="3" spans="1:14" ht="16.899999999999999" customHeight="1" x14ac:dyDescent="0.25">
      <c r="A3" s="2"/>
      <c r="B3" s="2"/>
      <c r="C3" s="2"/>
      <c r="D3" s="2"/>
      <c r="E3" s="2"/>
      <c r="F3" s="2"/>
      <c r="G3" s="2"/>
      <c r="H3" s="2"/>
      <c r="I3" s="2"/>
      <c r="J3" s="2"/>
      <c r="K3" s="2"/>
      <c r="L3" s="2"/>
      <c r="M3" s="2"/>
      <c r="N3" s="2"/>
    </row>
    <row r="4" spans="1:14" ht="16.899999999999999" customHeight="1" x14ac:dyDescent="0.25">
      <c r="A4" s="2"/>
      <c r="B4" s="2"/>
      <c r="C4" s="2"/>
      <c r="D4" s="2"/>
      <c r="E4" s="2"/>
      <c r="F4" s="2"/>
      <c r="G4" s="2"/>
      <c r="H4" s="2"/>
      <c r="I4" s="2"/>
      <c r="J4" s="2"/>
      <c r="K4" s="2"/>
      <c r="L4" s="2"/>
      <c r="M4" s="2"/>
      <c r="N4" s="2"/>
    </row>
    <row r="5" spans="1:14" ht="16.899999999999999" customHeight="1" x14ac:dyDescent="0.25">
      <c r="A5" s="2"/>
      <c r="B5" s="2"/>
      <c r="C5" s="2"/>
      <c r="D5" s="2"/>
      <c r="E5" s="2"/>
      <c r="F5" s="2"/>
      <c r="G5" s="2"/>
      <c r="H5" s="2"/>
      <c r="I5" s="2"/>
      <c r="J5" s="2"/>
      <c r="K5" s="2"/>
      <c r="L5" s="2"/>
      <c r="M5" s="2"/>
      <c r="N5" s="2"/>
    </row>
    <row r="6" spans="1:14" ht="16.899999999999999" customHeight="1" x14ac:dyDescent="0.25">
      <c r="A6" s="2"/>
      <c r="B6" s="2"/>
      <c r="C6" s="2"/>
      <c r="D6" s="2"/>
      <c r="E6" s="2"/>
      <c r="F6" s="2"/>
      <c r="G6" s="2"/>
      <c r="H6" s="2"/>
      <c r="I6" s="2"/>
      <c r="J6" s="2"/>
      <c r="K6" s="2"/>
      <c r="L6" s="2"/>
      <c r="M6" s="2"/>
      <c r="N6" s="2"/>
    </row>
    <row r="7" spans="1:14" ht="16.899999999999999" customHeight="1" x14ac:dyDescent="0.25">
      <c r="A7" s="2"/>
      <c r="B7" s="2"/>
      <c r="C7" s="2"/>
      <c r="D7" s="2"/>
      <c r="E7" s="2"/>
      <c r="F7" s="2"/>
      <c r="G7" s="2"/>
      <c r="H7" s="2"/>
      <c r="I7" s="2"/>
      <c r="J7" s="2"/>
      <c r="K7" s="2"/>
      <c r="L7" s="2"/>
      <c r="M7" s="2"/>
      <c r="N7" s="2"/>
    </row>
    <row r="8" spans="1:14" ht="16.899999999999999" customHeight="1" x14ac:dyDescent="0.25">
      <c r="A8" s="2"/>
      <c r="B8" s="2"/>
      <c r="C8" s="2"/>
      <c r="D8" s="2"/>
      <c r="E8" s="2"/>
      <c r="F8" s="2"/>
      <c r="G8" s="2"/>
      <c r="H8" s="2"/>
      <c r="I8" s="2"/>
      <c r="J8" s="2"/>
      <c r="K8" s="2"/>
      <c r="L8" s="2"/>
      <c r="M8" s="2"/>
      <c r="N8" s="2"/>
    </row>
    <row r="9" spans="1:14" ht="16.899999999999999" customHeight="1" x14ac:dyDescent="0.25">
      <c r="A9" s="2"/>
      <c r="B9" s="2"/>
      <c r="C9" s="2"/>
      <c r="D9" s="2"/>
      <c r="E9" s="2"/>
      <c r="F9" s="2"/>
      <c r="G9" s="2"/>
      <c r="H9" s="2"/>
      <c r="I9" s="2"/>
      <c r="J9" s="2"/>
      <c r="K9" s="2"/>
      <c r="L9" s="2"/>
      <c r="M9" s="2"/>
      <c r="N9" s="2"/>
    </row>
    <row r="10" spans="1:14" ht="16.899999999999999" customHeight="1" x14ac:dyDescent="0.25">
      <c r="A10" s="2"/>
      <c r="B10" s="2"/>
      <c r="C10" s="2"/>
      <c r="D10" s="2"/>
      <c r="E10" s="2"/>
      <c r="F10" s="2"/>
      <c r="G10" s="2"/>
      <c r="H10" s="2"/>
      <c r="I10" s="2"/>
      <c r="J10" s="2"/>
      <c r="K10" s="2"/>
      <c r="L10" s="2"/>
      <c r="M10" s="2"/>
      <c r="N10" s="2"/>
    </row>
    <row r="11" spans="1:14" ht="16.899999999999999" customHeight="1" x14ac:dyDescent="0.25">
      <c r="A11" s="2"/>
      <c r="B11" s="2"/>
      <c r="C11" s="2"/>
      <c r="D11" s="2"/>
      <c r="E11" s="2"/>
      <c r="F11" s="2"/>
      <c r="G11" s="2"/>
      <c r="H11" s="2"/>
      <c r="I11" s="2"/>
      <c r="J11" s="2"/>
      <c r="K11" s="2"/>
      <c r="L11" s="2"/>
      <c r="M11" s="2"/>
      <c r="N11" s="2"/>
    </row>
    <row r="12" spans="1:14" ht="16.899999999999999" customHeight="1" x14ac:dyDescent="0.25">
      <c r="A12" s="2"/>
      <c r="B12" s="2"/>
      <c r="C12" s="2"/>
      <c r="D12" s="2"/>
      <c r="E12" s="2"/>
      <c r="F12" s="2"/>
      <c r="G12" s="2"/>
      <c r="H12" s="2"/>
      <c r="I12" s="2"/>
      <c r="J12" s="2"/>
      <c r="K12" s="2"/>
      <c r="L12" s="2"/>
      <c r="M12" s="2"/>
      <c r="N12" s="2"/>
    </row>
    <row r="13" spans="1:14" ht="16.899999999999999" customHeight="1" x14ac:dyDescent="0.25">
      <c r="A13" s="2"/>
      <c r="B13" s="2"/>
      <c r="C13" s="2"/>
      <c r="D13" s="2"/>
      <c r="E13" s="2"/>
      <c r="F13" s="2"/>
      <c r="G13" s="2"/>
      <c r="H13" s="2"/>
      <c r="I13" s="2"/>
      <c r="J13" s="2"/>
      <c r="K13" s="2"/>
      <c r="L13" s="2"/>
      <c r="M13" s="2"/>
      <c r="N13" s="2"/>
    </row>
    <row r="14" spans="1:14" ht="29.65" customHeight="1" x14ac:dyDescent="0.3">
      <c r="A14" s="4" t="s">
        <v>92</v>
      </c>
      <c r="B14" s="2"/>
      <c r="C14" s="2"/>
      <c r="D14" s="2"/>
      <c r="E14" s="2"/>
      <c r="F14" s="2"/>
      <c r="G14" s="2"/>
      <c r="H14" s="2"/>
      <c r="I14" s="2"/>
      <c r="J14" s="2"/>
      <c r="K14" s="2"/>
      <c r="L14" s="2"/>
      <c r="M14" s="2"/>
      <c r="N14" s="2"/>
    </row>
    <row r="15" spans="1:14" ht="16.899999999999999" customHeight="1" x14ac:dyDescent="0.3">
      <c r="A15" s="5"/>
      <c r="B15" s="2"/>
      <c r="C15" s="2"/>
      <c r="D15" s="2"/>
      <c r="E15" s="2"/>
      <c r="F15" s="2"/>
      <c r="G15" s="2"/>
      <c r="H15" s="2"/>
      <c r="I15" s="2"/>
      <c r="J15" s="2"/>
      <c r="K15" s="2"/>
      <c r="L15" s="2"/>
      <c r="M15" s="2"/>
      <c r="N15" s="2"/>
    </row>
    <row r="16" spans="1:14" ht="30.6" customHeight="1" x14ac:dyDescent="0.4">
      <c r="A16" s="126" t="s">
        <v>199</v>
      </c>
      <c r="B16" s="127"/>
      <c r="C16" s="127"/>
      <c r="D16" s="127"/>
      <c r="E16" s="127"/>
      <c r="F16" s="127"/>
      <c r="G16" s="127"/>
      <c r="H16" s="8"/>
      <c r="I16" s="7"/>
      <c r="J16" s="7"/>
      <c r="K16" s="7"/>
      <c r="L16" s="6"/>
      <c r="M16" s="2"/>
      <c r="N16" s="2"/>
    </row>
    <row r="17" spans="1:14" ht="30.6" customHeight="1" x14ac:dyDescent="0.5">
      <c r="A17" s="3"/>
      <c r="B17" s="3"/>
      <c r="C17" s="3"/>
      <c r="D17" s="3"/>
      <c r="E17" s="3"/>
      <c r="F17" s="3"/>
      <c r="G17" s="2"/>
      <c r="H17" s="3"/>
      <c r="I17" s="2"/>
      <c r="J17" s="2"/>
      <c r="K17" s="2"/>
      <c r="L17" s="2"/>
      <c r="M17" s="2"/>
      <c r="N17" s="2"/>
    </row>
    <row r="18" spans="1:14" ht="16.899999999999999" customHeight="1" x14ac:dyDescent="0.55000000000000004">
      <c r="A18" s="9" t="s">
        <v>0</v>
      </c>
      <c r="B18" s="10" t="s">
        <v>1</v>
      </c>
      <c r="C18" s="11"/>
      <c r="D18" s="12"/>
      <c r="E18" s="13" t="s">
        <v>73</v>
      </c>
      <c r="F18" s="14" t="s">
        <v>1</v>
      </c>
      <c r="G18" s="15"/>
      <c r="H18" s="12"/>
      <c r="I18" s="9" t="s">
        <v>26</v>
      </c>
      <c r="J18" s="9" t="s">
        <v>10</v>
      </c>
      <c r="K18" s="16"/>
      <c r="L18" s="17"/>
      <c r="M18" s="12"/>
      <c r="N18" s="12"/>
    </row>
    <row r="19" spans="1:14" ht="16.899999999999999" customHeight="1" x14ac:dyDescent="0.35">
      <c r="A19" s="18" t="s">
        <v>2</v>
      </c>
      <c r="B19" s="19" t="s">
        <v>205</v>
      </c>
      <c r="C19" s="20"/>
      <c r="D19" s="12"/>
      <c r="E19" s="21" t="s">
        <v>4</v>
      </c>
      <c r="F19" s="22" t="s">
        <v>5</v>
      </c>
      <c r="G19" s="22" t="s">
        <v>38</v>
      </c>
      <c r="H19" s="12"/>
      <c r="I19" s="23" t="s">
        <v>28</v>
      </c>
      <c r="J19" s="24">
        <f>F54/B23</f>
        <v>8.2799999999999999E-2</v>
      </c>
      <c r="K19" s="25" t="s">
        <v>54</v>
      </c>
      <c r="L19" s="26"/>
      <c r="M19" s="12"/>
      <c r="N19" s="12"/>
    </row>
    <row r="20" spans="1:14" ht="16.899999999999999" customHeight="1" x14ac:dyDescent="0.35">
      <c r="A20" s="27" t="s">
        <v>3</v>
      </c>
      <c r="B20" s="28">
        <v>1</v>
      </c>
      <c r="C20" s="20"/>
      <c r="D20" s="12"/>
      <c r="E20" s="29">
        <v>1</v>
      </c>
      <c r="F20" s="30">
        <v>4000</v>
      </c>
      <c r="G20" s="31"/>
      <c r="H20" s="12"/>
      <c r="I20" s="32" t="s">
        <v>29</v>
      </c>
      <c r="J20" s="33">
        <f>F55/B49</f>
        <v>9.6874309852834628E-2</v>
      </c>
      <c r="K20" s="34" t="s">
        <v>55</v>
      </c>
      <c r="L20" s="35"/>
      <c r="M20" s="12"/>
      <c r="N20" s="12"/>
    </row>
    <row r="21" spans="1:14" ht="16.899999999999999" customHeight="1" x14ac:dyDescent="0.25">
      <c r="A21" s="12"/>
      <c r="B21" s="12"/>
      <c r="C21" s="20"/>
      <c r="D21" s="12"/>
      <c r="E21" s="36">
        <v>2</v>
      </c>
      <c r="F21" s="37"/>
      <c r="G21" s="38"/>
      <c r="H21" s="12"/>
      <c r="I21" s="12"/>
      <c r="J21" s="12"/>
      <c r="K21" s="12"/>
      <c r="L21" s="12"/>
      <c r="M21" s="12"/>
      <c r="N21" s="12"/>
    </row>
    <row r="22" spans="1:14" ht="16.899999999999999" customHeight="1" x14ac:dyDescent="0.3">
      <c r="A22" s="39" t="s">
        <v>71</v>
      </c>
      <c r="B22" s="40" t="s">
        <v>1</v>
      </c>
      <c r="C22" s="20"/>
      <c r="D22" s="12"/>
      <c r="E22" s="36">
        <v>3</v>
      </c>
      <c r="F22" s="37"/>
      <c r="G22" s="38"/>
      <c r="H22" s="12"/>
      <c r="I22" s="11" t="s">
        <v>81</v>
      </c>
      <c r="J22" s="41">
        <f>F28/B36</f>
        <v>1.8637556675155607</v>
      </c>
      <c r="K22" s="122" t="s">
        <v>36</v>
      </c>
      <c r="L22" s="123"/>
      <c r="M22" s="12"/>
      <c r="N22" s="12"/>
    </row>
    <row r="23" spans="1:14" ht="16.899999999999999" customHeight="1" x14ac:dyDescent="0.3">
      <c r="A23" s="42" t="s">
        <v>6</v>
      </c>
      <c r="B23" s="43">
        <v>400000</v>
      </c>
      <c r="C23" s="20"/>
      <c r="D23" s="12"/>
      <c r="E23" s="36">
        <v>4</v>
      </c>
      <c r="F23" s="37"/>
      <c r="G23" s="38"/>
      <c r="H23" s="12"/>
      <c r="I23" s="42" t="s">
        <v>80</v>
      </c>
      <c r="J23" s="44">
        <f>F37/12/B37</f>
        <v>1.2982510584546891</v>
      </c>
      <c r="K23" s="124" t="s">
        <v>37</v>
      </c>
      <c r="L23" s="125"/>
      <c r="M23" s="12"/>
      <c r="N23" s="12"/>
    </row>
    <row r="24" spans="1:14" ht="16.899999999999999" customHeight="1" x14ac:dyDescent="0.25">
      <c r="A24" s="45"/>
      <c r="B24" s="12"/>
      <c r="C24" s="20"/>
      <c r="D24" s="12"/>
      <c r="E24" s="36">
        <v>5</v>
      </c>
      <c r="F24" s="37"/>
      <c r="G24" s="38"/>
      <c r="H24" s="12"/>
      <c r="I24" s="12"/>
      <c r="J24" s="46"/>
      <c r="K24" s="47"/>
      <c r="L24" s="12"/>
      <c r="M24" s="12"/>
      <c r="N24" s="12"/>
    </row>
    <row r="25" spans="1:14" ht="16.899999999999999" customHeight="1" x14ac:dyDescent="0.3">
      <c r="A25" s="39" t="s">
        <v>72</v>
      </c>
      <c r="B25" s="40" t="s">
        <v>1</v>
      </c>
      <c r="C25" s="20"/>
      <c r="D25" s="12"/>
      <c r="E25" s="48">
        <v>6</v>
      </c>
      <c r="F25" s="49"/>
      <c r="G25" s="50"/>
      <c r="H25" s="12"/>
      <c r="I25" s="51"/>
      <c r="J25" s="51"/>
      <c r="K25" s="51"/>
      <c r="L25" s="12"/>
      <c r="M25" s="12"/>
      <c r="N25" s="12"/>
    </row>
    <row r="26" spans="1:14" ht="16.899999999999999" customHeight="1" x14ac:dyDescent="0.25">
      <c r="A26" s="20" t="s">
        <v>30</v>
      </c>
      <c r="B26" s="52">
        <v>75</v>
      </c>
      <c r="C26" s="20"/>
      <c r="D26" s="12"/>
      <c r="E26" s="46"/>
      <c r="F26" s="46"/>
      <c r="G26" s="12"/>
      <c r="H26" s="12"/>
      <c r="I26" s="53" t="s">
        <v>82</v>
      </c>
      <c r="J26" s="54">
        <f>F54/B30</f>
        <v>0.1104</v>
      </c>
      <c r="K26" s="53" t="s">
        <v>56</v>
      </c>
      <c r="L26" s="55"/>
      <c r="M26" s="12"/>
      <c r="N26" s="12"/>
    </row>
    <row r="27" spans="1:14" ht="16.899999999999999" customHeight="1" x14ac:dyDescent="0.25">
      <c r="A27" s="20" t="s">
        <v>68</v>
      </c>
      <c r="B27" s="56">
        <f>B23-B30</f>
        <v>100000</v>
      </c>
      <c r="C27" s="20"/>
      <c r="D27" s="12"/>
      <c r="E27" s="9" t="s">
        <v>9</v>
      </c>
      <c r="F27" s="57" t="s">
        <v>10</v>
      </c>
      <c r="G27" s="11"/>
      <c r="H27" s="12"/>
      <c r="I27" s="58" t="s">
        <v>50</v>
      </c>
      <c r="J27" s="59">
        <f>C37/F37</f>
        <v>0.77026704002098167</v>
      </c>
      <c r="K27" s="58" t="s">
        <v>57</v>
      </c>
      <c r="L27" s="60" t="s">
        <v>58</v>
      </c>
      <c r="M27" s="12"/>
      <c r="N27" s="12"/>
    </row>
    <row r="28" spans="1:14" ht="16.899999999999999" customHeight="1" x14ac:dyDescent="0.25">
      <c r="A28" s="20" t="s">
        <v>31</v>
      </c>
      <c r="B28" s="61">
        <f>IF(B26&lt;&gt;"", B23*B26/100, "")</f>
        <v>300000</v>
      </c>
      <c r="C28" s="20"/>
      <c r="D28" s="12"/>
      <c r="E28" s="11" t="s">
        <v>11</v>
      </c>
      <c r="F28" s="62">
        <f>SUM(F20:F26)</f>
        <v>4000</v>
      </c>
      <c r="G28" s="20"/>
      <c r="H28" s="12"/>
      <c r="I28" s="58" t="s">
        <v>51</v>
      </c>
      <c r="J28" s="63">
        <f>B23/F29</f>
        <v>8.3333333333333339</v>
      </c>
      <c r="K28" s="58" t="s">
        <v>59</v>
      </c>
      <c r="L28" s="60" t="s">
        <v>60</v>
      </c>
      <c r="M28" s="12"/>
      <c r="N28" s="12"/>
    </row>
    <row r="29" spans="1:14" ht="16.899999999999999" customHeight="1" x14ac:dyDescent="0.25">
      <c r="A29" s="20" t="s">
        <v>32</v>
      </c>
      <c r="B29" s="64">
        <v>10000</v>
      </c>
      <c r="C29" s="20"/>
      <c r="D29" s="12"/>
      <c r="E29" s="42" t="s">
        <v>41</v>
      </c>
      <c r="F29" s="65">
        <f>F28*12</f>
        <v>48000</v>
      </c>
      <c r="G29" s="42"/>
      <c r="H29" s="12"/>
      <c r="I29" s="58" t="s">
        <v>52</v>
      </c>
      <c r="J29" s="59">
        <f>F52/F37</f>
        <v>0.26595744680851063</v>
      </c>
      <c r="K29" s="58" t="s">
        <v>61</v>
      </c>
      <c r="L29" s="60" t="s">
        <v>62</v>
      </c>
      <c r="M29" s="12"/>
      <c r="N29" s="12"/>
    </row>
    <row r="30" spans="1:14" ht="16.899999999999999" customHeight="1" x14ac:dyDescent="0.25">
      <c r="A30" s="20" t="s">
        <v>33</v>
      </c>
      <c r="B30" s="61">
        <f>IF(B28="", B29, B28)</f>
        <v>300000</v>
      </c>
      <c r="C30" s="20"/>
      <c r="D30" s="12"/>
      <c r="E30" s="12"/>
      <c r="F30" s="12"/>
      <c r="G30" s="12"/>
      <c r="H30" s="12"/>
      <c r="I30" s="58" t="s">
        <v>63</v>
      </c>
      <c r="J30" s="59">
        <f>B30/B50</f>
        <v>0.73710073710073709</v>
      </c>
      <c r="K30" s="58" t="s">
        <v>64</v>
      </c>
      <c r="L30" s="60" t="s">
        <v>65</v>
      </c>
      <c r="M30" s="12"/>
      <c r="N30" s="12"/>
    </row>
    <row r="31" spans="1:14" ht="16.899999999999999" customHeight="1" x14ac:dyDescent="0.3">
      <c r="A31" s="20" t="s">
        <v>7</v>
      </c>
      <c r="B31" s="52">
        <v>6.5</v>
      </c>
      <c r="C31" s="20"/>
      <c r="D31" s="66"/>
      <c r="E31" s="12"/>
      <c r="F31" s="12"/>
      <c r="G31" s="12"/>
      <c r="H31" s="12"/>
      <c r="I31" s="58" t="s">
        <v>53</v>
      </c>
      <c r="J31" s="67">
        <f>F55/B53</f>
        <v>5.1827755771266526E-2</v>
      </c>
      <c r="K31" s="58" t="s">
        <v>66</v>
      </c>
      <c r="L31" s="60" t="s">
        <v>67</v>
      </c>
      <c r="M31" s="12"/>
      <c r="N31" s="12"/>
    </row>
    <row r="32" spans="1:14" ht="16.899999999999999" customHeight="1" x14ac:dyDescent="0.25">
      <c r="A32" s="42" t="s">
        <v>8</v>
      </c>
      <c r="B32" s="68">
        <v>30</v>
      </c>
      <c r="C32" s="42"/>
      <c r="D32" s="12"/>
      <c r="E32" s="9" t="s">
        <v>39</v>
      </c>
      <c r="F32" s="57" t="s">
        <v>10</v>
      </c>
      <c r="G32" s="69"/>
      <c r="H32" s="12"/>
      <c r="I32" s="42" t="s">
        <v>86</v>
      </c>
      <c r="J32" s="70">
        <f>B53/B52</f>
        <v>0.4</v>
      </c>
      <c r="K32" s="42" t="s">
        <v>87</v>
      </c>
      <c r="L32" s="50" t="s">
        <v>88</v>
      </c>
      <c r="M32" s="12"/>
      <c r="N32" s="12"/>
    </row>
    <row r="33" spans="1:14" ht="16.899999999999999" customHeight="1" x14ac:dyDescent="0.25">
      <c r="A33" s="12"/>
      <c r="B33" s="12"/>
      <c r="C33" s="12"/>
      <c r="D33" s="12"/>
      <c r="E33" s="71" t="s">
        <v>89</v>
      </c>
      <c r="F33" s="72">
        <v>0.01</v>
      </c>
      <c r="G33" s="20"/>
      <c r="H33" s="12"/>
      <c r="I33" s="12"/>
      <c r="J33" s="12"/>
      <c r="K33" s="12"/>
      <c r="L33" s="12"/>
      <c r="M33" s="12"/>
      <c r="N33" s="12"/>
    </row>
    <row r="34" spans="1:14" ht="16.899999999999999" customHeight="1" x14ac:dyDescent="0.3">
      <c r="A34" s="73" t="s">
        <v>74</v>
      </c>
      <c r="B34" s="114" t="s">
        <v>78</v>
      </c>
      <c r="C34" s="69" t="s">
        <v>76</v>
      </c>
      <c r="D34" s="12"/>
      <c r="E34" s="20" t="s">
        <v>12</v>
      </c>
      <c r="F34" s="74">
        <v>0.05</v>
      </c>
      <c r="G34" s="20"/>
      <c r="H34" s="12"/>
      <c r="I34" s="12"/>
      <c r="J34" s="12"/>
      <c r="K34" s="12"/>
      <c r="L34" s="12"/>
      <c r="M34" s="12"/>
      <c r="N34" s="12"/>
    </row>
    <row r="35" spans="1:14" ht="16.899999999999999" customHeight="1" x14ac:dyDescent="0.3">
      <c r="A35" s="11" t="s">
        <v>34</v>
      </c>
      <c r="B35" s="117">
        <f>IF(B32&gt;0, PMT(B31/100/12, B32*12, -B30), "")</f>
        <v>1896.2040704788913</v>
      </c>
      <c r="C35" s="115">
        <f>B35*12</f>
        <v>22754.448845746694</v>
      </c>
      <c r="D35" s="66"/>
      <c r="E35" s="20" t="s">
        <v>91</v>
      </c>
      <c r="F35" s="75">
        <f>F33+F34</f>
        <v>6.0000000000000005E-2</v>
      </c>
      <c r="G35" s="20"/>
      <c r="H35" s="12"/>
      <c r="I35" s="12"/>
      <c r="J35" s="12"/>
      <c r="K35" s="12"/>
      <c r="L35" s="12"/>
      <c r="M35" s="12"/>
      <c r="N35" s="12"/>
    </row>
    <row r="36" spans="1:14" ht="16.899999999999999" customHeight="1" x14ac:dyDescent="0.3">
      <c r="A36" s="20" t="s">
        <v>35</v>
      </c>
      <c r="B36" s="118">
        <f>B35+G40+G41+G42</f>
        <v>2146.2040704788915</v>
      </c>
      <c r="C36" s="115">
        <f>B36*12</f>
        <v>25754.448845746698</v>
      </c>
      <c r="D36" s="66"/>
      <c r="E36" s="20" t="s">
        <v>90</v>
      </c>
      <c r="F36" s="76">
        <f>F29*F35</f>
        <v>2880</v>
      </c>
      <c r="G36" s="20"/>
      <c r="H36" s="12"/>
      <c r="I36" s="12"/>
      <c r="J36" s="12"/>
      <c r="K36" s="12"/>
      <c r="L36" s="12"/>
      <c r="M36" s="12"/>
      <c r="N36" s="12"/>
    </row>
    <row r="37" spans="1:14" ht="16.899999999999999" customHeight="1" x14ac:dyDescent="0.3">
      <c r="A37" s="42" t="s">
        <v>70</v>
      </c>
      <c r="B37" s="119">
        <f>B35+G52</f>
        <v>2896.2040704788915</v>
      </c>
      <c r="C37" s="116">
        <f>B37*12</f>
        <v>34754.448845746694</v>
      </c>
      <c r="D37" s="66"/>
      <c r="E37" s="42" t="s">
        <v>42</v>
      </c>
      <c r="F37" s="77">
        <f>F29-F36</f>
        <v>45120</v>
      </c>
      <c r="G37" s="42"/>
      <c r="H37" s="12"/>
      <c r="I37" s="12"/>
      <c r="J37" s="12"/>
      <c r="K37" s="12"/>
      <c r="L37" s="12"/>
      <c r="M37" s="12"/>
      <c r="N37" s="12"/>
    </row>
    <row r="38" spans="1:14" ht="16.899999999999999" customHeight="1" x14ac:dyDescent="0.3">
      <c r="A38" s="12"/>
      <c r="B38" s="12"/>
      <c r="C38" s="12"/>
      <c r="D38" s="66"/>
      <c r="E38" s="12"/>
      <c r="F38" s="12"/>
      <c r="G38" s="12"/>
      <c r="H38" s="12"/>
      <c r="I38" s="12"/>
      <c r="J38" s="12"/>
      <c r="K38" s="12"/>
      <c r="L38" s="12"/>
      <c r="M38" s="12"/>
      <c r="N38" s="12"/>
    </row>
    <row r="39" spans="1:14" ht="16.899999999999999" customHeight="1" x14ac:dyDescent="0.3">
      <c r="A39" s="73" t="s">
        <v>47</v>
      </c>
      <c r="B39" s="78" t="s">
        <v>1</v>
      </c>
      <c r="C39" s="11"/>
      <c r="D39" s="66"/>
      <c r="E39" s="9" t="s">
        <v>75</v>
      </c>
      <c r="F39" s="57" t="s">
        <v>40</v>
      </c>
      <c r="G39" s="17" t="s">
        <v>13</v>
      </c>
      <c r="H39" s="12"/>
      <c r="I39" s="12"/>
      <c r="J39" s="12"/>
      <c r="K39" s="12"/>
      <c r="L39" s="12"/>
      <c r="M39" s="12"/>
      <c r="N39" s="12"/>
    </row>
    <row r="40" spans="1:14" ht="16.899999999999999" customHeight="1" x14ac:dyDescent="0.3">
      <c r="A40" s="11" t="s">
        <v>43</v>
      </c>
      <c r="B40" s="79">
        <v>1000</v>
      </c>
      <c r="C40" s="20"/>
      <c r="D40" s="66"/>
      <c r="E40" s="69" t="s">
        <v>14</v>
      </c>
      <c r="F40" s="64">
        <v>1000</v>
      </c>
      <c r="G40" s="80">
        <f>F40/12</f>
        <v>83.333333333333329</v>
      </c>
      <c r="H40" s="12"/>
      <c r="I40" s="12"/>
      <c r="J40" s="12"/>
      <c r="K40" s="12"/>
      <c r="L40" s="12"/>
      <c r="M40" s="12"/>
      <c r="N40" s="12"/>
    </row>
    <row r="41" spans="1:14" ht="16.899999999999999" customHeight="1" x14ac:dyDescent="0.3">
      <c r="A41" s="20" t="s">
        <v>44</v>
      </c>
      <c r="B41" s="64">
        <v>1000</v>
      </c>
      <c r="C41" s="20"/>
      <c r="D41" s="66"/>
      <c r="E41" s="11" t="s">
        <v>15</v>
      </c>
      <c r="F41" s="81">
        <v>1000</v>
      </c>
      <c r="G41" s="82">
        <f t="shared" ref="G41:G52" si="0">F41/12</f>
        <v>83.333333333333329</v>
      </c>
      <c r="H41" s="12"/>
      <c r="I41" s="12"/>
      <c r="J41" s="12"/>
      <c r="K41" s="12"/>
      <c r="L41" s="12"/>
      <c r="M41" s="12"/>
      <c r="N41" s="12"/>
    </row>
    <row r="42" spans="1:14" ht="16.899999999999999" customHeight="1" x14ac:dyDescent="0.3">
      <c r="A42" s="20" t="s">
        <v>45</v>
      </c>
      <c r="B42" s="64">
        <v>1000</v>
      </c>
      <c r="C42" s="20"/>
      <c r="D42" s="66"/>
      <c r="E42" s="20" t="s">
        <v>69</v>
      </c>
      <c r="F42" s="83">
        <v>1000</v>
      </c>
      <c r="G42" s="84">
        <f t="shared" si="0"/>
        <v>83.333333333333329</v>
      </c>
      <c r="H42" s="12"/>
      <c r="I42" s="12"/>
      <c r="J42" s="12"/>
      <c r="K42" s="12"/>
      <c r="L42" s="12"/>
      <c r="M42" s="12"/>
      <c r="N42" s="12"/>
    </row>
    <row r="43" spans="1:14" ht="16.899999999999999" customHeight="1" x14ac:dyDescent="0.3">
      <c r="A43" s="20" t="s">
        <v>94</v>
      </c>
      <c r="B43" s="64">
        <v>1000</v>
      </c>
      <c r="C43" s="20"/>
      <c r="D43" s="66"/>
      <c r="E43" s="20" t="s">
        <v>16</v>
      </c>
      <c r="F43" s="83">
        <v>1000</v>
      </c>
      <c r="G43" s="84">
        <f t="shared" si="0"/>
        <v>83.333333333333329</v>
      </c>
      <c r="H43" s="12"/>
      <c r="I43" s="12"/>
      <c r="J43" s="12"/>
      <c r="K43" s="12"/>
      <c r="L43" s="12"/>
      <c r="M43" s="12"/>
      <c r="N43" s="12"/>
    </row>
    <row r="44" spans="1:14" ht="16.899999999999999" customHeight="1" x14ac:dyDescent="0.3">
      <c r="A44" s="20" t="s">
        <v>95</v>
      </c>
      <c r="B44" s="64">
        <v>1000</v>
      </c>
      <c r="C44" s="20"/>
      <c r="D44" s="66"/>
      <c r="E44" s="20" t="s">
        <v>17</v>
      </c>
      <c r="F44" s="83">
        <v>1000</v>
      </c>
      <c r="G44" s="84">
        <f t="shared" si="0"/>
        <v>83.333333333333329</v>
      </c>
      <c r="H44" s="12"/>
      <c r="I44" s="12"/>
      <c r="J44" s="12"/>
      <c r="K44" s="12"/>
      <c r="L44" s="12"/>
      <c r="M44" s="12"/>
      <c r="N44" s="12"/>
    </row>
    <row r="45" spans="1:14" ht="16.899999999999999" customHeight="1" x14ac:dyDescent="0.3">
      <c r="A45" s="20" t="s">
        <v>46</v>
      </c>
      <c r="B45" s="64">
        <v>1000</v>
      </c>
      <c r="C45" s="20"/>
      <c r="D45" s="66"/>
      <c r="E45" s="20" t="s">
        <v>18</v>
      </c>
      <c r="F45" s="83">
        <v>1000</v>
      </c>
      <c r="G45" s="84">
        <f t="shared" si="0"/>
        <v>83.333333333333329</v>
      </c>
      <c r="H45" s="12"/>
      <c r="I45" s="12"/>
      <c r="J45" s="12"/>
      <c r="K45" s="12"/>
      <c r="L45" s="12"/>
      <c r="M45" s="12"/>
      <c r="N45" s="12"/>
    </row>
    <row r="46" spans="1:14" ht="16.899999999999999" customHeight="1" x14ac:dyDescent="0.25">
      <c r="A46" s="42" t="s">
        <v>77</v>
      </c>
      <c r="B46" s="43">
        <v>1000</v>
      </c>
      <c r="C46" s="20"/>
      <c r="D46" s="12"/>
      <c r="E46" s="20" t="s">
        <v>19</v>
      </c>
      <c r="F46" s="83">
        <v>1000</v>
      </c>
      <c r="G46" s="84">
        <f t="shared" si="0"/>
        <v>83.333333333333329</v>
      </c>
      <c r="H46" s="12"/>
      <c r="I46" s="12"/>
      <c r="J46" s="12"/>
      <c r="K46" s="12"/>
      <c r="L46" s="12"/>
      <c r="M46" s="12"/>
      <c r="N46" s="12"/>
    </row>
    <row r="47" spans="1:14" ht="16.899999999999999" customHeight="1" x14ac:dyDescent="0.25">
      <c r="A47" s="69" t="s">
        <v>83</v>
      </c>
      <c r="B47" s="85">
        <f>SUM(B40:B46)</f>
        <v>7000</v>
      </c>
      <c r="C47" s="20"/>
      <c r="D47" s="12"/>
      <c r="E47" s="20" t="s">
        <v>20</v>
      </c>
      <c r="F47" s="83">
        <v>1000</v>
      </c>
      <c r="G47" s="84">
        <f t="shared" si="0"/>
        <v>83.333333333333329</v>
      </c>
      <c r="H47" s="12"/>
      <c r="I47" s="12"/>
      <c r="J47" s="12"/>
      <c r="K47" s="12"/>
      <c r="L47" s="12"/>
      <c r="M47" s="12"/>
      <c r="N47" s="12"/>
    </row>
    <row r="48" spans="1:14" ht="16.899999999999999" customHeight="1" x14ac:dyDescent="0.3">
      <c r="A48" s="86" t="s">
        <v>48</v>
      </c>
      <c r="B48" s="65">
        <f>B23-B30</f>
        <v>100000</v>
      </c>
      <c r="C48" s="20"/>
      <c r="D48" s="12"/>
      <c r="E48" s="20" t="s">
        <v>21</v>
      </c>
      <c r="F48" s="83">
        <v>1000</v>
      </c>
      <c r="G48" s="84">
        <f t="shared" si="0"/>
        <v>83.333333333333329</v>
      </c>
      <c r="H48" s="12"/>
      <c r="I48" s="12"/>
      <c r="J48" s="12"/>
      <c r="K48" s="12"/>
      <c r="L48" s="12"/>
      <c r="M48" s="12"/>
      <c r="N48" s="12"/>
    </row>
    <row r="49" spans="1:14" ht="16.899999999999999" customHeight="1" x14ac:dyDescent="0.25">
      <c r="A49" s="69" t="s">
        <v>49</v>
      </c>
      <c r="B49" s="87">
        <f>B47+B48</f>
        <v>107000</v>
      </c>
      <c r="C49" s="20"/>
      <c r="D49" s="12"/>
      <c r="E49" s="20" t="s">
        <v>22</v>
      </c>
      <c r="F49" s="83">
        <v>1000</v>
      </c>
      <c r="G49" s="84">
        <f t="shared" si="0"/>
        <v>83.333333333333329</v>
      </c>
      <c r="H49" s="12"/>
      <c r="I49" s="12"/>
      <c r="J49" s="12"/>
      <c r="K49" s="12"/>
      <c r="L49" s="12"/>
      <c r="M49" s="12"/>
      <c r="N49" s="12"/>
    </row>
    <row r="50" spans="1:14" ht="16.899999999999999" customHeight="1" x14ac:dyDescent="0.25">
      <c r="A50" s="69" t="s">
        <v>84</v>
      </c>
      <c r="B50" s="88">
        <f>B23+B47</f>
        <v>407000</v>
      </c>
      <c r="C50" s="20"/>
      <c r="D50" s="12"/>
      <c r="E50" s="20" t="s">
        <v>23</v>
      </c>
      <c r="F50" s="83">
        <v>1000</v>
      </c>
      <c r="G50" s="84">
        <f t="shared" si="0"/>
        <v>83.333333333333329</v>
      </c>
      <c r="H50" s="12"/>
      <c r="I50" s="12"/>
      <c r="J50" s="12"/>
      <c r="K50" s="12"/>
      <c r="L50" s="12"/>
      <c r="M50" s="12"/>
      <c r="N50" s="12"/>
    </row>
    <row r="51" spans="1:14" ht="16.899999999999999" customHeight="1" x14ac:dyDescent="0.25">
      <c r="A51" s="12"/>
      <c r="B51" s="12"/>
      <c r="C51" s="20"/>
      <c r="D51" s="12"/>
      <c r="E51" s="42" t="s">
        <v>24</v>
      </c>
      <c r="F51" s="83">
        <v>1000</v>
      </c>
      <c r="G51" s="84">
        <f t="shared" si="0"/>
        <v>83.333333333333329</v>
      </c>
      <c r="H51" s="12"/>
      <c r="I51" s="12"/>
      <c r="J51" s="12"/>
      <c r="K51" s="12"/>
      <c r="L51" s="12"/>
      <c r="M51" s="12"/>
      <c r="N51" s="12"/>
    </row>
    <row r="52" spans="1:14" ht="16.899999999999999" customHeight="1" x14ac:dyDescent="0.25">
      <c r="A52" s="11" t="s">
        <v>206</v>
      </c>
      <c r="B52" s="89">
        <v>500000</v>
      </c>
      <c r="C52" s="20"/>
      <c r="D52" s="12"/>
      <c r="E52" s="69" t="s">
        <v>25</v>
      </c>
      <c r="F52" s="90">
        <f>SUM(F40:F51)</f>
        <v>12000</v>
      </c>
      <c r="G52" s="91">
        <f t="shared" si="0"/>
        <v>1000</v>
      </c>
      <c r="H52" s="12"/>
      <c r="I52" s="12"/>
      <c r="J52" s="12"/>
      <c r="K52" s="12"/>
      <c r="L52" s="12"/>
      <c r="M52" s="12"/>
      <c r="N52" s="12"/>
    </row>
    <row r="53" spans="1:14" ht="16.899999999999999" customHeight="1" x14ac:dyDescent="0.25">
      <c r="A53" s="69" t="s">
        <v>93</v>
      </c>
      <c r="B53" s="92">
        <f>B52-B30</f>
        <v>200000</v>
      </c>
      <c r="C53" s="20"/>
      <c r="D53" s="12"/>
      <c r="E53" s="12"/>
      <c r="F53" s="12"/>
      <c r="G53" s="12"/>
      <c r="H53" s="12"/>
      <c r="I53" s="12"/>
      <c r="J53" s="12"/>
      <c r="K53" s="12"/>
      <c r="L53" s="12"/>
      <c r="M53" s="12"/>
      <c r="N53" s="12"/>
    </row>
    <row r="54" spans="1:14" ht="16.899999999999999" customHeight="1" x14ac:dyDescent="0.25">
      <c r="A54" s="18"/>
      <c r="B54" s="31"/>
      <c r="C54" s="31"/>
      <c r="D54" s="12"/>
      <c r="E54" s="11" t="s">
        <v>27</v>
      </c>
      <c r="F54" s="92">
        <f>F37-F52</f>
        <v>33120</v>
      </c>
      <c r="G54" s="82">
        <f>F54/12</f>
        <v>2760</v>
      </c>
      <c r="H54" s="12"/>
      <c r="I54" s="12"/>
      <c r="J54" s="12"/>
      <c r="K54" s="12"/>
      <c r="L54" s="12"/>
      <c r="M54" s="12"/>
      <c r="N54" s="12"/>
    </row>
    <row r="55" spans="1:14" ht="16.899999999999999" customHeight="1" x14ac:dyDescent="0.25">
      <c r="A55" s="27"/>
      <c r="B55" s="50"/>
      <c r="C55" s="50"/>
      <c r="D55" s="12"/>
      <c r="E55" s="42" t="s">
        <v>79</v>
      </c>
      <c r="F55" s="93">
        <f>F37-C37</f>
        <v>10365.551154253306</v>
      </c>
      <c r="G55" s="65">
        <f>F55/12</f>
        <v>863.79592952110886</v>
      </c>
      <c r="H55" s="12"/>
      <c r="I55" s="12"/>
      <c r="J55" s="12"/>
      <c r="K55" s="12"/>
      <c r="L55" s="12"/>
      <c r="M55" s="12"/>
      <c r="N55" s="12"/>
    </row>
    <row r="56" spans="1:14" ht="16.899999999999999" customHeight="1" x14ac:dyDescent="0.25">
      <c r="A56" s="12"/>
      <c r="B56" s="12"/>
      <c r="C56" s="12"/>
      <c r="D56" s="12"/>
      <c r="E56" s="12"/>
      <c r="F56" s="12"/>
      <c r="G56" s="12"/>
      <c r="H56" s="12"/>
      <c r="I56" s="12"/>
      <c r="J56" s="12"/>
      <c r="K56" s="12"/>
      <c r="L56" s="12"/>
      <c r="M56" s="12"/>
      <c r="N56" s="12"/>
    </row>
    <row r="57" spans="1:14" ht="16.899999999999999" customHeight="1" x14ac:dyDescent="0.25">
      <c r="A57" s="12"/>
      <c r="B57" s="12"/>
      <c r="C57" s="12"/>
      <c r="D57" s="12"/>
      <c r="E57" s="12"/>
      <c r="F57" s="12"/>
      <c r="G57" s="12"/>
      <c r="H57" s="12"/>
      <c r="I57" s="12"/>
      <c r="J57" s="12"/>
      <c r="K57" s="12"/>
      <c r="L57" s="12"/>
      <c r="M57" s="12"/>
      <c r="N57" s="12"/>
    </row>
    <row r="58" spans="1:14" ht="16.899999999999999" customHeight="1" x14ac:dyDescent="0.25">
      <c r="A58" s="12"/>
      <c r="B58" s="12"/>
      <c r="C58" s="12"/>
      <c r="D58" s="12"/>
      <c r="E58" s="12"/>
      <c r="F58" s="12"/>
      <c r="G58" s="12"/>
      <c r="H58" s="12"/>
      <c r="I58" s="12"/>
      <c r="J58" s="12"/>
      <c r="K58" s="12"/>
      <c r="L58" s="12"/>
      <c r="M58" s="12"/>
      <c r="N58" s="12"/>
    </row>
    <row r="59" spans="1:14" ht="16.899999999999999" customHeight="1" x14ac:dyDescent="0.25">
      <c r="A59" s="12"/>
      <c r="B59" s="12"/>
      <c r="C59" s="12"/>
      <c r="D59" s="12"/>
      <c r="E59" s="12"/>
      <c r="F59" s="12"/>
      <c r="G59" s="12"/>
      <c r="H59" s="12"/>
      <c r="I59" s="12"/>
      <c r="J59" s="12"/>
      <c r="K59" s="12"/>
      <c r="L59" s="12"/>
      <c r="M59" s="12"/>
      <c r="N59" s="12"/>
    </row>
    <row r="60" spans="1:14" ht="16.899999999999999" customHeight="1" x14ac:dyDescent="0.25">
      <c r="A60" s="12"/>
      <c r="B60" s="12"/>
      <c r="C60" s="12"/>
      <c r="D60" s="12"/>
      <c r="E60" s="12"/>
      <c r="F60" s="12"/>
      <c r="G60" s="12"/>
      <c r="H60" s="12"/>
      <c r="I60" s="12"/>
      <c r="J60" s="12"/>
      <c r="K60" s="12"/>
      <c r="L60" s="12"/>
      <c r="M60" s="12"/>
      <c r="N60" s="12"/>
    </row>
    <row r="61" spans="1:14" ht="16.899999999999999" customHeight="1" x14ac:dyDescent="0.25">
      <c r="A61" s="12" t="s">
        <v>208</v>
      </c>
      <c r="B61" s="12"/>
      <c r="C61" s="12"/>
      <c r="D61" s="12"/>
      <c r="E61" s="12"/>
      <c r="F61" s="12"/>
      <c r="G61" s="12"/>
      <c r="H61" s="12"/>
      <c r="I61" s="12"/>
      <c r="J61" s="12"/>
      <c r="K61" s="12"/>
      <c r="L61" s="12"/>
      <c r="M61" s="12"/>
      <c r="N61" s="12"/>
    </row>
    <row r="62" spans="1:14" ht="16.899999999999999" customHeight="1" x14ac:dyDescent="0.25">
      <c r="A62" s="12" t="s">
        <v>209</v>
      </c>
      <c r="B62" s="12"/>
      <c r="C62" s="12"/>
      <c r="D62" s="12"/>
      <c r="E62" s="12"/>
      <c r="F62" s="12"/>
      <c r="G62" s="12"/>
      <c r="H62" s="12"/>
      <c r="I62" s="12"/>
      <c r="J62" s="12"/>
      <c r="K62" s="12"/>
      <c r="L62" s="12"/>
      <c r="M62" s="12"/>
      <c r="N62" s="12"/>
    </row>
    <row r="63" spans="1:14" ht="16.899999999999999" customHeight="1" x14ac:dyDescent="0.25">
      <c r="A63" s="12"/>
      <c r="B63" s="12"/>
      <c r="C63" s="12"/>
      <c r="D63" s="12"/>
      <c r="E63" s="12"/>
      <c r="F63" s="12"/>
      <c r="G63" s="12"/>
      <c r="H63" s="12"/>
      <c r="I63" s="12"/>
      <c r="J63" s="12"/>
      <c r="K63" s="12"/>
      <c r="L63" s="12"/>
      <c r="M63" s="12"/>
      <c r="N63" s="12"/>
    </row>
    <row r="64" spans="1:14" ht="16.899999999999999" customHeight="1" x14ac:dyDescent="0.25">
      <c r="A64" s="2"/>
      <c r="B64" s="2"/>
      <c r="C64" s="2"/>
      <c r="D64" s="2"/>
      <c r="E64" s="2"/>
      <c r="F64" s="2"/>
      <c r="G64" s="2"/>
      <c r="H64" s="2"/>
      <c r="I64" s="2"/>
      <c r="J64" s="2"/>
      <c r="K64" s="2"/>
      <c r="L64" s="2"/>
      <c r="M64" s="2"/>
      <c r="N64" s="2"/>
    </row>
    <row r="65" spans="1:14" ht="16.899999999999999" customHeight="1" x14ac:dyDescent="0.25">
      <c r="A65" s="2"/>
      <c r="B65" s="2"/>
      <c r="C65" s="2"/>
      <c r="D65" s="2"/>
      <c r="E65" s="2"/>
      <c r="F65" s="2"/>
      <c r="G65" s="2"/>
      <c r="H65" s="2"/>
      <c r="I65" s="2"/>
      <c r="J65" s="2"/>
      <c r="K65" s="2"/>
      <c r="L65" s="2"/>
      <c r="M65" s="2"/>
      <c r="N65" s="2"/>
    </row>
    <row r="66" spans="1:14" ht="16.899999999999999" customHeight="1" x14ac:dyDescent="0.25">
      <c r="A66" s="2"/>
      <c r="B66" s="2"/>
      <c r="C66" s="2"/>
      <c r="D66" s="2"/>
      <c r="E66" s="2"/>
      <c r="F66" s="2"/>
      <c r="G66" s="2"/>
      <c r="H66" s="2"/>
      <c r="I66" s="2"/>
      <c r="J66" s="2"/>
      <c r="K66" s="2"/>
      <c r="L66" s="2"/>
      <c r="M66" s="2"/>
      <c r="N66" s="2"/>
    </row>
    <row r="67" spans="1:14" ht="16.899999999999999" customHeight="1" x14ac:dyDescent="0.25">
      <c r="A67" s="2"/>
      <c r="B67" s="2"/>
      <c r="C67" s="2"/>
      <c r="D67" s="2"/>
      <c r="E67" s="2"/>
      <c r="F67" s="2"/>
      <c r="G67" s="2"/>
      <c r="H67" s="2"/>
      <c r="I67" s="2"/>
      <c r="J67" s="2"/>
      <c r="K67" s="2"/>
      <c r="L67" s="2"/>
      <c r="M67" s="2"/>
      <c r="N67" s="2"/>
    </row>
    <row r="68" spans="1:14" ht="16.899999999999999" customHeight="1" x14ac:dyDescent="0.25">
      <c r="A68" s="2"/>
      <c r="B68" s="2"/>
      <c r="C68" s="2"/>
      <c r="D68" s="2"/>
      <c r="E68" s="2"/>
      <c r="F68" s="2"/>
      <c r="G68" s="2"/>
      <c r="H68" s="2"/>
      <c r="I68" s="2"/>
      <c r="J68" s="2"/>
      <c r="K68" s="2"/>
      <c r="L68" s="2"/>
      <c r="M68" s="2"/>
      <c r="N68" s="2"/>
    </row>
  </sheetData>
  <sheetProtection algorithmName="SHA-512" hashValue="vpYthuENH8GV1FY4qS95/tPPdOzpYKHYRYxDekjILSosE2Swbfg9yiUPfms1PJakOk/ZcME9w6/QgZ0EQnlDfw==" saltValue="uNUUYzxfi8Zm9/SZ27ssbg==" spinCount="100000" sheet="1" objects="1" scenarios="1" selectLockedCells="1" selectUnlockedCells="1"/>
  <mergeCells count="3">
    <mergeCell ref="A16:G16"/>
    <mergeCell ref="K22:L22"/>
    <mergeCell ref="K23:L23"/>
  </mergeCells>
  <dataValidations count="5">
    <dataValidation allowBlank="1" showInputMessage="1" showErrorMessage="1" prompt="Enter the purchase price of the property_x000a_" sqref="B23 B52" xr:uid="{93BE28F9-F942-442F-B119-AD71F41BE10E}"/>
    <dataValidation allowBlank="1" showInputMessage="1" showErrorMessage="1" prompt="Total loan term in years (e.g., 30)" sqref="B32" xr:uid="{74577D5A-92C4-45B9-BFCC-746808476B33}"/>
    <dataValidation allowBlank="1" showInputMessage="1" showErrorMessage="1" prompt="Enter annual interest rate (e.g., 6.5 for 6.5%)" sqref="B31" xr:uid="{C3C7C7F1-C9B2-4477-9D88-5AF75908937A}"/>
    <dataValidation allowBlank="1" showInputMessage="1" showErrorMessage="1" prompt="Optional: Enter manually if not using LTV" sqref="B29" xr:uid="{520E5B9F-5894-4AD9-833E-40DE1B4B86D9}"/>
    <dataValidation allowBlank="1" showInputMessage="1" showErrorMessage="1" prompt="Enter as a percentage (e.g., 75 for 75%)" sqref="B26" xr:uid="{60969CE0-463D-4763-A2A1-1E6BC81621EA}"/>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12569-8A6D-4E4E-BA8C-5091E2307F77}">
  <dimension ref="A1:U197"/>
  <sheetViews>
    <sheetView workbookViewId="0">
      <selection activeCell="A193" sqref="A193:A194"/>
    </sheetView>
  </sheetViews>
  <sheetFormatPr defaultColWidth="57.7109375" defaultRowHeight="15" x14ac:dyDescent="0.25"/>
  <cols>
    <col min="1" max="16384" width="57.7109375" style="94"/>
  </cols>
  <sheetData>
    <row r="1" spans="1:21" x14ac:dyDescent="0.25">
      <c r="A1" s="12"/>
      <c r="B1" s="12"/>
      <c r="C1" s="12"/>
      <c r="D1" s="12"/>
      <c r="E1" s="12"/>
      <c r="F1" s="12"/>
      <c r="G1" s="12"/>
      <c r="H1" s="12"/>
      <c r="I1" s="12"/>
      <c r="J1" s="12"/>
      <c r="K1" s="12"/>
      <c r="L1" s="12"/>
      <c r="M1" s="12"/>
      <c r="N1" s="12"/>
      <c r="O1" s="12"/>
      <c r="P1" s="12"/>
      <c r="Q1" s="12"/>
      <c r="R1" s="12"/>
      <c r="S1" s="12"/>
      <c r="T1" s="12"/>
      <c r="U1" s="12"/>
    </row>
    <row r="2" spans="1:21" x14ac:dyDescent="0.25">
      <c r="A2" s="12"/>
      <c r="B2" s="12"/>
      <c r="C2" s="12"/>
      <c r="D2" s="12"/>
      <c r="E2" s="12"/>
      <c r="F2" s="12"/>
      <c r="G2" s="12"/>
      <c r="H2" s="12"/>
      <c r="I2" s="12"/>
      <c r="J2" s="12"/>
      <c r="K2" s="12"/>
      <c r="L2" s="12"/>
      <c r="M2" s="12"/>
      <c r="N2" s="12"/>
      <c r="O2" s="12"/>
      <c r="P2" s="12"/>
      <c r="Q2" s="12"/>
      <c r="R2" s="12"/>
      <c r="S2" s="12"/>
      <c r="T2" s="12"/>
      <c r="U2" s="12"/>
    </row>
    <row r="3" spans="1:21" x14ac:dyDescent="0.25">
      <c r="A3" s="12"/>
      <c r="B3" s="12"/>
      <c r="C3" s="12"/>
      <c r="D3" s="12"/>
      <c r="E3" s="12"/>
      <c r="F3" s="12"/>
      <c r="G3" s="12"/>
      <c r="H3" s="12"/>
      <c r="I3" s="12"/>
      <c r="J3" s="12"/>
      <c r="K3" s="12"/>
      <c r="L3" s="12"/>
      <c r="M3" s="12"/>
      <c r="N3" s="12"/>
      <c r="O3" s="12"/>
      <c r="P3" s="12"/>
      <c r="Q3" s="12"/>
      <c r="R3" s="12"/>
      <c r="S3" s="12"/>
      <c r="T3" s="12"/>
      <c r="U3" s="12"/>
    </row>
    <row r="4" spans="1:21" x14ac:dyDescent="0.25">
      <c r="A4" s="12"/>
      <c r="B4" s="12"/>
      <c r="C4" s="12"/>
      <c r="D4" s="12"/>
      <c r="E4" s="12"/>
      <c r="F4" s="12"/>
      <c r="G4" s="12"/>
      <c r="H4" s="12"/>
      <c r="I4" s="12"/>
      <c r="J4" s="12"/>
      <c r="K4" s="12"/>
      <c r="L4" s="12"/>
      <c r="M4" s="12"/>
      <c r="N4" s="12"/>
      <c r="O4" s="12"/>
      <c r="P4" s="12"/>
      <c r="Q4" s="12"/>
      <c r="R4" s="12"/>
      <c r="S4" s="12"/>
      <c r="T4" s="12"/>
      <c r="U4" s="12"/>
    </row>
    <row r="5" spans="1:21" x14ac:dyDescent="0.25">
      <c r="A5" s="12"/>
      <c r="B5" s="12"/>
      <c r="C5" s="12"/>
      <c r="D5" s="12"/>
      <c r="E5" s="12"/>
      <c r="F5" s="12"/>
      <c r="G5" s="12"/>
      <c r="H5" s="12"/>
      <c r="I5" s="12"/>
      <c r="J5" s="12"/>
      <c r="K5" s="12"/>
      <c r="L5" s="12"/>
      <c r="M5" s="12"/>
      <c r="N5" s="12"/>
      <c r="O5" s="12"/>
      <c r="P5" s="12"/>
      <c r="Q5" s="12"/>
      <c r="R5" s="12"/>
      <c r="S5" s="12"/>
      <c r="T5" s="12"/>
      <c r="U5" s="12"/>
    </row>
    <row r="6" spans="1:21" x14ac:dyDescent="0.25">
      <c r="A6" s="12"/>
      <c r="B6" s="12"/>
      <c r="C6" s="12"/>
      <c r="D6" s="12"/>
      <c r="E6" s="12"/>
      <c r="F6" s="12"/>
      <c r="G6" s="12"/>
      <c r="H6" s="12"/>
      <c r="I6" s="12"/>
      <c r="J6" s="12"/>
      <c r="K6" s="12"/>
      <c r="L6" s="12"/>
      <c r="M6" s="12"/>
      <c r="N6" s="12"/>
      <c r="O6" s="12"/>
      <c r="P6" s="12"/>
      <c r="Q6" s="12"/>
      <c r="R6" s="12"/>
      <c r="S6" s="12"/>
      <c r="T6" s="12"/>
      <c r="U6" s="12"/>
    </row>
    <row r="7" spans="1:21" x14ac:dyDescent="0.25">
      <c r="A7" s="12"/>
      <c r="B7" s="12"/>
      <c r="C7" s="12"/>
      <c r="D7" s="12"/>
      <c r="E7" s="12"/>
      <c r="F7" s="12"/>
      <c r="G7" s="12"/>
      <c r="H7" s="12"/>
      <c r="I7" s="12"/>
      <c r="J7" s="12"/>
      <c r="K7" s="12"/>
      <c r="L7" s="12"/>
      <c r="M7" s="12"/>
      <c r="N7" s="12"/>
      <c r="O7" s="12"/>
      <c r="P7" s="12"/>
      <c r="Q7" s="12"/>
      <c r="R7" s="12"/>
      <c r="S7" s="12"/>
      <c r="T7" s="12"/>
      <c r="U7" s="12"/>
    </row>
    <row r="8" spans="1:21" x14ac:dyDescent="0.25">
      <c r="A8" s="12"/>
      <c r="B8" s="12"/>
      <c r="C8" s="12"/>
      <c r="D8" s="12"/>
      <c r="E8" s="12"/>
      <c r="F8" s="12"/>
      <c r="G8" s="12"/>
      <c r="H8" s="12"/>
      <c r="I8" s="12"/>
      <c r="J8" s="12"/>
      <c r="K8" s="12"/>
      <c r="L8" s="12"/>
      <c r="M8" s="12"/>
      <c r="N8" s="12"/>
      <c r="O8" s="12"/>
      <c r="P8" s="12"/>
      <c r="Q8" s="12"/>
      <c r="R8" s="12"/>
      <c r="S8" s="12"/>
      <c r="T8" s="12"/>
      <c r="U8" s="12"/>
    </row>
    <row r="9" spans="1:21" ht="15.75" thickBot="1" x14ac:dyDescent="0.3">
      <c r="A9" s="12"/>
      <c r="B9" s="12"/>
      <c r="C9" s="12"/>
      <c r="D9" s="12"/>
      <c r="E9" s="12"/>
      <c r="F9" s="12"/>
      <c r="G9" s="12"/>
      <c r="H9" s="12"/>
      <c r="I9" s="12"/>
      <c r="J9" s="12"/>
      <c r="K9" s="12"/>
      <c r="L9" s="12"/>
      <c r="M9" s="12"/>
      <c r="N9" s="12"/>
      <c r="O9" s="12"/>
      <c r="P9" s="12"/>
      <c r="Q9" s="12"/>
      <c r="R9" s="12"/>
      <c r="S9" s="12"/>
      <c r="T9" s="12"/>
      <c r="U9" s="12"/>
    </row>
    <row r="10" spans="1:21" x14ac:dyDescent="0.25">
      <c r="A10" s="95"/>
      <c r="B10" s="96"/>
      <c r="C10" s="12"/>
      <c r="D10" s="12"/>
      <c r="E10" s="12"/>
      <c r="F10" s="12"/>
      <c r="G10" s="12"/>
      <c r="H10" s="12"/>
      <c r="I10" s="12"/>
      <c r="J10" s="12"/>
      <c r="K10" s="12"/>
      <c r="L10" s="12"/>
      <c r="M10" s="12"/>
      <c r="N10" s="12"/>
      <c r="O10" s="12"/>
      <c r="P10" s="12"/>
      <c r="Q10" s="12"/>
      <c r="R10" s="12"/>
      <c r="S10" s="12"/>
      <c r="T10" s="12"/>
      <c r="U10" s="12"/>
    </row>
    <row r="11" spans="1:21" x14ac:dyDescent="0.25">
      <c r="A11" s="97" t="s">
        <v>175</v>
      </c>
      <c r="B11" s="98"/>
      <c r="C11" s="12"/>
      <c r="D11" s="12"/>
      <c r="E11" s="12"/>
      <c r="F11" s="12"/>
      <c r="G11" s="12"/>
      <c r="H11" s="12"/>
      <c r="I11" s="12"/>
      <c r="J11" s="12"/>
      <c r="K11" s="12"/>
      <c r="L11" s="12"/>
      <c r="M11" s="12"/>
      <c r="N11" s="12"/>
      <c r="O11" s="12"/>
      <c r="P11" s="12"/>
      <c r="Q11" s="12"/>
      <c r="R11" s="12"/>
      <c r="S11" s="12"/>
      <c r="T11" s="12"/>
      <c r="U11" s="12"/>
    </row>
    <row r="12" spans="1:21" ht="24" x14ac:dyDescent="0.25">
      <c r="A12" s="99"/>
      <c r="B12" s="98"/>
      <c r="C12" s="12"/>
      <c r="D12" s="12"/>
      <c r="E12" s="12"/>
      <c r="F12" s="12"/>
      <c r="G12" s="12"/>
      <c r="H12" s="12"/>
      <c r="I12" s="12"/>
      <c r="J12" s="12"/>
      <c r="K12" s="12"/>
      <c r="L12" s="12"/>
      <c r="M12" s="12"/>
      <c r="N12" s="12"/>
      <c r="O12" s="12"/>
      <c r="P12" s="12"/>
      <c r="Q12" s="12"/>
      <c r="R12" s="12"/>
      <c r="S12" s="12"/>
      <c r="T12" s="12"/>
      <c r="U12" s="12"/>
    </row>
    <row r="13" spans="1:21" x14ac:dyDescent="0.25">
      <c r="A13" s="97" t="s">
        <v>96</v>
      </c>
      <c r="B13" s="98"/>
      <c r="C13" s="12"/>
      <c r="D13" s="12"/>
      <c r="E13" s="12"/>
      <c r="F13" s="12"/>
      <c r="G13" s="12"/>
      <c r="H13" s="12"/>
      <c r="I13" s="12"/>
      <c r="J13" s="12"/>
      <c r="K13" s="12"/>
      <c r="L13" s="12"/>
      <c r="M13" s="12"/>
      <c r="N13" s="12"/>
      <c r="O13" s="12"/>
      <c r="P13" s="12"/>
      <c r="Q13" s="12"/>
      <c r="R13" s="12"/>
      <c r="S13" s="12"/>
      <c r="T13" s="12"/>
      <c r="U13" s="12"/>
    </row>
    <row r="14" spans="1:21" ht="18" x14ac:dyDescent="0.25">
      <c r="A14" s="100"/>
      <c r="B14" s="98"/>
      <c r="C14" s="12"/>
      <c r="D14" s="12"/>
      <c r="E14" s="12"/>
      <c r="F14" s="12"/>
      <c r="G14" s="12"/>
      <c r="H14" s="12"/>
      <c r="I14" s="12"/>
      <c r="J14" s="12"/>
      <c r="K14" s="12"/>
      <c r="L14" s="12"/>
      <c r="M14" s="12"/>
      <c r="N14" s="12"/>
      <c r="O14" s="12"/>
      <c r="P14" s="12"/>
      <c r="Q14" s="12"/>
      <c r="R14" s="12"/>
      <c r="S14" s="12"/>
      <c r="T14" s="12"/>
      <c r="U14" s="12"/>
    </row>
    <row r="15" spans="1:21" x14ac:dyDescent="0.25">
      <c r="A15" s="97" t="s">
        <v>176</v>
      </c>
      <c r="B15" s="98"/>
      <c r="C15" s="12"/>
      <c r="D15" s="12"/>
      <c r="E15" s="12"/>
      <c r="F15" s="12"/>
      <c r="G15" s="12"/>
      <c r="H15" s="12"/>
      <c r="I15" s="12"/>
      <c r="J15" s="12"/>
      <c r="K15" s="12"/>
      <c r="L15" s="12"/>
      <c r="M15" s="12"/>
      <c r="N15" s="12"/>
      <c r="O15" s="12"/>
      <c r="P15" s="12"/>
      <c r="Q15" s="12"/>
      <c r="R15" s="12"/>
      <c r="S15" s="12"/>
      <c r="T15" s="12"/>
      <c r="U15" s="12"/>
    </row>
    <row r="16" spans="1:21" ht="18" x14ac:dyDescent="0.25">
      <c r="A16" s="100"/>
      <c r="B16" s="98"/>
      <c r="C16" s="12"/>
      <c r="D16" s="12"/>
      <c r="E16" s="12"/>
      <c r="F16" s="12"/>
      <c r="G16" s="12"/>
      <c r="H16" s="12"/>
      <c r="I16" s="12"/>
      <c r="J16" s="12"/>
      <c r="K16" s="12"/>
      <c r="L16" s="12"/>
      <c r="M16" s="12"/>
      <c r="N16" s="12"/>
      <c r="O16" s="12"/>
      <c r="P16" s="12"/>
      <c r="Q16" s="12"/>
      <c r="R16" s="12"/>
      <c r="S16" s="12"/>
      <c r="T16" s="12"/>
      <c r="U16" s="12"/>
    </row>
    <row r="17" spans="1:21" x14ac:dyDescent="0.25">
      <c r="A17" s="97" t="s">
        <v>97</v>
      </c>
      <c r="B17" s="98"/>
      <c r="C17" s="12"/>
      <c r="D17" s="12"/>
      <c r="E17" s="12"/>
      <c r="F17" s="12"/>
      <c r="G17" s="12"/>
      <c r="H17" s="12"/>
      <c r="I17" s="12"/>
      <c r="J17" s="12"/>
      <c r="K17" s="12"/>
      <c r="L17" s="12"/>
      <c r="M17" s="12"/>
      <c r="N17" s="12"/>
      <c r="O17" s="12"/>
      <c r="P17" s="12"/>
      <c r="Q17" s="12"/>
      <c r="R17" s="12"/>
      <c r="S17" s="12"/>
      <c r="T17" s="12"/>
      <c r="U17" s="12"/>
    </row>
    <row r="18" spans="1:21" x14ac:dyDescent="0.25">
      <c r="A18" s="97"/>
      <c r="B18" s="98"/>
      <c r="C18" s="12"/>
      <c r="D18" s="12"/>
      <c r="E18" s="12"/>
      <c r="F18" s="12"/>
      <c r="G18" s="12"/>
      <c r="H18" s="12"/>
      <c r="I18" s="12"/>
      <c r="J18" s="12"/>
      <c r="K18" s="12"/>
      <c r="L18" s="12"/>
      <c r="M18" s="12"/>
      <c r="N18" s="12"/>
      <c r="O18" s="12"/>
      <c r="P18" s="12"/>
      <c r="Q18" s="12"/>
      <c r="R18" s="12"/>
      <c r="S18" s="12"/>
      <c r="T18" s="12"/>
      <c r="U18" s="12"/>
    </row>
    <row r="19" spans="1:21" ht="15.75" x14ac:dyDescent="0.25">
      <c r="A19" s="101" t="s">
        <v>98</v>
      </c>
      <c r="B19" s="98"/>
      <c r="C19" s="12"/>
      <c r="D19" s="12"/>
      <c r="E19" s="12"/>
      <c r="F19" s="12"/>
      <c r="G19" s="12"/>
      <c r="H19" s="12"/>
      <c r="I19" s="12"/>
      <c r="J19" s="12"/>
      <c r="K19" s="12"/>
      <c r="L19" s="12"/>
      <c r="M19" s="12"/>
      <c r="N19" s="12"/>
      <c r="O19" s="12"/>
      <c r="P19" s="12"/>
      <c r="Q19" s="12"/>
      <c r="R19" s="12"/>
      <c r="S19" s="12"/>
      <c r="T19" s="12"/>
      <c r="U19" s="12"/>
    </row>
    <row r="20" spans="1:21" x14ac:dyDescent="0.25">
      <c r="A20" s="97"/>
      <c r="B20" s="98"/>
      <c r="C20" s="12"/>
      <c r="D20" s="12"/>
      <c r="E20" s="12"/>
      <c r="F20" s="12"/>
      <c r="G20" s="12"/>
      <c r="H20" s="12"/>
      <c r="I20" s="12"/>
      <c r="J20" s="12"/>
      <c r="K20" s="12"/>
      <c r="L20" s="12"/>
      <c r="M20" s="12"/>
      <c r="N20" s="12"/>
      <c r="O20" s="12"/>
      <c r="P20" s="12"/>
      <c r="Q20" s="12"/>
      <c r="R20" s="12"/>
      <c r="S20" s="12"/>
      <c r="T20" s="12"/>
      <c r="U20" s="12"/>
    </row>
    <row r="21" spans="1:21" ht="18" x14ac:dyDescent="0.25">
      <c r="A21" s="100" t="s">
        <v>99</v>
      </c>
      <c r="B21" s="98"/>
      <c r="C21" s="12"/>
      <c r="D21" s="12"/>
      <c r="E21" s="12"/>
      <c r="F21" s="12"/>
      <c r="G21" s="12"/>
      <c r="H21" s="12"/>
      <c r="I21" s="12"/>
      <c r="J21" s="12"/>
      <c r="K21" s="12"/>
      <c r="L21" s="12"/>
      <c r="M21" s="12"/>
      <c r="N21" s="12"/>
      <c r="O21" s="12"/>
      <c r="P21" s="12"/>
      <c r="Q21" s="12"/>
      <c r="R21" s="12"/>
      <c r="S21" s="12"/>
      <c r="T21" s="12"/>
      <c r="U21" s="12"/>
    </row>
    <row r="22" spans="1:21" x14ac:dyDescent="0.25">
      <c r="A22" s="97"/>
      <c r="B22" s="98"/>
      <c r="C22" s="12"/>
      <c r="D22" s="12"/>
      <c r="E22" s="12"/>
      <c r="F22" s="12"/>
      <c r="G22" s="12"/>
      <c r="H22" s="12"/>
      <c r="I22" s="12"/>
      <c r="J22" s="12"/>
      <c r="K22" s="12"/>
      <c r="L22" s="12"/>
      <c r="M22" s="12"/>
      <c r="N22" s="12"/>
      <c r="O22" s="12"/>
      <c r="P22" s="12"/>
      <c r="Q22" s="12"/>
      <c r="R22" s="12"/>
      <c r="S22" s="12"/>
      <c r="T22" s="12"/>
      <c r="U22" s="12"/>
    </row>
    <row r="23" spans="1:21" x14ac:dyDescent="0.25">
      <c r="A23" s="97" t="s">
        <v>100</v>
      </c>
      <c r="B23" s="98"/>
      <c r="C23" s="12"/>
      <c r="D23" s="12"/>
      <c r="E23" s="12"/>
      <c r="F23" s="12"/>
      <c r="G23" s="12"/>
      <c r="H23" s="12"/>
      <c r="I23" s="12"/>
      <c r="J23" s="12"/>
      <c r="K23" s="12"/>
      <c r="L23" s="12"/>
      <c r="M23" s="12"/>
      <c r="N23" s="12"/>
      <c r="O23" s="12"/>
      <c r="P23" s="12"/>
      <c r="Q23" s="12"/>
      <c r="R23" s="12"/>
      <c r="S23" s="12"/>
      <c r="T23" s="12"/>
      <c r="U23" s="12"/>
    </row>
    <row r="24" spans="1:21" ht="16.5" x14ac:dyDescent="0.25">
      <c r="A24" s="102"/>
      <c r="B24" s="98"/>
      <c r="C24" s="12"/>
      <c r="D24" s="12"/>
      <c r="E24" s="12"/>
      <c r="F24" s="12"/>
      <c r="G24" s="12"/>
      <c r="H24" s="12"/>
      <c r="I24" s="12"/>
      <c r="J24" s="12"/>
      <c r="K24" s="12"/>
      <c r="L24" s="12"/>
      <c r="M24" s="12"/>
      <c r="N24" s="12"/>
      <c r="O24" s="12"/>
      <c r="P24" s="12"/>
      <c r="Q24" s="12"/>
      <c r="R24" s="12"/>
      <c r="S24" s="12"/>
      <c r="T24" s="12"/>
      <c r="U24" s="12"/>
    </row>
    <row r="25" spans="1:21" x14ac:dyDescent="0.25">
      <c r="A25" s="97" t="s">
        <v>177</v>
      </c>
      <c r="B25" s="98"/>
      <c r="C25" s="12"/>
      <c r="D25" s="12"/>
      <c r="E25" s="12"/>
      <c r="F25" s="12"/>
      <c r="G25" s="12"/>
      <c r="H25" s="12"/>
      <c r="I25" s="12"/>
      <c r="J25" s="12"/>
      <c r="K25" s="12"/>
      <c r="L25" s="12"/>
      <c r="M25" s="12"/>
      <c r="N25" s="12"/>
      <c r="O25" s="12"/>
      <c r="P25" s="12"/>
      <c r="Q25" s="12"/>
      <c r="R25" s="12"/>
      <c r="S25" s="12"/>
      <c r="T25" s="12"/>
      <c r="U25" s="12"/>
    </row>
    <row r="26" spans="1:21" ht="15.75" x14ac:dyDescent="0.25">
      <c r="A26" s="103"/>
      <c r="B26" s="104"/>
      <c r="C26" s="12"/>
      <c r="D26" s="12"/>
      <c r="E26" s="12"/>
      <c r="F26" s="12"/>
      <c r="G26" s="12"/>
      <c r="H26" s="12"/>
      <c r="I26" s="12"/>
      <c r="J26" s="12"/>
      <c r="K26" s="12"/>
      <c r="L26" s="12"/>
      <c r="M26" s="12"/>
      <c r="N26" s="12"/>
      <c r="O26" s="12"/>
      <c r="P26" s="12"/>
      <c r="Q26" s="12"/>
      <c r="R26" s="12"/>
      <c r="S26" s="12"/>
      <c r="T26" s="12"/>
      <c r="U26" s="12"/>
    </row>
    <row r="27" spans="1:21" ht="15.75" x14ac:dyDescent="0.25">
      <c r="A27" s="105"/>
      <c r="B27" s="106"/>
      <c r="C27" s="12"/>
      <c r="D27" s="12"/>
      <c r="E27" s="12"/>
      <c r="F27" s="12"/>
      <c r="G27" s="12"/>
      <c r="H27" s="12"/>
      <c r="I27" s="12"/>
      <c r="J27" s="12"/>
      <c r="K27" s="12"/>
      <c r="L27" s="12"/>
      <c r="M27" s="12"/>
      <c r="N27" s="12"/>
      <c r="O27" s="12"/>
      <c r="P27" s="12"/>
      <c r="Q27" s="12"/>
      <c r="R27" s="12"/>
      <c r="S27" s="12"/>
      <c r="T27" s="12"/>
      <c r="U27" s="12"/>
    </row>
    <row r="28" spans="1:21" ht="15.75" x14ac:dyDescent="0.25">
      <c r="A28" s="105"/>
      <c r="B28" s="106"/>
      <c r="C28" s="12"/>
      <c r="D28" s="12"/>
      <c r="E28" s="12"/>
      <c r="F28" s="12"/>
      <c r="G28" s="12"/>
      <c r="H28" s="12"/>
      <c r="I28" s="12"/>
      <c r="J28" s="12"/>
      <c r="K28" s="12"/>
      <c r="L28" s="12"/>
      <c r="M28" s="12"/>
      <c r="N28" s="12"/>
      <c r="O28" s="12"/>
      <c r="P28" s="12"/>
      <c r="Q28" s="12"/>
      <c r="R28" s="12"/>
      <c r="S28" s="12"/>
      <c r="T28" s="12"/>
      <c r="U28" s="12"/>
    </row>
    <row r="29" spans="1:21" ht="15.75" x14ac:dyDescent="0.25">
      <c r="A29" s="105" t="s">
        <v>101</v>
      </c>
      <c r="B29" s="106"/>
      <c r="C29" s="12"/>
      <c r="D29" s="12"/>
      <c r="E29" s="12"/>
      <c r="F29" s="12"/>
      <c r="G29" s="12"/>
      <c r="H29" s="12"/>
      <c r="I29" s="12"/>
      <c r="J29" s="12"/>
      <c r="K29" s="12"/>
      <c r="L29" s="12"/>
      <c r="M29" s="12"/>
      <c r="N29" s="12"/>
      <c r="O29" s="12"/>
      <c r="P29" s="12"/>
      <c r="Q29" s="12"/>
      <c r="R29" s="12"/>
      <c r="S29" s="12"/>
      <c r="T29" s="12"/>
      <c r="U29" s="12"/>
    </row>
    <row r="30" spans="1:21" x14ac:dyDescent="0.25">
      <c r="A30" s="97"/>
      <c r="B30" s="98"/>
      <c r="C30" s="12"/>
      <c r="D30" s="12"/>
      <c r="E30" s="12"/>
      <c r="F30" s="12"/>
      <c r="G30" s="12"/>
      <c r="H30" s="12"/>
      <c r="I30" s="12"/>
      <c r="J30" s="12"/>
      <c r="K30" s="12"/>
      <c r="L30" s="12"/>
      <c r="M30" s="12"/>
      <c r="N30" s="12"/>
      <c r="O30" s="12"/>
      <c r="P30" s="12"/>
      <c r="Q30" s="12"/>
      <c r="R30" s="12"/>
      <c r="S30" s="12"/>
      <c r="T30" s="12"/>
      <c r="U30" s="12"/>
    </row>
    <row r="31" spans="1:21" x14ac:dyDescent="0.25">
      <c r="A31" s="97" t="s">
        <v>178</v>
      </c>
      <c r="B31" s="98"/>
      <c r="C31" s="12"/>
      <c r="D31" s="12"/>
      <c r="E31" s="12"/>
      <c r="F31" s="12"/>
      <c r="G31" s="12"/>
      <c r="H31" s="12"/>
      <c r="I31" s="12"/>
      <c r="J31" s="12"/>
      <c r="K31" s="12"/>
      <c r="L31" s="12"/>
      <c r="M31" s="12"/>
      <c r="N31" s="12"/>
      <c r="O31" s="12"/>
      <c r="P31" s="12"/>
      <c r="Q31" s="12"/>
      <c r="R31" s="12"/>
      <c r="S31" s="12"/>
      <c r="T31" s="12"/>
      <c r="U31" s="12"/>
    </row>
    <row r="32" spans="1:21" ht="18" x14ac:dyDescent="0.25">
      <c r="A32" s="100"/>
      <c r="B32" s="98"/>
      <c r="C32" s="12"/>
      <c r="D32" s="12"/>
      <c r="E32" s="12"/>
      <c r="F32" s="12"/>
      <c r="G32" s="12"/>
      <c r="H32" s="12"/>
      <c r="I32" s="12"/>
      <c r="J32" s="12"/>
      <c r="K32" s="12"/>
      <c r="L32" s="12"/>
      <c r="M32" s="12"/>
      <c r="N32" s="12"/>
      <c r="O32" s="12"/>
      <c r="P32" s="12"/>
      <c r="Q32" s="12"/>
      <c r="R32" s="12"/>
      <c r="S32" s="12"/>
      <c r="T32" s="12"/>
      <c r="U32" s="12"/>
    </row>
    <row r="33" spans="1:21" x14ac:dyDescent="0.25">
      <c r="A33" s="97" t="s">
        <v>102</v>
      </c>
      <c r="B33" s="98"/>
      <c r="C33" s="12"/>
      <c r="D33" s="12"/>
      <c r="E33" s="12"/>
      <c r="F33" s="12"/>
      <c r="G33" s="12"/>
      <c r="H33" s="12"/>
      <c r="I33" s="12"/>
      <c r="J33" s="12"/>
      <c r="K33" s="12"/>
      <c r="L33" s="12"/>
      <c r="M33" s="12"/>
      <c r="N33" s="12"/>
      <c r="O33" s="12"/>
      <c r="P33" s="12"/>
      <c r="Q33" s="12"/>
      <c r="R33" s="12"/>
      <c r="S33" s="12"/>
      <c r="T33" s="12"/>
      <c r="U33" s="12"/>
    </row>
    <row r="34" spans="1:21" ht="16.5" x14ac:dyDescent="0.25">
      <c r="A34" s="102"/>
      <c r="B34" s="98"/>
      <c r="C34" s="12"/>
      <c r="D34" s="12"/>
      <c r="E34" s="12"/>
      <c r="F34" s="12"/>
      <c r="G34" s="12"/>
      <c r="H34" s="12"/>
      <c r="I34" s="12"/>
      <c r="J34" s="12"/>
      <c r="K34" s="12"/>
      <c r="L34" s="12"/>
      <c r="M34" s="12"/>
      <c r="N34" s="12"/>
      <c r="O34" s="12"/>
      <c r="P34" s="12"/>
      <c r="Q34" s="12"/>
      <c r="R34" s="12"/>
      <c r="S34" s="12"/>
      <c r="T34" s="12"/>
      <c r="U34" s="12"/>
    </row>
    <row r="35" spans="1:21" ht="15.75" x14ac:dyDescent="0.25">
      <c r="A35" s="101"/>
      <c r="B35" s="98"/>
      <c r="C35" s="12"/>
      <c r="D35" s="12"/>
      <c r="E35" s="12"/>
      <c r="F35" s="12"/>
      <c r="G35" s="12"/>
      <c r="H35" s="12"/>
      <c r="I35" s="12"/>
      <c r="J35" s="12"/>
      <c r="K35" s="12"/>
      <c r="L35" s="12"/>
      <c r="M35" s="12"/>
      <c r="N35" s="12"/>
      <c r="O35" s="12"/>
      <c r="P35" s="12"/>
      <c r="Q35" s="12"/>
      <c r="R35" s="12"/>
      <c r="S35" s="12"/>
      <c r="T35" s="12"/>
      <c r="U35" s="12"/>
    </row>
    <row r="36" spans="1:21" ht="15.75" x14ac:dyDescent="0.25">
      <c r="A36" s="101"/>
      <c r="B36" s="98"/>
      <c r="C36" s="12"/>
      <c r="D36" s="12"/>
      <c r="E36" s="12"/>
      <c r="F36" s="12"/>
      <c r="G36" s="12"/>
      <c r="H36" s="12"/>
      <c r="I36" s="12"/>
      <c r="J36" s="12"/>
      <c r="K36" s="12"/>
      <c r="L36" s="12"/>
      <c r="M36" s="12"/>
      <c r="N36" s="12"/>
      <c r="O36" s="12"/>
      <c r="P36" s="12"/>
      <c r="Q36" s="12"/>
      <c r="R36" s="12"/>
      <c r="S36" s="12"/>
      <c r="T36" s="12"/>
      <c r="U36" s="12"/>
    </row>
    <row r="37" spans="1:21" ht="15.75" x14ac:dyDescent="0.25">
      <c r="A37" s="101" t="s">
        <v>103</v>
      </c>
      <c r="B37" s="98"/>
      <c r="C37" s="12"/>
      <c r="D37" s="12"/>
      <c r="E37" s="12"/>
      <c r="F37" s="12"/>
      <c r="G37" s="12"/>
      <c r="H37" s="12"/>
      <c r="I37" s="12"/>
      <c r="J37" s="12"/>
      <c r="K37" s="12"/>
      <c r="L37" s="12"/>
      <c r="M37" s="12"/>
      <c r="N37" s="12"/>
      <c r="O37" s="12"/>
      <c r="P37" s="12"/>
      <c r="Q37" s="12"/>
      <c r="R37" s="12"/>
      <c r="S37" s="12"/>
      <c r="T37" s="12"/>
      <c r="U37" s="12"/>
    </row>
    <row r="38" spans="1:21" x14ac:dyDescent="0.25">
      <c r="A38" s="97"/>
      <c r="B38" s="98"/>
      <c r="C38" s="12"/>
      <c r="D38" s="12"/>
      <c r="E38" s="12"/>
      <c r="F38" s="12"/>
      <c r="G38" s="12"/>
      <c r="H38" s="12"/>
      <c r="I38" s="12"/>
      <c r="J38" s="12"/>
      <c r="K38" s="12"/>
      <c r="L38" s="12"/>
      <c r="M38" s="12"/>
      <c r="N38" s="12"/>
      <c r="O38" s="12"/>
      <c r="P38" s="12"/>
      <c r="Q38" s="12"/>
      <c r="R38" s="12"/>
      <c r="S38" s="12"/>
      <c r="T38" s="12"/>
      <c r="U38" s="12"/>
    </row>
    <row r="39" spans="1:21" ht="16.5" x14ac:dyDescent="0.25">
      <c r="A39" s="102" t="s">
        <v>104</v>
      </c>
      <c r="B39" s="98"/>
      <c r="C39" s="12"/>
      <c r="D39" s="12"/>
      <c r="E39" s="12"/>
      <c r="F39" s="12"/>
      <c r="G39" s="12"/>
      <c r="H39" s="12"/>
      <c r="I39" s="12"/>
      <c r="J39" s="12"/>
      <c r="K39" s="12"/>
      <c r="L39" s="12"/>
      <c r="M39" s="12"/>
      <c r="N39" s="12"/>
      <c r="O39" s="12"/>
      <c r="P39" s="12"/>
      <c r="Q39" s="12"/>
      <c r="R39" s="12"/>
      <c r="S39" s="12"/>
      <c r="T39" s="12"/>
      <c r="U39" s="12"/>
    </row>
    <row r="40" spans="1:21" x14ac:dyDescent="0.25">
      <c r="A40" s="97"/>
      <c r="B40" s="98"/>
      <c r="C40" s="12"/>
      <c r="D40" s="12"/>
      <c r="E40" s="12"/>
      <c r="F40" s="12"/>
      <c r="G40" s="12"/>
      <c r="H40" s="12"/>
      <c r="I40" s="12"/>
      <c r="J40" s="12"/>
      <c r="K40" s="12"/>
      <c r="L40" s="12"/>
      <c r="M40" s="12"/>
      <c r="N40" s="12"/>
      <c r="O40" s="12"/>
      <c r="P40" s="12"/>
      <c r="Q40" s="12"/>
      <c r="R40" s="12"/>
      <c r="S40" s="12"/>
      <c r="T40" s="12"/>
      <c r="U40" s="12"/>
    </row>
    <row r="41" spans="1:21" x14ac:dyDescent="0.25">
      <c r="A41" s="107" t="s">
        <v>105</v>
      </c>
      <c r="B41" s="98" t="s">
        <v>106</v>
      </c>
      <c r="C41" s="12"/>
      <c r="D41" s="12"/>
      <c r="E41" s="12"/>
      <c r="F41" s="12"/>
      <c r="G41" s="12"/>
      <c r="H41" s="12"/>
      <c r="I41" s="12"/>
      <c r="J41" s="12"/>
      <c r="K41" s="12"/>
      <c r="L41" s="12"/>
      <c r="M41" s="12"/>
      <c r="N41" s="12"/>
      <c r="O41" s="12"/>
      <c r="P41" s="12"/>
      <c r="Q41" s="12"/>
      <c r="R41" s="12"/>
      <c r="S41" s="12"/>
      <c r="T41" s="12"/>
      <c r="U41" s="12"/>
    </row>
    <row r="42" spans="1:21" x14ac:dyDescent="0.25">
      <c r="A42" s="97" t="s">
        <v>6</v>
      </c>
      <c r="B42" s="98" t="s">
        <v>107</v>
      </c>
      <c r="C42" s="12"/>
      <c r="D42" s="12"/>
      <c r="E42" s="12"/>
      <c r="F42" s="12"/>
      <c r="G42" s="12"/>
      <c r="H42" s="12"/>
      <c r="I42" s="12"/>
      <c r="J42" s="12"/>
      <c r="K42" s="12"/>
      <c r="L42" s="12"/>
      <c r="M42" s="12"/>
      <c r="N42" s="12"/>
      <c r="O42" s="12"/>
      <c r="P42" s="12"/>
      <c r="Q42" s="12"/>
      <c r="R42" s="12"/>
      <c r="S42" s="12"/>
      <c r="T42" s="12"/>
      <c r="U42" s="12"/>
    </row>
    <row r="43" spans="1:21" ht="16.5" x14ac:dyDescent="0.25">
      <c r="A43" s="102" t="s">
        <v>108</v>
      </c>
      <c r="B43" s="98" t="s">
        <v>179</v>
      </c>
      <c r="C43" s="12"/>
      <c r="D43" s="12"/>
      <c r="E43" s="12"/>
      <c r="F43" s="12"/>
      <c r="G43" s="12"/>
      <c r="H43" s="12"/>
      <c r="I43" s="12"/>
      <c r="J43" s="12"/>
      <c r="K43" s="12"/>
      <c r="L43" s="12"/>
      <c r="M43" s="12"/>
      <c r="N43" s="12"/>
      <c r="O43" s="12"/>
      <c r="P43" s="12"/>
      <c r="Q43" s="12"/>
      <c r="R43" s="12"/>
      <c r="S43" s="12"/>
      <c r="T43" s="12"/>
      <c r="U43" s="12"/>
    </row>
    <row r="44" spans="1:21" ht="15.75" x14ac:dyDescent="0.25">
      <c r="A44" s="101" t="s">
        <v>109</v>
      </c>
      <c r="B44" s="98"/>
      <c r="C44" s="12"/>
      <c r="D44" s="12"/>
      <c r="E44" s="12"/>
      <c r="F44" s="12"/>
      <c r="G44" s="12"/>
      <c r="H44" s="12"/>
      <c r="I44" s="12"/>
      <c r="J44" s="12"/>
      <c r="K44" s="12"/>
      <c r="L44" s="12"/>
      <c r="M44" s="12"/>
      <c r="N44" s="12"/>
      <c r="O44" s="12"/>
      <c r="P44" s="12"/>
      <c r="Q44" s="12"/>
      <c r="R44" s="12"/>
      <c r="S44" s="12"/>
      <c r="T44" s="12"/>
      <c r="U44" s="12"/>
    </row>
    <row r="45" spans="1:21" ht="15.75" x14ac:dyDescent="0.25">
      <c r="A45" s="101" t="s">
        <v>110</v>
      </c>
      <c r="B45" s="98" t="s">
        <v>111</v>
      </c>
      <c r="C45" s="12"/>
      <c r="D45" s="12"/>
      <c r="E45" s="12"/>
      <c r="F45" s="12"/>
      <c r="G45" s="12"/>
      <c r="H45" s="12"/>
      <c r="I45" s="12"/>
      <c r="J45" s="12"/>
      <c r="K45" s="12"/>
      <c r="L45" s="12"/>
      <c r="M45" s="12"/>
      <c r="N45" s="12"/>
      <c r="O45" s="12"/>
      <c r="P45" s="12"/>
      <c r="Q45" s="12"/>
      <c r="R45" s="12"/>
      <c r="S45" s="12"/>
      <c r="T45" s="12"/>
      <c r="U45" s="12"/>
    </row>
    <row r="46" spans="1:21" x14ac:dyDescent="0.25">
      <c r="A46" s="97"/>
      <c r="B46" s="98"/>
      <c r="C46" s="12"/>
      <c r="D46" s="12"/>
      <c r="E46" s="12"/>
      <c r="F46" s="12"/>
      <c r="G46" s="12"/>
      <c r="H46" s="12"/>
      <c r="I46" s="12"/>
      <c r="J46" s="12"/>
      <c r="K46" s="12"/>
      <c r="L46" s="12"/>
      <c r="M46" s="12"/>
      <c r="N46" s="12"/>
      <c r="O46" s="12"/>
      <c r="P46" s="12"/>
      <c r="Q46" s="12"/>
      <c r="R46" s="12"/>
      <c r="S46" s="12"/>
      <c r="T46" s="12"/>
      <c r="U46" s="12"/>
    </row>
    <row r="47" spans="1:21" x14ac:dyDescent="0.25">
      <c r="A47" s="97"/>
      <c r="B47" s="98"/>
      <c r="C47" s="12"/>
      <c r="D47" s="12"/>
      <c r="E47" s="12"/>
      <c r="F47" s="12"/>
      <c r="G47" s="12"/>
      <c r="H47" s="12"/>
      <c r="I47" s="12"/>
      <c r="J47" s="12"/>
      <c r="K47" s="12"/>
      <c r="L47" s="12"/>
      <c r="M47" s="12"/>
      <c r="N47" s="12"/>
      <c r="O47" s="12"/>
      <c r="P47" s="12"/>
      <c r="Q47" s="12"/>
      <c r="R47" s="12"/>
      <c r="S47" s="12"/>
      <c r="T47" s="12"/>
      <c r="U47" s="12"/>
    </row>
    <row r="48" spans="1:21" x14ac:dyDescent="0.25">
      <c r="A48" s="97" t="s">
        <v>112</v>
      </c>
      <c r="B48" s="98"/>
      <c r="C48" s="12"/>
      <c r="D48" s="12"/>
      <c r="E48" s="12"/>
      <c r="F48" s="12"/>
      <c r="G48" s="12"/>
      <c r="H48" s="12"/>
      <c r="I48" s="12"/>
      <c r="J48" s="12"/>
      <c r="K48" s="12"/>
      <c r="L48" s="12"/>
      <c r="M48" s="12"/>
      <c r="N48" s="12"/>
      <c r="O48" s="12"/>
      <c r="P48" s="12"/>
      <c r="Q48" s="12"/>
      <c r="R48" s="12"/>
      <c r="S48" s="12"/>
      <c r="T48" s="12"/>
      <c r="U48" s="12"/>
    </row>
    <row r="49" spans="1:21" ht="18" x14ac:dyDescent="0.25">
      <c r="A49" s="100"/>
      <c r="B49" s="98"/>
      <c r="C49" s="12"/>
      <c r="D49" s="12"/>
      <c r="E49" s="12"/>
      <c r="F49" s="12"/>
      <c r="G49" s="12"/>
      <c r="H49" s="12"/>
      <c r="I49" s="12"/>
      <c r="J49" s="12"/>
      <c r="K49" s="12"/>
      <c r="L49" s="12"/>
      <c r="M49" s="12"/>
      <c r="N49" s="12"/>
      <c r="O49" s="12"/>
      <c r="P49" s="12"/>
      <c r="Q49" s="12"/>
      <c r="R49" s="12"/>
      <c r="S49" s="12"/>
      <c r="T49" s="12"/>
      <c r="U49" s="12"/>
    </row>
    <row r="50" spans="1:21" ht="15.75" x14ac:dyDescent="0.25">
      <c r="A50" s="101" t="s">
        <v>113</v>
      </c>
      <c r="B50" s="98"/>
      <c r="C50" s="12"/>
      <c r="D50" s="12"/>
      <c r="E50" s="12"/>
      <c r="F50" s="12"/>
      <c r="G50" s="12"/>
      <c r="H50" s="12"/>
      <c r="I50" s="12"/>
      <c r="J50" s="12"/>
      <c r="K50" s="12"/>
      <c r="L50" s="12"/>
      <c r="M50" s="12"/>
      <c r="N50" s="12"/>
      <c r="O50" s="12"/>
      <c r="P50" s="12"/>
      <c r="Q50" s="12"/>
      <c r="R50" s="12"/>
      <c r="S50" s="12"/>
      <c r="T50" s="12"/>
      <c r="U50" s="12"/>
    </row>
    <row r="51" spans="1:21" ht="15.75" x14ac:dyDescent="0.25">
      <c r="A51" s="101"/>
      <c r="B51" s="98"/>
      <c r="C51" s="12"/>
      <c r="D51" s="12"/>
      <c r="E51" s="12"/>
      <c r="F51" s="12"/>
      <c r="G51" s="12"/>
      <c r="H51" s="12"/>
      <c r="I51" s="12"/>
      <c r="J51" s="12"/>
      <c r="K51" s="12"/>
      <c r="L51" s="12"/>
      <c r="M51" s="12"/>
      <c r="N51" s="12"/>
      <c r="O51" s="12"/>
      <c r="P51" s="12"/>
      <c r="Q51" s="12"/>
      <c r="R51" s="12"/>
      <c r="S51" s="12"/>
      <c r="T51" s="12"/>
      <c r="U51" s="12"/>
    </row>
    <row r="52" spans="1:21" ht="15.75" x14ac:dyDescent="0.25">
      <c r="A52" s="101" t="s">
        <v>114</v>
      </c>
      <c r="B52" s="98" t="s">
        <v>115</v>
      </c>
      <c r="C52" s="12"/>
      <c r="D52" s="12"/>
      <c r="E52" s="12"/>
      <c r="F52" s="12"/>
      <c r="G52" s="12"/>
      <c r="H52" s="12"/>
      <c r="I52" s="12"/>
      <c r="J52" s="12"/>
      <c r="K52" s="12"/>
      <c r="L52" s="12"/>
      <c r="M52" s="12"/>
      <c r="N52" s="12"/>
      <c r="O52" s="12"/>
      <c r="P52" s="12"/>
      <c r="Q52" s="12"/>
      <c r="R52" s="12"/>
      <c r="S52" s="12"/>
      <c r="T52" s="12"/>
      <c r="U52" s="12"/>
    </row>
    <row r="53" spans="1:21" ht="15.75" x14ac:dyDescent="0.25">
      <c r="A53" s="101" t="s">
        <v>34</v>
      </c>
      <c r="B53" s="98" t="s">
        <v>116</v>
      </c>
      <c r="C53" s="12"/>
      <c r="D53" s="12"/>
      <c r="E53" s="12"/>
      <c r="F53" s="12"/>
      <c r="G53" s="12"/>
      <c r="H53" s="12"/>
      <c r="I53" s="12"/>
      <c r="J53" s="12"/>
      <c r="K53" s="12"/>
      <c r="L53" s="12"/>
      <c r="M53" s="12"/>
      <c r="N53" s="12"/>
      <c r="O53" s="12"/>
      <c r="P53" s="12"/>
      <c r="Q53" s="12"/>
      <c r="R53" s="12"/>
      <c r="S53" s="12"/>
      <c r="T53" s="12"/>
      <c r="U53" s="12"/>
    </row>
    <row r="54" spans="1:21" ht="15.75" x14ac:dyDescent="0.25">
      <c r="A54" s="101" t="s">
        <v>35</v>
      </c>
      <c r="B54" s="98" t="s">
        <v>117</v>
      </c>
      <c r="C54" s="12"/>
      <c r="D54" s="12"/>
      <c r="E54" s="12"/>
      <c r="F54" s="12"/>
      <c r="G54" s="12"/>
      <c r="H54" s="12"/>
      <c r="I54" s="12"/>
      <c r="J54" s="12"/>
      <c r="K54" s="12"/>
      <c r="L54" s="12"/>
      <c r="M54" s="12"/>
      <c r="N54" s="12"/>
      <c r="O54" s="12"/>
      <c r="P54" s="12"/>
      <c r="Q54" s="12"/>
      <c r="R54" s="12"/>
      <c r="S54" s="12"/>
      <c r="T54" s="12"/>
      <c r="U54" s="12"/>
    </row>
    <row r="55" spans="1:21" x14ac:dyDescent="0.25">
      <c r="A55" s="107" t="s">
        <v>118</v>
      </c>
      <c r="B55" s="98" t="s">
        <v>119</v>
      </c>
      <c r="C55" s="12"/>
      <c r="D55" s="12"/>
      <c r="E55" s="12"/>
      <c r="F55" s="12"/>
      <c r="G55" s="12"/>
      <c r="H55" s="12"/>
      <c r="I55" s="12"/>
      <c r="J55" s="12"/>
      <c r="K55" s="12"/>
      <c r="L55" s="12"/>
      <c r="M55" s="12"/>
      <c r="N55" s="12"/>
      <c r="O55" s="12"/>
      <c r="P55" s="12"/>
      <c r="Q55" s="12"/>
      <c r="R55" s="12"/>
      <c r="S55" s="12"/>
      <c r="T55" s="12"/>
      <c r="U55" s="12"/>
    </row>
    <row r="56" spans="1:21" x14ac:dyDescent="0.25">
      <c r="A56" s="97"/>
      <c r="B56" s="98"/>
      <c r="C56" s="12"/>
      <c r="D56" s="12"/>
      <c r="E56" s="12"/>
      <c r="F56" s="12"/>
      <c r="G56" s="12"/>
      <c r="H56" s="12"/>
      <c r="I56" s="12"/>
      <c r="J56" s="12"/>
      <c r="K56" s="12"/>
      <c r="L56" s="12"/>
      <c r="M56" s="12"/>
      <c r="N56" s="12"/>
      <c r="O56" s="12"/>
      <c r="P56" s="12"/>
      <c r="Q56" s="12"/>
      <c r="R56" s="12"/>
      <c r="S56" s="12"/>
      <c r="T56" s="12"/>
      <c r="U56" s="12"/>
    </row>
    <row r="57" spans="1:21" ht="18" x14ac:dyDescent="0.25">
      <c r="A57" s="100"/>
      <c r="B57" s="98"/>
      <c r="C57" s="12"/>
      <c r="D57" s="12"/>
      <c r="E57" s="12"/>
      <c r="F57" s="12"/>
      <c r="G57" s="12"/>
      <c r="H57" s="12"/>
      <c r="I57" s="12"/>
      <c r="J57" s="12"/>
      <c r="K57" s="12"/>
      <c r="L57" s="12"/>
      <c r="M57" s="12"/>
      <c r="N57" s="12"/>
      <c r="O57" s="12"/>
      <c r="P57" s="12"/>
      <c r="Q57" s="12"/>
      <c r="R57" s="12"/>
      <c r="S57" s="12"/>
      <c r="T57" s="12"/>
      <c r="U57" s="12"/>
    </row>
    <row r="58" spans="1:21" x14ac:dyDescent="0.25">
      <c r="A58" s="97" t="s">
        <v>120</v>
      </c>
      <c r="B58" s="98"/>
      <c r="C58" s="12"/>
      <c r="D58" s="12"/>
      <c r="E58" s="12"/>
      <c r="F58" s="12"/>
      <c r="G58" s="12"/>
      <c r="H58" s="12"/>
      <c r="I58" s="12"/>
      <c r="J58" s="12"/>
      <c r="K58" s="12"/>
      <c r="L58" s="12"/>
      <c r="M58" s="12"/>
      <c r="N58" s="12"/>
      <c r="O58" s="12"/>
      <c r="P58" s="12"/>
      <c r="Q58" s="12"/>
      <c r="R58" s="12"/>
      <c r="S58" s="12"/>
      <c r="T58" s="12"/>
      <c r="U58" s="12"/>
    </row>
    <row r="59" spans="1:21" ht="15.75" x14ac:dyDescent="0.3">
      <c r="A59" s="108"/>
      <c r="B59" s="98"/>
      <c r="C59" s="12"/>
      <c r="D59" s="12"/>
      <c r="E59" s="12"/>
      <c r="F59" s="12"/>
      <c r="G59" s="12"/>
      <c r="H59" s="12"/>
      <c r="I59" s="12"/>
      <c r="J59" s="12"/>
      <c r="K59" s="12"/>
      <c r="L59" s="12"/>
      <c r="M59" s="12"/>
      <c r="N59" s="12"/>
      <c r="O59" s="12"/>
      <c r="P59" s="12"/>
      <c r="Q59" s="12"/>
      <c r="R59" s="12"/>
      <c r="S59" s="12"/>
      <c r="T59" s="12"/>
      <c r="U59" s="12"/>
    </row>
    <row r="60" spans="1:21" ht="15.75" x14ac:dyDescent="0.3">
      <c r="A60" s="108" t="s">
        <v>180</v>
      </c>
      <c r="B60" s="98"/>
      <c r="C60" s="12"/>
      <c r="D60" s="12"/>
      <c r="E60" s="12"/>
      <c r="F60" s="12"/>
      <c r="G60" s="12"/>
      <c r="H60" s="12"/>
      <c r="I60" s="12"/>
      <c r="J60" s="12"/>
      <c r="K60" s="12"/>
      <c r="L60" s="12"/>
      <c r="M60" s="12"/>
      <c r="N60" s="12"/>
      <c r="O60" s="12"/>
      <c r="P60" s="12"/>
      <c r="Q60" s="12"/>
      <c r="R60" s="12"/>
      <c r="S60" s="12"/>
      <c r="T60" s="12"/>
      <c r="U60" s="12"/>
    </row>
    <row r="61" spans="1:21" ht="15.75" x14ac:dyDescent="0.3">
      <c r="A61" s="108"/>
      <c r="B61" s="98"/>
      <c r="C61" s="12"/>
      <c r="D61" s="12"/>
      <c r="E61" s="12"/>
      <c r="F61" s="12"/>
      <c r="G61" s="12"/>
      <c r="H61" s="12"/>
      <c r="I61" s="12"/>
      <c r="J61" s="12"/>
      <c r="K61" s="12"/>
      <c r="L61" s="12"/>
      <c r="M61" s="12"/>
      <c r="N61" s="12"/>
      <c r="O61" s="12"/>
      <c r="P61" s="12"/>
      <c r="Q61" s="12"/>
      <c r="R61" s="12"/>
      <c r="S61" s="12"/>
      <c r="T61" s="12"/>
      <c r="U61" s="12"/>
    </row>
    <row r="62" spans="1:21" x14ac:dyDescent="0.25">
      <c r="A62" s="109" t="s">
        <v>121</v>
      </c>
      <c r="B62" s="98"/>
      <c r="C62" s="12"/>
      <c r="D62" s="12"/>
      <c r="E62" s="12"/>
      <c r="F62" s="12"/>
      <c r="G62" s="12"/>
      <c r="H62" s="12"/>
      <c r="I62" s="12"/>
      <c r="J62" s="12"/>
      <c r="K62" s="12"/>
      <c r="L62" s="12"/>
      <c r="M62" s="12"/>
      <c r="N62" s="12"/>
      <c r="O62" s="12"/>
      <c r="P62" s="12"/>
      <c r="Q62" s="12"/>
      <c r="R62" s="12"/>
      <c r="S62" s="12"/>
      <c r="T62" s="12"/>
      <c r="U62" s="12"/>
    </row>
    <row r="63" spans="1:21" x14ac:dyDescent="0.25">
      <c r="A63" s="97" t="s">
        <v>122</v>
      </c>
      <c r="B63" s="98"/>
      <c r="C63" s="12"/>
      <c r="D63" s="12"/>
      <c r="E63" s="12"/>
      <c r="F63" s="12"/>
      <c r="G63" s="12"/>
      <c r="H63" s="12"/>
      <c r="I63" s="12"/>
      <c r="J63" s="12"/>
      <c r="K63" s="12"/>
      <c r="L63" s="12"/>
      <c r="M63" s="12"/>
      <c r="N63" s="12"/>
      <c r="O63" s="12"/>
      <c r="P63" s="12"/>
      <c r="Q63" s="12"/>
      <c r="R63" s="12"/>
      <c r="S63" s="12"/>
      <c r="T63" s="12"/>
      <c r="U63" s="12"/>
    </row>
    <row r="64" spans="1:21" x14ac:dyDescent="0.25">
      <c r="A64" s="97" t="s">
        <v>123</v>
      </c>
      <c r="B64" s="98"/>
      <c r="C64" s="12"/>
      <c r="D64" s="12"/>
      <c r="E64" s="12"/>
      <c r="F64" s="12"/>
      <c r="G64" s="12"/>
      <c r="H64" s="12"/>
      <c r="I64" s="12"/>
      <c r="J64" s="12"/>
      <c r="K64" s="12"/>
      <c r="L64" s="12"/>
      <c r="M64" s="12"/>
      <c r="N64" s="12"/>
      <c r="O64" s="12"/>
      <c r="P64" s="12"/>
      <c r="Q64" s="12"/>
      <c r="R64" s="12"/>
      <c r="S64" s="12"/>
      <c r="T64" s="12"/>
      <c r="U64" s="12"/>
    </row>
    <row r="65" spans="1:21" x14ac:dyDescent="0.25">
      <c r="A65" s="97" t="s">
        <v>124</v>
      </c>
      <c r="B65" s="98"/>
      <c r="C65" s="12"/>
      <c r="D65" s="12"/>
      <c r="E65" s="12"/>
      <c r="F65" s="12"/>
      <c r="G65" s="12"/>
      <c r="H65" s="12"/>
      <c r="I65" s="12"/>
      <c r="J65" s="12"/>
      <c r="K65" s="12"/>
      <c r="L65" s="12"/>
      <c r="M65" s="12"/>
      <c r="N65" s="12"/>
      <c r="O65" s="12"/>
      <c r="P65" s="12"/>
      <c r="Q65" s="12"/>
      <c r="R65" s="12"/>
      <c r="S65" s="12"/>
      <c r="T65" s="12"/>
      <c r="U65" s="12"/>
    </row>
    <row r="66" spans="1:21" x14ac:dyDescent="0.25">
      <c r="A66" s="97" t="s">
        <v>125</v>
      </c>
      <c r="B66" s="98"/>
      <c r="C66" s="12"/>
      <c r="D66" s="12"/>
      <c r="E66" s="12"/>
      <c r="F66" s="12"/>
      <c r="G66" s="12"/>
      <c r="H66" s="12"/>
      <c r="I66" s="12"/>
      <c r="J66" s="12"/>
      <c r="K66" s="12"/>
      <c r="L66" s="12"/>
      <c r="M66" s="12"/>
      <c r="N66" s="12"/>
      <c r="O66" s="12"/>
      <c r="P66" s="12"/>
      <c r="Q66" s="12"/>
      <c r="R66" s="12"/>
      <c r="S66" s="12"/>
      <c r="T66" s="12"/>
      <c r="U66" s="12"/>
    </row>
    <row r="67" spans="1:21" x14ac:dyDescent="0.25">
      <c r="A67" s="97" t="s">
        <v>126</v>
      </c>
      <c r="B67" s="98"/>
      <c r="C67" s="12"/>
      <c r="D67" s="12"/>
      <c r="E67" s="12"/>
      <c r="F67" s="12"/>
      <c r="G67" s="12"/>
      <c r="H67" s="12"/>
      <c r="I67" s="12"/>
      <c r="J67" s="12"/>
      <c r="K67" s="12"/>
      <c r="L67" s="12"/>
      <c r="M67" s="12"/>
      <c r="N67" s="12"/>
      <c r="O67" s="12"/>
      <c r="P67" s="12"/>
      <c r="Q67" s="12"/>
      <c r="R67" s="12"/>
      <c r="S67" s="12"/>
      <c r="T67" s="12"/>
      <c r="U67" s="12"/>
    </row>
    <row r="68" spans="1:21" x14ac:dyDescent="0.25">
      <c r="A68" s="97"/>
      <c r="B68" s="98"/>
      <c r="C68" s="12"/>
      <c r="D68" s="12"/>
      <c r="E68" s="12"/>
      <c r="F68" s="12"/>
      <c r="G68" s="12"/>
      <c r="H68" s="12"/>
      <c r="I68" s="12"/>
      <c r="J68" s="12"/>
      <c r="K68" s="12"/>
      <c r="L68" s="12"/>
      <c r="M68" s="12"/>
      <c r="N68" s="12"/>
      <c r="O68" s="12"/>
      <c r="P68" s="12"/>
      <c r="Q68" s="12"/>
      <c r="R68" s="12"/>
      <c r="S68" s="12"/>
      <c r="T68" s="12"/>
      <c r="U68" s="12"/>
    </row>
    <row r="69" spans="1:21" x14ac:dyDescent="0.25">
      <c r="A69" s="97" t="s">
        <v>181</v>
      </c>
      <c r="B69" s="98"/>
      <c r="C69" s="12"/>
      <c r="D69" s="12"/>
      <c r="E69" s="12"/>
      <c r="F69" s="12"/>
      <c r="G69" s="12"/>
      <c r="H69" s="12"/>
      <c r="I69" s="12"/>
      <c r="J69" s="12"/>
      <c r="K69" s="12"/>
      <c r="L69" s="12"/>
      <c r="M69" s="12"/>
      <c r="N69" s="12"/>
      <c r="O69" s="12"/>
      <c r="P69" s="12"/>
      <c r="Q69" s="12"/>
      <c r="R69" s="12"/>
      <c r="S69" s="12"/>
      <c r="T69" s="12"/>
      <c r="U69" s="12"/>
    </row>
    <row r="70" spans="1:21" x14ac:dyDescent="0.25">
      <c r="A70" s="97"/>
      <c r="B70" s="98"/>
      <c r="C70" s="12"/>
      <c r="D70" s="12"/>
      <c r="E70" s="12"/>
      <c r="F70" s="12"/>
      <c r="G70" s="12"/>
      <c r="H70" s="12"/>
      <c r="I70" s="12"/>
      <c r="J70" s="12"/>
      <c r="K70" s="12"/>
      <c r="L70" s="12"/>
      <c r="M70" s="12"/>
      <c r="N70" s="12"/>
      <c r="O70" s="12"/>
      <c r="P70" s="12"/>
      <c r="Q70" s="12"/>
      <c r="R70" s="12"/>
      <c r="S70" s="12"/>
      <c r="T70" s="12"/>
      <c r="U70" s="12"/>
    </row>
    <row r="71" spans="1:21" x14ac:dyDescent="0.25">
      <c r="A71" s="97"/>
      <c r="B71" s="98"/>
      <c r="C71" s="12"/>
      <c r="D71" s="12"/>
      <c r="E71" s="12"/>
      <c r="F71" s="12"/>
      <c r="G71" s="12"/>
      <c r="H71" s="12"/>
      <c r="I71" s="12"/>
      <c r="J71" s="12"/>
      <c r="K71" s="12"/>
      <c r="L71" s="12"/>
      <c r="M71" s="12"/>
      <c r="N71" s="12"/>
      <c r="O71" s="12"/>
      <c r="P71" s="12"/>
      <c r="Q71" s="12"/>
      <c r="R71" s="12"/>
      <c r="S71" s="12"/>
      <c r="T71" s="12"/>
      <c r="U71" s="12"/>
    </row>
    <row r="72" spans="1:21" x14ac:dyDescent="0.25">
      <c r="A72" s="97"/>
      <c r="B72" s="98"/>
      <c r="C72" s="12"/>
      <c r="D72" s="12"/>
      <c r="E72" s="12"/>
      <c r="F72" s="12"/>
      <c r="G72" s="12"/>
      <c r="H72" s="12"/>
      <c r="I72" s="12"/>
      <c r="J72" s="12"/>
      <c r="K72" s="12"/>
      <c r="L72" s="12"/>
      <c r="M72" s="12"/>
      <c r="N72" s="12"/>
      <c r="O72" s="12"/>
      <c r="P72" s="12"/>
      <c r="Q72" s="12"/>
      <c r="R72" s="12"/>
      <c r="S72" s="12"/>
      <c r="T72" s="12"/>
      <c r="U72" s="12"/>
    </row>
    <row r="73" spans="1:21" x14ac:dyDescent="0.25">
      <c r="A73" s="97" t="s">
        <v>127</v>
      </c>
      <c r="B73" s="98"/>
      <c r="C73" s="12"/>
      <c r="D73" s="12"/>
      <c r="E73" s="12"/>
      <c r="F73" s="12"/>
      <c r="G73" s="12"/>
      <c r="H73" s="12"/>
      <c r="I73" s="12"/>
      <c r="J73" s="12"/>
      <c r="K73" s="12"/>
      <c r="L73" s="12"/>
      <c r="M73" s="12"/>
      <c r="N73" s="12"/>
      <c r="O73" s="12"/>
      <c r="P73" s="12"/>
      <c r="Q73" s="12"/>
      <c r="R73" s="12"/>
      <c r="S73" s="12"/>
      <c r="T73" s="12"/>
      <c r="U73" s="12"/>
    </row>
    <row r="74" spans="1:21" x14ac:dyDescent="0.25">
      <c r="A74" s="97"/>
      <c r="B74" s="98"/>
      <c r="C74" s="12"/>
      <c r="D74" s="12"/>
      <c r="E74" s="12"/>
      <c r="F74" s="12"/>
      <c r="G74" s="12"/>
      <c r="H74" s="12"/>
      <c r="I74" s="12"/>
      <c r="J74" s="12"/>
      <c r="K74" s="12"/>
      <c r="L74" s="12"/>
      <c r="M74" s="12"/>
      <c r="N74" s="12"/>
      <c r="O74" s="12"/>
      <c r="P74" s="12"/>
      <c r="Q74" s="12"/>
      <c r="R74" s="12"/>
      <c r="S74" s="12"/>
      <c r="T74" s="12"/>
      <c r="U74" s="12"/>
    </row>
    <row r="75" spans="1:21" x14ac:dyDescent="0.25">
      <c r="A75" s="97" t="s">
        <v>182</v>
      </c>
      <c r="B75" s="98"/>
      <c r="C75" s="12"/>
      <c r="D75" s="12"/>
      <c r="E75" s="12"/>
      <c r="F75" s="12"/>
      <c r="G75" s="12"/>
      <c r="H75" s="12"/>
      <c r="I75" s="12"/>
      <c r="J75" s="12"/>
      <c r="K75" s="12"/>
      <c r="L75" s="12"/>
      <c r="M75" s="12"/>
      <c r="N75" s="12"/>
      <c r="O75" s="12"/>
      <c r="P75" s="12"/>
      <c r="Q75" s="12"/>
      <c r="R75" s="12"/>
      <c r="S75" s="12"/>
      <c r="T75" s="12"/>
      <c r="U75" s="12"/>
    </row>
    <row r="76" spans="1:21" x14ac:dyDescent="0.25">
      <c r="A76" s="97"/>
      <c r="B76" s="98"/>
      <c r="C76" s="12"/>
      <c r="D76" s="12"/>
      <c r="E76" s="12"/>
      <c r="F76" s="12"/>
      <c r="G76" s="12"/>
      <c r="H76" s="12"/>
      <c r="I76" s="12"/>
      <c r="J76" s="12"/>
      <c r="K76" s="12"/>
      <c r="L76" s="12"/>
      <c r="M76" s="12"/>
      <c r="N76" s="12"/>
      <c r="O76" s="12"/>
      <c r="P76" s="12"/>
      <c r="Q76" s="12"/>
      <c r="R76" s="12"/>
      <c r="S76" s="12"/>
      <c r="T76" s="12"/>
      <c r="U76" s="12"/>
    </row>
    <row r="77" spans="1:21" x14ac:dyDescent="0.25">
      <c r="A77" s="97" t="s">
        <v>128</v>
      </c>
      <c r="B77" s="98"/>
      <c r="C77" s="12"/>
      <c r="D77" s="12"/>
      <c r="E77" s="12"/>
      <c r="F77" s="12"/>
      <c r="G77" s="12"/>
      <c r="H77" s="12"/>
      <c r="I77" s="12"/>
      <c r="J77" s="12"/>
      <c r="K77" s="12"/>
      <c r="L77" s="12"/>
      <c r="M77" s="12"/>
      <c r="N77" s="12"/>
      <c r="O77" s="12"/>
      <c r="P77" s="12"/>
      <c r="Q77" s="12"/>
      <c r="R77" s="12"/>
      <c r="S77" s="12"/>
      <c r="T77" s="12"/>
      <c r="U77" s="12"/>
    </row>
    <row r="78" spans="1:21" x14ac:dyDescent="0.25">
      <c r="A78" s="97"/>
      <c r="B78" s="98"/>
      <c r="C78" s="12"/>
      <c r="D78" s="12"/>
      <c r="E78" s="12"/>
      <c r="F78" s="12"/>
      <c r="G78" s="12"/>
      <c r="H78" s="12"/>
      <c r="I78" s="12"/>
      <c r="J78" s="12"/>
      <c r="K78" s="12"/>
      <c r="L78" s="12"/>
      <c r="M78" s="12"/>
      <c r="N78" s="12"/>
      <c r="O78" s="12"/>
      <c r="P78" s="12"/>
      <c r="Q78" s="12"/>
      <c r="R78" s="12"/>
      <c r="S78" s="12"/>
      <c r="T78" s="12"/>
      <c r="U78" s="12"/>
    </row>
    <row r="79" spans="1:21" x14ac:dyDescent="0.25">
      <c r="A79" s="97" t="s">
        <v>129</v>
      </c>
      <c r="B79" s="98"/>
      <c r="C79" s="12"/>
      <c r="D79" s="12"/>
      <c r="E79" s="12"/>
      <c r="F79" s="12"/>
      <c r="G79" s="12"/>
      <c r="H79" s="12"/>
      <c r="I79" s="12"/>
      <c r="J79" s="12"/>
      <c r="K79" s="12"/>
      <c r="L79" s="12"/>
      <c r="M79" s="12"/>
      <c r="N79" s="12"/>
      <c r="O79" s="12"/>
      <c r="P79" s="12"/>
      <c r="Q79" s="12"/>
      <c r="R79" s="12"/>
      <c r="S79" s="12"/>
      <c r="T79" s="12"/>
      <c r="U79" s="12"/>
    </row>
    <row r="80" spans="1:21" x14ac:dyDescent="0.25">
      <c r="A80" s="97"/>
      <c r="B80" s="98"/>
      <c r="C80" s="12"/>
      <c r="D80" s="12"/>
      <c r="E80" s="12"/>
      <c r="F80" s="12"/>
      <c r="G80" s="12"/>
      <c r="H80" s="12"/>
      <c r="I80" s="12"/>
      <c r="J80" s="12"/>
      <c r="K80" s="12"/>
      <c r="L80" s="12"/>
      <c r="M80" s="12"/>
      <c r="N80" s="12"/>
      <c r="O80" s="12"/>
      <c r="P80" s="12"/>
      <c r="Q80" s="12"/>
      <c r="R80" s="12"/>
      <c r="S80" s="12"/>
      <c r="T80" s="12"/>
      <c r="U80" s="12"/>
    </row>
    <row r="81" spans="1:21" x14ac:dyDescent="0.25">
      <c r="A81" s="97" t="s">
        <v>130</v>
      </c>
      <c r="B81" s="98"/>
      <c r="C81" s="12"/>
      <c r="D81" s="12"/>
      <c r="E81" s="12"/>
      <c r="F81" s="12"/>
      <c r="G81" s="12"/>
      <c r="H81" s="12"/>
      <c r="I81" s="12"/>
      <c r="J81" s="12"/>
      <c r="K81" s="12"/>
      <c r="L81" s="12"/>
      <c r="M81" s="12"/>
      <c r="N81" s="12"/>
      <c r="O81" s="12"/>
      <c r="P81" s="12"/>
      <c r="Q81" s="12"/>
      <c r="R81" s="12"/>
      <c r="S81" s="12"/>
      <c r="T81" s="12"/>
      <c r="U81" s="12"/>
    </row>
    <row r="82" spans="1:21" x14ac:dyDescent="0.25">
      <c r="A82" s="97"/>
      <c r="B82" s="98"/>
      <c r="C82" s="12"/>
      <c r="D82" s="12"/>
      <c r="E82" s="12"/>
      <c r="F82" s="12"/>
      <c r="G82" s="12"/>
      <c r="H82" s="12"/>
      <c r="I82" s="12"/>
      <c r="J82" s="12"/>
      <c r="K82" s="12"/>
      <c r="L82" s="12"/>
      <c r="M82" s="12"/>
      <c r="N82" s="12"/>
      <c r="O82" s="12"/>
      <c r="P82" s="12"/>
      <c r="Q82" s="12"/>
      <c r="R82" s="12"/>
      <c r="S82" s="12"/>
      <c r="T82" s="12"/>
      <c r="U82" s="12"/>
    </row>
    <row r="83" spans="1:21" x14ac:dyDescent="0.25">
      <c r="A83" s="97" t="s">
        <v>183</v>
      </c>
      <c r="B83" s="98"/>
      <c r="C83" s="12"/>
      <c r="D83" s="12"/>
      <c r="E83" s="12"/>
      <c r="F83" s="12"/>
      <c r="G83" s="12"/>
      <c r="H83" s="12"/>
      <c r="I83" s="12"/>
      <c r="J83" s="12"/>
      <c r="K83" s="12"/>
      <c r="L83" s="12"/>
      <c r="M83" s="12"/>
      <c r="N83" s="12"/>
      <c r="O83" s="12"/>
      <c r="P83" s="12"/>
      <c r="Q83" s="12"/>
      <c r="R83" s="12"/>
      <c r="S83" s="12"/>
      <c r="T83" s="12"/>
      <c r="U83" s="12"/>
    </row>
    <row r="84" spans="1:21" x14ac:dyDescent="0.25">
      <c r="A84" s="97"/>
      <c r="B84" s="98"/>
      <c r="C84" s="12"/>
      <c r="D84" s="12"/>
      <c r="E84" s="12"/>
      <c r="F84" s="12"/>
      <c r="G84" s="12"/>
      <c r="H84" s="12"/>
      <c r="I84" s="12"/>
      <c r="J84" s="12"/>
      <c r="K84" s="12"/>
      <c r="L84" s="12"/>
      <c r="M84" s="12"/>
      <c r="N84" s="12"/>
      <c r="O84" s="12"/>
      <c r="P84" s="12"/>
      <c r="Q84" s="12"/>
      <c r="R84" s="12"/>
      <c r="S84" s="12"/>
      <c r="T84" s="12"/>
      <c r="U84" s="12"/>
    </row>
    <row r="85" spans="1:21" x14ac:dyDescent="0.25">
      <c r="A85" s="97" t="s">
        <v>184</v>
      </c>
      <c r="B85" s="98"/>
      <c r="C85" s="12"/>
      <c r="D85" s="12"/>
      <c r="E85" s="12"/>
      <c r="F85" s="12"/>
      <c r="G85" s="12"/>
      <c r="H85" s="12"/>
      <c r="I85" s="12"/>
      <c r="J85" s="12"/>
      <c r="K85" s="12"/>
      <c r="L85" s="12"/>
      <c r="M85" s="12"/>
      <c r="N85" s="12"/>
      <c r="O85" s="12"/>
      <c r="P85" s="12"/>
      <c r="Q85" s="12"/>
      <c r="R85" s="12"/>
      <c r="S85" s="12"/>
      <c r="T85" s="12"/>
      <c r="U85" s="12"/>
    </row>
    <row r="86" spans="1:21" x14ac:dyDescent="0.25">
      <c r="A86" s="97"/>
      <c r="B86" s="98"/>
      <c r="C86" s="12"/>
      <c r="D86" s="12"/>
      <c r="E86" s="12"/>
      <c r="F86" s="12"/>
      <c r="G86" s="12"/>
      <c r="H86" s="12"/>
      <c r="I86" s="12"/>
      <c r="J86" s="12"/>
      <c r="K86" s="12"/>
      <c r="L86" s="12"/>
      <c r="M86" s="12"/>
      <c r="N86" s="12"/>
      <c r="O86" s="12"/>
      <c r="P86" s="12"/>
      <c r="Q86" s="12"/>
      <c r="R86" s="12"/>
      <c r="S86" s="12"/>
      <c r="T86" s="12"/>
      <c r="U86" s="12"/>
    </row>
    <row r="87" spans="1:21" x14ac:dyDescent="0.25">
      <c r="A87" s="97"/>
      <c r="B87" s="98"/>
      <c r="C87" s="12"/>
      <c r="D87" s="12"/>
      <c r="E87" s="12"/>
      <c r="F87" s="12"/>
      <c r="G87" s="12"/>
      <c r="H87" s="12"/>
      <c r="I87" s="12"/>
      <c r="J87" s="12"/>
      <c r="K87" s="12"/>
      <c r="L87" s="12"/>
      <c r="M87" s="12"/>
      <c r="N87" s="12"/>
      <c r="O87" s="12"/>
      <c r="P87" s="12"/>
      <c r="Q87" s="12"/>
      <c r="R87" s="12"/>
      <c r="S87" s="12"/>
      <c r="T87" s="12"/>
      <c r="U87" s="12"/>
    </row>
    <row r="88" spans="1:21" x14ac:dyDescent="0.25">
      <c r="A88" s="97"/>
      <c r="B88" s="98"/>
      <c r="C88" s="12"/>
      <c r="D88" s="12"/>
      <c r="E88" s="12"/>
      <c r="F88" s="12"/>
      <c r="G88" s="12"/>
      <c r="H88" s="12"/>
      <c r="I88" s="12"/>
      <c r="J88" s="12"/>
      <c r="K88" s="12"/>
      <c r="L88" s="12"/>
      <c r="M88" s="12"/>
      <c r="N88" s="12"/>
      <c r="O88" s="12"/>
      <c r="P88" s="12"/>
      <c r="Q88" s="12"/>
      <c r="R88" s="12"/>
      <c r="S88" s="12"/>
      <c r="T88" s="12"/>
      <c r="U88" s="12"/>
    </row>
    <row r="89" spans="1:21" x14ac:dyDescent="0.25">
      <c r="A89" s="97" t="s">
        <v>131</v>
      </c>
      <c r="B89" s="98"/>
      <c r="C89" s="12"/>
      <c r="D89" s="12"/>
      <c r="E89" s="12"/>
      <c r="F89" s="12"/>
      <c r="G89" s="12"/>
      <c r="H89" s="12"/>
      <c r="I89" s="12"/>
      <c r="J89" s="12"/>
      <c r="K89" s="12"/>
      <c r="L89" s="12"/>
      <c r="M89" s="12"/>
      <c r="N89" s="12"/>
      <c r="O89" s="12"/>
      <c r="P89" s="12"/>
      <c r="Q89" s="12"/>
      <c r="R89" s="12"/>
      <c r="S89" s="12"/>
      <c r="T89" s="12"/>
      <c r="U89" s="12"/>
    </row>
    <row r="90" spans="1:21" x14ac:dyDescent="0.25">
      <c r="A90" s="97"/>
      <c r="B90" s="98"/>
      <c r="C90" s="12"/>
      <c r="D90" s="12"/>
      <c r="E90" s="12"/>
      <c r="F90" s="12"/>
      <c r="G90" s="12"/>
      <c r="H90" s="12"/>
      <c r="I90" s="12"/>
      <c r="J90" s="12"/>
      <c r="K90" s="12"/>
      <c r="L90" s="12"/>
      <c r="M90" s="12"/>
      <c r="N90" s="12"/>
      <c r="O90" s="12"/>
      <c r="P90" s="12"/>
      <c r="Q90" s="12"/>
      <c r="R90" s="12"/>
      <c r="S90" s="12"/>
      <c r="T90" s="12"/>
      <c r="U90" s="12"/>
    </row>
    <row r="91" spans="1:21" x14ac:dyDescent="0.25">
      <c r="A91" s="97" t="s">
        <v>185</v>
      </c>
      <c r="B91" s="98"/>
      <c r="C91" s="12"/>
      <c r="D91" s="12"/>
      <c r="E91" s="12"/>
      <c r="F91" s="12"/>
      <c r="G91" s="12"/>
      <c r="H91" s="12"/>
      <c r="I91" s="12"/>
      <c r="J91" s="12"/>
      <c r="K91" s="12"/>
      <c r="L91" s="12"/>
      <c r="M91" s="12"/>
      <c r="N91" s="12"/>
      <c r="O91" s="12"/>
      <c r="P91" s="12"/>
      <c r="Q91" s="12"/>
      <c r="R91" s="12"/>
      <c r="S91" s="12"/>
      <c r="T91" s="12"/>
      <c r="U91" s="12"/>
    </row>
    <row r="92" spans="1:21" x14ac:dyDescent="0.25">
      <c r="A92" s="97"/>
      <c r="B92" s="98"/>
      <c r="C92" s="12"/>
      <c r="D92" s="12"/>
      <c r="E92" s="12"/>
      <c r="F92" s="12"/>
      <c r="G92" s="12"/>
      <c r="H92" s="12"/>
      <c r="I92" s="12"/>
      <c r="J92" s="12"/>
      <c r="K92" s="12"/>
      <c r="L92" s="12"/>
      <c r="M92" s="12"/>
      <c r="N92" s="12"/>
      <c r="O92" s="12"/>
      <c r="P92" s="12"/>
      <c r="Q92" s="12"/>
      <c r="R92" s="12"/>
      <c r="S92" s="12"/>
      <c r="T92" s="12"/>
      <c r="U92" s="12"/>
    </row>
    <row r="93" spans="1:21" x14ac:dyDescent="0.25">
      <c r="A93" s="97" t="s">
        <v>132</v>
      </c>
      <c r="B93" s="98"/>
      <c r="C93" s="12"/>
      <c r="D93" s="12"/>
      <c r="E93" s="12"/>
      <c r="F93" s="12"/>
      <c r="G93" s="12"/>
      <c r="H93" s="12"/>
      <c r="I93" s="12"/>
      <c r="J93" s="12"/>
      <c r="K93" s="12"/>
      <c r="L93" s="12"/>
      <c r="M93" s="12"/>
      <c r="N93" s="12"/>
      <c r="O93" s="12"/>
      <c r="P93" s="12"/>
      <c r="Q93" s="12"/>
      <c r="R93" s="12"/>
      <c r="S93" s="12"/>
      <c r="T93" s="12"/>
      <c r="U93" s="12"/>
    </row>
    <row r="94" spans="1:21" x14ac:dyDescent="0.25">
      <c r="A94" s="97" t="s">
        <v>14</v>
      </c>
      <c r="B94" s="98"/>
      <c r="C94" s="12"/>
      <c r="D94" s="12"/>
      <c r="E94" s="12"/>
      <c r="F94" s="12"/>
      <c r="G94" s="12"/>
      <c r="H94" s="12"/>
      <c r="I94" s="12"/>
      <c r="J94" s="12"/>
      <c r="K94" s="12"/>
      <c r="L94" s="12"/>
      <c r="M94" s="12"/>
      <c r="N94" s="12"/>
      <c r="O94" s="12"/>
      <c r="P94" s="12"/>
      <c r="Q94" s="12"/>
      <c r="R94" s="12"/>
      <c r="S94" s="12"/>
      <c r="T94" s="12"/>
      <c r="U94" s="12"/>
    </row>
    <row r="95" spans="1:21" x14ac:dyDescent="0.25">
      <c r="A95" s="97" t="s">
        <v>15</v>
      </c>
      <c r="B95" s="98"/>
      <c r="C95" s="12"/>
      <c r="D95" s="12"/>
      <c r="E95" s="12"/>
      <c r="F95" s="12"/>
      <c r="G95" s="12"/>
      <c r="H95" s="12"/>
      <c r="I95" s="12"/>
      <c r="J95" s="12"/>
      <c r="K95" s="12"/>
      <c r="L95" s="12"/>
      <c r="M95" s="12"/>
      <c r="N95" s="12"/>
      <c r="O95" s="12"/>
      <c r="P95" s="12"/>
      <c r="Q95" s="12"/>
      <c r="R95" s="12"/>
      <c r="S95" s="12"/>
      <c r="T95" s="12"/>
      <c r="U95" s="12"/>
    </row>
    <row r="96" spans="1:21" x14ac:dyDescent="0.25">
      <c r="A96" s="97" t="s">
        <v>133</v>
      </c>
      <c r="B96" s="98"/>
      <c r="C96" s="12"/>
      <c r="D96" s="12"/>
      <c r="E96" s="12"/>
      <c r="F96" s="12"/>
      <c r="G96" s="12"/>
      <c r="H96" s="12"/>
      <c r="I96" s="12"/>
      <c r="J96" s="12"/>
      <c r="K96" s="12"/>
      <c r="L96" s="12"/>
      <c r="M96" s="12"/>
      <c r="N96" s="12"/>
      <c r="O96" s="12"/>
      <c r="P96" s="12"/>
      <c r="Q96" s="12"/>
      <c r="R96" s="12"/>
      <c r="S96" s="12"/>
      <c r="T96" s="12"/>
      <c r="U96" s="12"/>
    </row>
    <row r="97" spans="1:21" x14ac:dyDescent="0.25">
      <c r="A97" s="97" t="s">
        <v>17</v>
      </c>
      <c r="B97" s="98"/>
      <c r="C97" s="12"/>
      <c r="D97" s="12"/>
      <c r="E97" s="12"/>
      <c r="F97" s="12"/>
      <c r="G97" s="12"/>
      <c r="H97" s="12"/>
      <c r="I97" s="12"/>
      <c r="J97" s="12"/>
      <c r="K97" s="12"/>
      <c r="L97" s="12"/>
      <c r="M97" s="12"/>
      <c r="N97" s="12"/>
      <c r="O97" s="12"/>
      <c r="P97" s="12"/>
      <c r="Q97" s="12"/>
      <c r="R97" s="12"/>
      <c r="S97" s="12"/>
      <c r="T97" s="12"/>
      <c r="U97" s="12"/>
    </row>
    <row r="98" spans="1:21" x14ac:dyDescent="0.25">
      <c r="A98" s="97" t="s">
        <v>134</v>
      </c>
      <c r="B98" s="98"/>
      <c r="C98" s="12"/>
      <c r="D98" s="12"/>
      <c r="E98" s="12"/>
      <c r="F98" s="12"/>
      <c r="G98" s="12"/>
      <c r="H98" s="12"/>
      <c r="I98" s="12"/>
      <c r="J98" s="12"/>
      <c r="K98" s="12"/>
      <c r="L98" s="12"/>
      <c r="M98" s="12"/>
      <c r="N98" s="12"/>
      <c r="O98" s="12"/>
      <c r="P98" s="12"/>
      <c r="Q98" s="12"/>
      <c r="R98" s="12"/>
      <c r="S98" s="12"/>
      <c r="T98" s="12"/>
      <c r="U98" s="12"/>
    </row>
    <row r="99" spans="1:21" x14ac:dyDescent="0.25">
      <c r="A99" s="97" t="s">
        <v>135</v>
      </c>
      <c r="B99" s="98"/>
      <c r="C99" s="12"/>
      <c r="D99" s="12"/>
      <c r="E99" s="12"/>
      <c r="F99" s="12"/>
      <c r="G99" s="12"/>
      <c r="H99" s="12"/>
      <c r="I99" s="12"/>
      <c r="J99" s="12"/>
      <c r="K99" s="12"/>
      <c r="L99" s="12"/>
      <c r="M99" s="12"/>
      <c r="N99" s="12"/>
      <c r="O99" s="12"/>
      <c r="P99" s="12"/>
      <c r="Q99" s="12"/>
      <c r="R99" s="12"/>
      <c r="S99" s="12"/>
      <c r="T99" s="12"/>
      <c r="U99" s="12"/>
    </row>
    <row r="100" spans="1:21" x14ac:dyDescent="0.25">
      <c r="A100" s="97" t="s">
        <v>136</v>
      </c>
      <c r="B100" s="98"/>
      <c r="C100" s="12"/>
      <c r="D100" s="12"/>
      <c r="E100" s="12"/>
      <c r="F100" s="12"/>
      <c r="G100" s="12"/>
      <c r="H100" s="12"/>
      <c r="I100" s="12"/>
      <c r="J100" s="12"/>
      <c r="K100" s="12"/>
      <c r="L100" s="12"/>
      <c r="M100" s="12"/>
      <c r="N100" s="12"/>
      <c r="O100" s="12"/>
      <c r="P100" s="12"/>
      <c r="Q100" s="12"/>
      <c r="R100" s="12"/>
      <c r="S100" s="12"/>
      <c r="T100" s="12"/>
      <c r="U100" s="12"/>
    </row>
    <row r="101" spans="1:21" x14ac:dyDescent="0.25">
      <c r="A101" s="97"/>
      <c r="B101" s="98"/>
      <c r="C101" s="12"/>
      <c r="D101" s="12"/>
      <c r="E101" s="12"/>
      <c r="F101" s="12"/>
      <c r="G101" s="12"/>
      <c r="H101" s="12"/>
      <c r="I101" s="12"/>
      <c r="J101" s="12"/>
      <c r="K101" s="12"/>
      <c r="L101" s="12"/>
      <c r="M101" s="12"/>
      <c r="N101" s="12"/>
      <c r="O101" s="12"/>
      <c r="P101" s="12"/>
      <c r="Q101" s="12"/>
      <c r="R101" s="12"/>
      <c r="S101" s="12"/>
      <c r="T101" s="12"/>
      <c r="U101" s="12"/>
    </row>
    <row r="102" spans="1:21" x14ac:dyDescent="0.25">
      <c r="A102" s="97" t="s">
        <v>186</v>
      </c>
      <c r="B102" s="98"/>
      <c r="C102" s="12"/>
      <c r="D102" s="12"/>
      <c r="E102" s="12"/>
      <c r="F102" s="12"/>
      <c r="G102" s="12"/>
      <c r="H102" s="12"/>
      <c r="I102" s="12"/>
      <c r="J102" s="12"/>
      <c r="K102" s="12"/>
      <c r="L102" s="12"/>
      <c r="M102" s="12"/>
      <c r="N102" s="12"/>
      <c r="O102" s="12"/>
      <c r="P102" s="12"/>
      <c r="Q102" s="12"/>
      <c r="R102" s="12"/>
      <c r="S102" s="12"/>
      <c r="T102" s="12"/>
      <c r="U102" s="12"/>
    </row>
    <row r="103" spans="1:21" x14ac:dyDescent="0.25">
      <c r="A103" s="97"/>
      <c r="B103" s="98"/>
      <c r="C103" s="12"/>
      <c r="D103" s="12"/>
      <c r="E103" s="12"/>
      <c r="F103" s="12"/>
      <c r="G103" s="12"/>
      <c r="H103" s="12"/>
      <c r="I103" s="12"/>
      <c r="J103" s="12"/>
      <c r="K103" s="12"/>
      <c r="L103" s="12"/>
      <c r="M103" s="12"/>
      <c r="N103" s="12"/>
      <c r="O103" s="12"/>
      <c r="P103" s="12"/>
      <c r="Q103" s="12"/>
      <c r="R103" s="12"/>
      <c r="S103" s="12"/>
      <c r="T103" s="12"/>
      <c r="U103" s="12"/>
    </row>
    <row r="104" spans="1:21" x14ac:dyDescent="0.25">
      <c r="A104" s="97"/>
      <c r="B104" s="98"/>
      <c r="C104" s="12"/>
      <c r="D104" s="12"/>
      <c r="E104" s="12"/>
      <c r="F104" s="12"/>
      <c r="G104" s="12"/>
      <c r="H104" s="12"/>
      <c r="I104" s="12"/>
      <c r="J104" s="12"/>
      <c r="K104" s="12"/>
      <c r="L104" s="12"/>
      <c r="M104" s="12"/>
      <c r="N104" s="12"/>
      <c r="O104" s="12"/>
      <c r="P104" s="12"/>
      <c r="Q104" s="12"/>
      <c r="R104" s="12"/>
      <c r="S104" s="12"/>
      <c r="T104" s="12"/>
      <c r="U104" s="12"/>
    </row>
    <row r="105" spans="1:21" x14ac:dyDescent="0.25">
      <c r="A105" s="97"/>
      <c r="B105" s="98"/>
      <c r="C105" s="12"/>
      <c r="D105" s="12"/>
      <c r="E105" s="12"/>
      <c r="F105" s="12"/>
      <c r="G105" s="12"/>
      <c r="H105" s="12"/>
      <c r="I105" s="12"/>
      <c r="J105" s="12"/>
      <c r="K105" s="12"/>
      <c r="L105" s="12"/>
      <c r="M105" s="12"/>
      <c r="N105" s="12"/>
      <c r="O105" s="12"/>
      <c r="P105" s="12"/>
      <c r="Q105" s="12"/>
      <c r="R105" s="12"/>
      <c r="S105" s="12"/>
      <c r="T105" s="12"/>
      <c r="U105" s="12"/>
    </row>
    <row r="106" spans="1:21" x14ac:dyDescent="0.25">
      <c r="A106" s="97" t="s">
        <v>137</v>
      </c>
      <c r="B106" s="98"/>
      <c r="C106" s="12"/>
      <c r="D106" s="12"/>
      <c r="E106" s="12"/>
      <c r="F106" s="12"/>
      <c r="G106" s="12"/>
      <c r="H106" s="12"/>
      <c r="I106" s="12"/>
      <c r="J106" s="12"/>
      <c r="K106" s="12"/>
      <c r="L106" s="12"/>
      <c r="M106" s="12"/>
      <c r="N106" s="12"/>
      <c r="O106" s="12"/>
      <c r="P106" s="12"/>
      <c r="Q106" s="12"/>
      <c r="R106" s="12"/>
      <c r="S106" s="12"/>
      <c r="T106" s="12"/>
      <c r="U106" s="12"/>
    </row>
    <row r="107" spans="1:21" x14ac:dyDescent="0.25">
      <c r="A107" s="97"/>
      <c r="B107" s="98"/>
      <c r="C107" s="12"/>
      <c r="D107" s="12"/>
      <c r="E107" s="12"/>
      <c r="F107" s="12"/>
      <c r="G107" s="12"/>
      <c r="H107" s="12"/>
      <c r="I107" s="12"/>
      <c r="J107" s="12"/>
      <c r="K107" s="12"/>
      <c r="L107" s="12"/>
      <c r="M107" s="12"/>
      <c r="N107" s="12"/>
      <c r="O107" s="12"/>
      <c r="P107" s="12"/>
      <c r="Q107" s="12"/>
      <c r="R107" s="12"/>
      <c r="S107" s="12"/>
      <c r="T107" s="12"/>
      <c r="U107" s="12"/>
    </row>
    <row r="108" spans="1:21" x14ac:dyDescent="0.25">
      <c r="A108" s="97" t="s">
        <v>138</v>
      </c>
      <c r="B108" s="98"/>
      <c r="C108" s="12"/>
      <c r="D108" s="12"/>
      <c r="E108" s="12"/>
      <c r="F108" s="12"/>
      <c r="G108" s="12"/>
      <c r="H108" s="12"/>
      <c r="I108" s="12"/>
      <c r="J108" s="12"/>
      <c r="K108" s="12"/>
      <c r="L108" s="12"/>
      <c r="M108" s="12"/>
      <c r="N108" s="12"/>
      <c r="O108" s="12"/>
      <c r="P108" s="12"/>
      <c r="Q108" s="12"/>
      <c r="R108" s="12"/>
      <c r="S108" s="12"/>
      <c r="T108" s="12"/>
      <c r="U108" s="12"/>
    </row>
    <row r="109" spans="1:21" x14ac:dyDescent="0.25">
      <c r="A109" s="97"/>
      <c r="B109" s="98"/>
      <c r="C109" s="12"/>
      <c r="D109" s="12"/>
      <c r="E109" s="12"/>
      <c r="F109" s="12"/>
      <c r="G109" s="12"/>
      <c r="H109" s="12"/>
      <c r="I109" s="12"/>
      <c r="J109" s="12"/>
      <c r="K109" s="12"/>
      <c r="L109" s="12"/>
      <c r="M109" s="12"/>
      <c r="N109" s="12"/>
      <c r="O109" s="12"/>
      <c r="P109" s="12"/>
      <c r="Q109" s="12"/>
      <c r="R109" s="12"/>
      <c r="S109" s="12"/>
      <c r="T109" s="12"/>
      <c r="U109" s="12"/>
    </row>
    <row r="110" spans="1:21" x14ac:dyDescent="0.25">
      <c r="A110" s="97" t="s">
        <v>139</v>
      </c>
      <c r="B110" s="98" t="s">
        <v>140</v>
      </c>
      <c r="C110" s="12"/>
      <c r="D110" s="12"/>
      <c r="E110" s="12"/>
      <c r="F110" s="12"/>
      <c r="G110" s="12"/>
      <c r="H110" s="12"/>
      <c r="I110" s="12"/>
      <c r="J110" s="12"/>
      <c r="K110" s="12"/>
      <c r="L110" s="12"/>
      <c r="M110" s="12"/>
      <c r="N110" s="12"/>
      <c r="O110" s="12"/>
      <c r="P110" s="12"/>
      <c r="Q110" s="12"/>
      <c r="R110" s="12"/>
      <c r="S110" s="12"/>
      <c r="T110" s="12"/>
      <c r="U110" s="12"/>
    </row>
    <row r="111" spans="1:21" x14ac:dyDescent="0.25">
      <c r="A111" s="97" t="s">
        <v>27</v>
      </c>
      <c r="B111" s="98" t="s">
        <v>187</v>
      </c>
      <c r="C111" s="12"/>
      <c r="D111" s="12"/>
      <c r="E111" s="12"/>
      <c r="F111" s="12"/>
      <c r="G111" s="12"/>
      <c r="H111" s="12"/>
      <c r="I111" s="12"/>
      <c r="J111" s="12"/>
      <c r="K111" s="12"/>
      <c r="L111" s="12"/>
      <c r="M111" s="12"/>
      <c r="N111" s="12"/>
      <c r="O111" s="12"/>
      <c r="P111" s="12"/>
      <c r="Q111" s="12"/>
      <c r="R111" s="12"/>
      <c r="S111" s="12"/>
      <c r="T111" s="12"/>
      <c r="U111" s="12"/>
    </row>
    <row r="112" spans="1:21" x14ac:dyDescent="0.25">
      <c r="A112" s="97" t="s">
        <v>79</v>
      </c>
      <c r="B112" s="98" t="s">
        <v>188</v>
      </c>
      <c r="C112" s="12"/>
      <c r="D112" s="12"/>
      <c r="E112" s="12"/>
      <c r="F112" s="12"/>
      <c r="G112" s="12"/>
      <c r="H112" s="12"/>
      <c r="I112" s="12"/>
      <c r="J112" s="12"/>
      <c r="K112" s="12"/>
      <c r="L112" s="12"/>
      <c r="M112" s="12"/>
      <c r="N112" s="12"/>
      <c r="O112" s="12"/>
      <c r="P112" s="12"/>
      <c r="Q112" s="12"/>
      <c r="R112" s="12"/>
      <c r="S112" s="12"/>
      <c r="T112" s="12"/>
      <c r="U112" s="12"/>
    </row>
    <row r="113" spans="1:21" x14ac:dyDescent="0.25">
      <c r="A113" s="97" t="s">
        <v>189</v>
      </c>
      <c r="B113" s="98"/>
      <c r="C113" s="12"/>
      <c r="D113" s="12"/>
      <c r="E113" s="12"/>
      <c r="F113" s="12"/>
      <c r="G113" s="12"/>
      <c r="H113" s="12"/>
      <c r="I113" s="12"/>
      <c r="J113" s="12"/>
      <c r="K113" s="12"/>
      <c r="L113" s="12"/>
      <c r="M113" s="12"/>
      <c r="N113" s="12"/>
      <c r="O113" s="12"/>
      <c r="P113" s="12"/>
      <c r="Q113" s="12"/>
      <c r="R113" s="12"/>
      <c r="S113" s="12"/>
      <c r="T113" s="12"/>
      <c r="U113" s="12"/>
    </row>
    <row r="114" spans="1:21" x14ac:dyDescent="0.25">
      <c r="A114" s="97"/>
      <c r="B114" s="98"/>
      <c r="C114" s="12"/>
      <c r="D114" s="12"/>
      <c r="E114" s="12"/>
      <c r="F114" s="12"/>
      <c r="G114" s="12"/>
      <c r="H114" s="12"/>
      <c r="I114" s="12"/>
      <c r="J114" s="12"/>
      <c r="K114" s="12"/>
      <c r="L114" s="12"/>
      <c r="M114" s="12"/>
      <c r="N114" s="12"/>
      <c r="O114" s="12"/>
      <c r="P114" s="12"/>
      <c r="Q114" s="12"/>
      <c r="R114" s="12"/>
      <c r="S114" s="12"/>
      <c r="T114" s="12"/>
      <c r="U114" s="12"/>
    </row>
    <row r="115" spans="1:21" x14ac:dyDescent="0.25">
      <c r="A115" s="97"/>
      <c r="B115" s="98"/>
      <c r="C115" s="12"/>
      <c r="D115" s="12"/>
      <c r="E115" s="12"/>
      <c r="F115" s="12"/>
      <c r="G115" s="12"/>
      <c r="H115" s="12"/>
      <c r="I115" s="12"/>
      <c r="J115" s="12"/>
      <c r="K115" s="12"/>
      <c r="L115" s="12"/>
      <c r="M115" s="12"/>
      <c r="N115" s="12"/>
      <c r="O115" s="12"/>
      <c r="P115" s="12"/>
      <c r="Q115" s="12"/>
      <c r="R115" s="12"/>
      <c r="S115" s="12"/>
      <c r="T115" s="12"/>
      <c r="U115" s="12"/>
    </row>
    <row r="116" spans="1:21" x14ac:dyDescent="0.25">
      <c r="A116" s="97" t="s">
        <v>141</v>
      </c>
      <c r="B116" s="98"/>
      <c r="C116" s="12"/>
      <c r="D116" s="12"/>
      <c r="E116" s="12"/>
      <c r="F116" s="12"/>
      <c r="G116" s="12"/>
      <c r="H116" s="12"/>
      <c r="I116" s="12"/>
      <c r="J116" s="12"/>
      <c r="K116" s="12"/>
      <c r="L116" s="12"/>
      <c r="M116" s="12"/>
      <c r="N116" s="12"/>
      <c r="O116" s="12"/>
      <c r="P116" s="12"/>
      <c r="Q116" s="12"/>
      <c r="R116" s="12"/>
      <c r="S116" s="12"/>
      <c r="T116" s="12"/>
      <c r="U116" s="12"/>
    </row>
    <row r="117" spans="1:21" x14ac:dyDescent="0.25">
      <c r="A117" s="97"/>
      <c r="B117" s="98"/>
      <c r="C117" s="12"/>
      <c r="D117" s="12"/>
      <c r="E117" s="12"/>
      <c r="F117" s="12"/>
      <c r="G117" s="12"/>
      <c r="H117" s="12"/>
      <c r="I117" s="12"/>
      <c r="J117" s="12"/>
      <c r="K117" s="12"/>
      <c r="L117" s="12"/>
      <c r="M117" s="12"/>
      <c r="N117" s="12"/>
      <c r="O117" s="12"/>
      <c r="P117" s="12"/>
      <c r="Q117" s="12"/>
      <c r="R117" s="12"/>
      <c r="S117" s="12"/>
      <c r="T117" s="12"/>
      <c r="U117" s="12"/>
    </row>
    <row r="118" spans="1:21" x14ac:dyDescent="0.25">
      <c r="A118" s="97" t="s">
        <v>190</v>
      </c>
      <c r="B118" s="98"/>
      <c r="C118" s="12"/>
      <c r="D118" s="12"/>
      <c r="E118" s="12"/>
      <c r="F118" s="12"/>
      <c r="G118" s="12"/>
      <c r="H118" s="12"/>
      <c r="I118" s="12"/>
      <c r="J118" s="12"/>
      <c r="K118" s="12"/>
      <c r="L118" s="12"/>
      <c r="M118" s="12"/>
      <c r="N118" s="12"/>
      <c r="O118" s="12"/>
      <c r="P118" s="12"/>
      <c r="Q118" s="12"/>
      <c r="R118" s="12"/>
      <c r="S118" s="12"/>
      <c r="T118" s="12"/>
      <c r="U118" s="12"/>
    </row>
    <row r="119" spans="1:21" x14ac:dyDescent="0.25">
      <c r="A119" s="97"/>
      <c r="B119" s="98"/>
      <c r="C119" s="12"/>
      <c r="D119" s="12"/>
      <c r="E119" s="12"/>
      <c r="F119" s="12"/>
      <c r="G119" s="12"/>
      <c r="H119" s="12"/>
      <c r="I119" s="12"/>
      <c r="J119" s="12"/>
      <c r="K119" s="12"/>
      <c r="L119" s="12"/>
      <c r="M119" s="12"/>
      <c r="N119" s="12"/>
      <c r="O119" s="12"/>
      <c r="P119" s="12"/>
      <c r="Q119" s="12"/>
      <c r="R119" s="12"/>
      <c r="S119" s="12"/>
      <c r="T119" s="12"/>
      <c r="U119" s="12"/>
    </row>
    <row r="120" spans="1:21" x14ac:dyDescent="0.25">
      <c r="A120" s="97" t="s">
        <v>139</v>
      </c>
      <c r="B120" s="98" t="s">
        <v>140</v>
      </c>
      <c r="C120" s="12"/>
      <c r="D120" s="12"/>
      <c r="E120" s="12"/>
      <c r="F120" s="12"/>
      <c r="G120" s="12"/>
      <c r="H120" s="12"/>
      <c r="I120" s="12"/>
      <c r="J120" s="12"/>
      <c r="K120" s="12"/>
      <c r="L120" s="12"/>
      <c r="M120" s="12"/>
      <c r="N120" s="12"/>
      <c r="O120" s="12"/>
      <c r="P120" s="12"/>
      <c r="Q120" s="12"/>
      <c r="R120" s="12"/>
      <c r="S120" s="12"/>
      <c r="T120" s="12"/>
      <c r="U120" s="12"/>
    </row>
    <row r="121" spans="1:21" x14ac:dyDescent="0.25">
      <c r="A121" s="97" t="s">
        <v>28</v>
      </c>
      <c r="B121" s="98" t="s">
        <v>142</v>
      </c>
      <c r="C121" s="12"/>
      <c r="D121" s="12"/>
      <c r="E121" s="12"/>
      <c r="F121" s="12"/>
      <c r="G121" s="12"/>
      <c r="H121" s="12"/>
      <c r="I121" s="12"/>
      <c r="J121" s="12"/>
      <c r="K121" s="12"/>
      <c r="L121" s="12"/>
      <c r="M121" s="12"/>
      <c r="N121" s="12"/>
      <c r="O121" s="12"/>
      <c r="P121" s="12"/>
      <c r="Q121" s="12"/>
      <c r="R121" s="12"/>
      <c r="S121" s="12"/>
      <c r="T121" s="12"/>
      <c r="U121" s="12"/>
    </row>
    <row r="122" spans="1:21" x14ac:dyDescent="0.25">
      <c r="A122" s="97" t="s">
        <v>29</v>
      </c>
      <c r="B122" s="98" t="s">
        <v>143</v>
      </c>
      <c r="C122" s="12"/>
      <c r="D122" s="12"/>
      <c r="E122" s="12"/>
      <c r="F122" s="12"/>
      <c r="G122" s="12"/>
      <c r="H122" s="12"/>
      <c r="I122" s="12"/>
      <c r="J122" s="12"/>
      <c r="K122" s="12"/>
      <c r="L122" s="12"/>
      <c r="M122" s="12"/>
      <c r="N122" s="12"/>
      <c r="O122" s="12"/>
      <c r="P122" s="12"/>
      <c r="Q122" s="12"/>
      <c r="R122" s="12"/>
      <c r="S122" s="12"/>
      <c r="T122" s="12"/>
      <c r="U122" s="12"/>
    </row>
    <row r="123" spans="1:21" x14ac:dyDescent="0.25">
      <c r="A123" s="97" t="s">
        <v>144</v>
      </c>
      <c r="B123" s="98" t="s">
        <v>145</v>
      </c>
      <c r="C123" s="12"/>
      <c r="D123" s="12"/>
      <c r="E123" s="12"/>
      <c r="F123" s="12"/>
      <c r="G123" s="12"/>
      <c r="H123" s="12"/>
      <c r="I123" s="12"/>
      <c r="J123" s="12"/>
      <c r="K123" s="12"/>
      <c r="L123" s="12"/>
      <c r="M123" s="12"/>
      <c r="N123" s="12"/>
      <c r="O123" s="12"/>
      <c r="P123" s="12"/>
      <c r="Q123" s="12"/>
      <c r="R123" s="12"/>
      <c r="S123" s="12"/>
      <c r="T123" s="12"/>
      <c r="U123" s="12"/>
    </row>
    <row r="124" spans="1:21" x14ac:dyDescent="0.25">
      <c r="A124" s="97" t="s">
        <v>191</v>
      </c>
      <c r="B124" s="98"/>
      <c r="C124" s="12"/>
      <c r="D124" s="12"/>
      <c r="E124" s="12"/>
      <c r="F124" s="12"/>
      <c r="G124" s="12"/>
      <c r="H124" s="12"/>
      <c r="I124" s="12"/>
      <c r="J124" s="12"/>
      <c r="K124" s="12"/>
      <c r="L124" s="12"/>
      <c r="M124" s="12"/>
      <c r="N124" s="12"/>
      <c r="O124" s="12"/>
      <c r="P124" s="12"/>
      <c r="Q124" s="12"/>
      <c r="R124" s="12"/>
      <c r="S124" s="12"/>
      <c r="T124" s="12"/>
      <c r="U124" s="12"/>
    </row>
    <row r="125" spans="1:21" x14ac:dyDescent="0.25">
      <c r="A125" s="97" t="s">
        <v>146</v>
      </c>
      <c r="B125" s="98" t="s">
        <v>147</v>
      </c>
      <c r="C125" s="12"/>
      <c r="D125" s="12"/>
      <c r="E125" s="12"/>
      <c r="F125" s="12"/>
      <c r="G125" s="12"/>
      <c r="H125" s="12"/>
      <c r="I125" s="12"/>
      <c r="J125" s="12"/>
      <c r="K125" s="12"/>
      <c r="L125" s="12"/>
      <c r="M125" s="12"/>
      <c r="N125" s="12"/>
      <c r="O125" s="12"/>
      <c r="P125" s="12"/>
      <c r="Q125" s="12"/>
      <c r="R125" s="12"/>
      <c r="S125" s="12"/>
      <c r="T125" s="12"/>
      <c r="U125" s="12"/>
    </row>
    <row r="126" spans="1:21" x14ac:dyDescent="0.25">
      <c r="A126" s="97" t="s">
        <v>50</v>
      </c>
      <c r="B126" s="98" t="s">
        <v>148</v>
      </c>
      <c r="C126" s="12"/>
      <c r="D126" s="12"/>
      <c r="E126" s="12"/>
      <c r="F126" s="12"/>
      <c r="G126" s="12"/>
      <c r="H126" s="12"/>
      <c r="I126" s="12"/>
      <c r="J126" s="12"/>
      <c r="K126" s="12"/>
      <c r="L126" s="12"/>
      <c r="M126" s="12"/>
      <c r="N126" s="12"/>
      <c r="O126" s="12"/>
      <c r="P126" s="12"/>
      <c r="Q126" s="12"/>
      <c r="R126" s="12"/>
      <c r="S126" s="12"/>
      <c r="T126" s="12"/>
      <c r="U126" s="12"/>
    </row>
    <row r="127" spans="1:21" x14ac:dyDescent="0.25">
      <c r="A127" s="97" t="s">
        <v>149</v>
      </c>
      <c r="B127" s="98" t="s">
        <v>150</v>
      </c>
      <c r="C127" s="12"/>
      <c r="D127" s="12"/>
      <c r="E127" s="12"/>
      <c r="F127" s="12"/>
      <c r="G127" s="12"/>
      <c r="H127" s="12"/>
      <c r="I127" s="12"/>
      <c r="J127" s="12"/>
      <c r="K127" s="12"/>
      <c r="L127" s="12"/>
      <c r="M127" s="12"/>
      <c r="N127" s="12"/>
      <c r="O127" s="12"/>
      <c r="P127" s="12"/>
      <c r="Q127" s="12"/>
      <c r="R127" s="12"/>
      <c r="S127" s="12"/>
      <c r="T127" s="12"/>
      <c r="U127" s="12"/>
    </row>
    <row r="128" spans="1:21" x14ac:dyDescent="0.25">
      <c r="A128" s="97" t="s">
        <v>151</v>
      </c>
      <c r="B128" s="98" t="s">
        <v>152</v>
      </c>
      <c r="C128" s="12"/>
      <c r="D128" s="12"/>
      <c r="E128" s="12"/>
      <c r="F128" s="12"/>
      <c r="G128" s="12"/>
      <c r="H128" s="12"/>
      <c r="I128" s="12"/>
      <c r="J128" s="12"/>
      <c r="K128" s="12"/>
      <c r="L128" s="12"/>
      <c r="M128" s="12"/>
      <c r="N128" s="12"/>
      <c r="O128" s="12"/>
      <c r="P128" s="12"/>
      <c r="Q128" s="12"/>
      <c r="R128" s="12"/>
      <c r="S128" s="12"/>
      <c r="T128" s="12"/>
      <c r="U128" s="12"/>
    </row>
    <row r="129" spans="1:21" x14ac:dyDescent="0.25">
      <c r="A129" s="97" t="s">
        <v>153</v>
      </c>
      <c r="B129" s="98" t="s">
        <v>154</v>
      </c>
      <c r="C129" s="12"/>
      <c r="D129" s="12"/>
      <c r="E129" s="12"/>
      <c r="F129" s="12"/>
      <c r="G129" s="12"/>
      <c r="H129" s="12"/>
      <c r="I129" s="12"/>
      <c r="J129" s="12"/>
      <c r="K129" s="12"/>
      <c r="L129" s="12"/>
      <c r="M129" s="12"/>
      <c r="N129" s="12"/>
      <c r="O129" s="12"/>
      <c r="P129" s="12"/>
      <c r="Q129" s="12"/>
      <c r="R129" s="12"/>
      <c r="S129" s="12"/>
      <c r="T129" s="12"/>
      <c r="U129" s="12"/>
    </row>
    <row r="130" spans="1:21" x14ac:dyDescent="0.25">
      <c r="A130" s="97" t="s">
        <v>155</v>
      </c>
      <c r="B130" s="98" t="s">
        <v>156</v>
      </c>
      <c r="C130" s="12"/>
      <c r="D130" s="12"/>
      <c r="E130" s="12"/>
      <c r="F130" s="12"/>
      <c r="G130" s="12"/>
      <c r="H130" s="12"/>
      <c r="I130" s="12"/>
      <c r="J130" s="12"/>
      <c r="K130" s="12"/>
      <c r="L130" s="12"/>
      <c r="M130" s="12"/>
      <c r="N130" s="12"/>
      <c r="O130" s="12"/>
      <c r="P130" s="12"/>
      <c r="Q130" s="12"/>
      <c r="R130" s="12"/>
      <c r="S130" s="12"/>
      <c r="T130" s="12"/>
      <c r="U130" s="12"/>
    </row>
    <row r="131" spans="1:21" x14ac:dyDescent="0.25">
      <c r="A131" s="97" t="s">
        <v>157</v>
      </c>
      <c r="B131" s="98" t="s">
        <v>158</v>
      </c>
      <c r="C131" s="12"/>
      <c r="D131" s="12"/>
      <c r="E131" s="12"/>
      <c r="F131" s="12"/>
      <c r="G131" s="12"/>
      <c r="H131" s="12"/>
      <c r="I131" s="12"/>
      <c r="J131" s="12"/>
      <c r="K131" s="12"/>
      <c r="L131" s="12"/>
      <c r="M131" s="12"/>
      <c r="N131" s="12"/>
      <c r="O131" s="12"/>
      <c r="P131" s="12"/>
      <c r="Q131" s="12"/>
      <c r="R131" s="12"/>
      <c r="S131" s="12"/>
      <c r="T131" s="12"/>
      <c r="U131" s="12"/>
    </row>
    <row r="132" spans="1:21" x14ac:dyDescent="0.25">
      <c r="A132" s="97"/>
      <c r="B132" s="98"/>
      <c r="C132" s="12"/>
      <c r="D132" s="12"/>
      <c r="E132" s="12"/>
      <c r="F132" s="12"/>
      <c r="G132" s="12"/>
      <c r="H132" s="12"/>
      <c r="I132" s="12"/>
      <c r="J132" s="12"/>
      <c r="K132" s="12"/>
      <c r="L132" s="12"/>
      <c r="M132" s="12"/>
      <c r="N132" s="12"/>
      <c r="O132" s="12"/>
      <c r="P132" s="12"/>
      <c r="Q132" s="12"/>
      <c r="R132" s="12"/>
      <c r="S132" s="12"/>
      <c r="T132" s="12"/>
      <c r="U132" s="12"/>
    </row>
    <row r="133" spans="1:21" x14ac:dyDescent="0.25">
      <c r="A133" s="97"/>
      <c r="B133" s="98"/>
      <c r="C133" s="12"/>
      <c r="D133" s="12"/>
      <c r="E133" s="12"/>
      <c r="F133" s="12"/>
      <c r="G133" s="12"/>
      <c r="H133" s="12"/>
      <c r="I133" s="12"/>
      <c r="J133" s="12"/>
      <c r="K133" s="12"/>
      <c r="L133" s="12"/>
      <c r="M133" s="12"/>
      <c r="N133" s="12"/>
      <c r="O133" s="12"/>
      <c r="P133" s="12"/>
      <c r="Q133" s="12"/>
      <c r="R133" s="12"/>
      <c r="S133" s="12"/>
      <c r="T133" s="12"/>
      <c r="U133" s="12"/>
    </row>
    <row r="134" spans="1:21" x14ac:dyDescent="0.25">
      <c r="A134" s="97" t="s">
        <v>159</v>
      </c>
      <c r="B134" s="98"/>
      <c r="C134" s="12"/>
      <c r="D134" s="12"/>
      <c r="E134" s="12"/>
      <c r="F134" s="12"/>
      <c r="G134" s="12"/>
      <c r="H134" s="12"/>
      <c r="I134" s="12"/>
      <c r="J134" s="12"/>
      <c r="K134" s="12"/>
      <c r="L134" s="12"/>
      <c r="M134" s="12"/>
      <c r="N134" s="12"/>
      <c r="O134" s="12"/>
      <c r="P134" s="12"/>
      <c r="Q134" s="12"/>
      <c r="R134" s="12"/>
      <c r="S134" s="12"/>
      <c r="T134" s="12"/>
      <c r="U134" s="12"/>
    </row>
    <row r="135" spans="1:21" x14ac:dyDescent="0.25">
      <c r="A135" s="97"/>
      <c r="B135" s="98"/>
      <c r="C135" s="12"/>
      <c r="D135" s="12"/>
      <c r="E135" s="12"/>
      <c r="F135" s="12"/>
      <c r="G135" s="12"/>
      <c r="H135" s="12"/>
      <c r="I135" s="12"/>
      <c r="J135" s="12"/>
      <c r="K135" s="12"/>
      <c r="L135" s="12"/>
      <c r="M135" s="12"/>
      <c r="N135" s="12"/>
      <c r="O135" s="12"/>
      <c r="P135" s="12"/>
      <c r="Q135" s="12"/>
      <c r="R135" s="12"/>
      <c r="S135" s="12"/>
      <c r="T135" s="12"/>
      <c r="U135" s="12"/>
    </row>
    <row r="136" spans="1:21" x14ac:dyDescent="0.25">
      <c r="A136" s="97" t="s">
        <v>160</v>
      </c>
      <c r="B136" s="98"/>
      <c r="C136" s="12"/>
      <c r="D136" s="12"/>
      <c r="E136" s="12"/>
      <c r="F136" s="12"/>
      <c r="G136" s="12"/>
      <c r="H136" s="12"/>
      <c r="I136" s="12"/>
      <c r="J136" s="12"/>
      <c r="K136" s="12"/>
      <c r="L136" s="12"/>
      <c r="M136" s="12"/>
      <c r="N136" s="12"/>
      <c r="O136" s="12"/>
      <c r="P136" s="12"/>
      <c r="Q136" s="12"/>
      <c r="R136" s="12"/>
      <c r="S136" s="12"/>
      <c r="T136" s="12"/>
      <c r="U136" s="12"/>
    </row>
    <row r="137" spans="1:21" x14ac:dyDescent="0.25">
      <c r="A137" s="97"/>
      <c r="B137" s="98"/>
      <c r="C137" s="12"/>
      <c r="D137" s="12"/>
      <c r="E137" s="12"/>
      <c r="F137" s="12"/>
      <c r="G137" s="12"/>
      <c r="H137" s="12"/>
      <c r="I137" s="12"/>
      <c r="J137" s="12"/>
      <c r="K137" s="12"/>
      <c r="L137" s="12"/>
      <c r="M137" s="12"/>
      <c r="N137" s="12"/>
      <c r="O137" s="12"/>
      <c r="P137" s="12"/>
      <c r="Q137" s="12"/>
      <c r="R137" s="12"/>
      <c r="S137" s="12"/>
      <c r="T137" s="12"/>
      <c r="U137" s="12"/>
    </row>
    <row r="138" spans="1:21" x14ac:dyDescent="0.25">
      <c r="A138" s="97" t="s">
        <v>161</v>
      </c>
      <c r="B138" s="98"/>
      <c r="C138" s="12"/>
      <c r="D138" s="12"/>
      <c r="E138" s="12"/>
      <c r="F138" s="12"/>
      <c r="G138" s="12"/>
      <c r="H138" s="12"/>
      <c r="I138" s="12"/>
      <c r="J138" s="12"/>
      <c r="K138" s="12"/>
      <c r="L138" s="12"/>
      <c r="M138" s="12"/>
      <c r="N138" s="12"/>
      <c r="O138" s="12"/>
      <c r="P138" s="12"/>
      <c r="Q138" s="12"/>
      <c r="R138" s="12"/>
      <c r="S138" s="12"/>
      <c r="T138" s="12"/>
      <c r="U138" s="12"/>
    </row>
    <row r="139" spans="1:21" x14ac:dyDescent="0.25">
      <c r="A139" s="97"/>
      <c r="B139" s="98"/>
      <c r="C139" s="12"/>
      <c r="D139" s="12"/>
      <c r="E139" s="12"/>
      <c r="F139" s="12"/>
      <c r="G139" s="12"/>
      <c r="H139" s="12"/>
      <c r="I139" s="12"/>
      <c r="J139" s="12"/>
      <c r="K139" s="12"/>
      <c r="L139" s="12"/>
      <c r="M139" s="12"/>
      <c r="N139" s="12"/>
      <c r="O139" s="12"/>
      <c r="P139" s="12"/>
      <c r="Q139" s="12"/>
      <c r="R139" s="12"/>
      <c r="S139" s="12"/>
      <c r="T139" s="12"/>
      <c r="U139" s="12"/>
    </row>
    <row r="140" spans="1:21" x14ac:dyDescent="0.25">
      <c r="A140" s="97" t="s">
        <v>162</v>
      </c>
      <c r="B140" s="98"/>
      <c r="C140" s="12"/>
      <c r="D140" s="12"/>
      <c r="E140" s="12"/>
      <c r="F140" s="12"/>
      <c r="G140" s="12"/>
      <c r="H140" s="12"/>
      <c r="I140" s="12"/>
      <c r="J140" s="12"/>
      <c r="K140" s="12"/>
      <c r="L140" s="12"/>
      <c r="M140" s="12"/>
      <c r="N140" s="12"/>
      <c r="O140" s="12"/>
      <c r="P140" s="12"/>
      <c r="Q140" s="12"/>
      <c r="R140" s="12"/>
      <c r="S140" s="12"/>
      <c r="T140" s="12"/>
      <c r="U140" s="12"/>
    </row>
    <row r="141" spans="1:21" x14ac:dyDescent="0.25">
      <c r="A141" s="97"/>
      <c r="B141" s="98"/>
      <c r="C141" s="12"/>
      <c r="D141" s="12"/>
      <c r="E141" s="12"/>
      <c r="F141" s="12"/>
      <c r="G141" s="12"/>
      <c r="H141" s="12"/>
      <c r="I141" s="12"/>
      <c r="J141" s="12"/>
      <c r="K141" s="12"/>
      <c r="L141" s="12"/>
      <c r="M141" s="12"/>
      <c r="N141" s="12"/>
      <c r="O141" s="12"/>
      <c r="P141" s="12"/>
      <c r="Q141" s="12"/>
      <c r="R141" s="12"/>
      <c r="S141" s="12"/>
      <c r="T141" s="12"/>
      <c r="U141" s="12"/>
    </row>
    <row r="142" spans="1:21" x14ac:dyDescent="0.25">
      <c r="A142" s="97" t="s">
        <v>163</v>
      </c>
      <c r="B142" s="98"/>
      <c r="C142" s="12"/>
      <c r="D142" s="12"/>
      <c r="E142" s="12"/>
      <c r="F142" s="12"/>
      <c r="G142" s="12"/>
      <c r="H142" s="12"/>
      <c r="I142" s="12"/>
      <c r="J142" s="12"/>
      <c r="K142" s="12"/>
      <c r="L142" s="12"/>
      <c r="M142" s="12"/>
      <c r="N142" s="12"/>
      <c r="O142" s="12"/>
      <c r="P142" s="12"/>
      <c r="Q142" s="12"/>
      <c r="R142" s="12"/>
      <c r="S142" s="12"/>
      <c r="T142" s="12"/>
      <c r="U142" s="12"/>
    </row>
    <row r="143" spans="1:21" x14ac:dyDescent="0.25">
      <c r="A143" s="97"/>
      <c r="B143" s="98"/>
      <c r="C143" s="12"/>
      <c r="D143" s="12"/>
      <c r="E143" s="12"/>
      <c r="F143" s="12"/>
      <c r="G143" s="12"/>
      <c r="H143" s="12"/>
      <c r="I143" s="12"/>
      <c r="J143" s="12"/>
      <c r="K143" s="12"/>
      <c r="L143" s="12"/>
      <c r="M143" s="12"/>
      <c r="N143" s="12"/>
      <c r="O143" s="12"/>
      <c r="P143" s="12"/>
      <c r="Q143" s="12"/>
      <c r="R143" s="12"/>
      <c r="S143" s="12"/>
      <c r="T143" s="12"/>
      <c r="U143" s="12"/>
    </row>
    <row r="144" spans="1:21" x14ac:dyDescent="0.25">
      <c r="A144" s="97" t="s">
        <v>164</v>
      </c>
      <c r="B144" s="98"/>
      <c r="C144" s="12"/>
      <c r="D144" s="12"/>
      <c r="E144" s="12"/>
      <c r="F144" s="12"/>
      <c r="G144" s="12"/>
      <c r="H144" s="12"/>
      <c r="I144" s="12"/>
      <c r="J144" s="12"/>
      <c r="K144" s="12"/>
      <c r="L144" s="12"/>
      <c r="M144" s="12"/>
      <c r="N144" s="12"/>
      <c r="O144" s="12"/>
      <c r="P144" s="12"/>
      <c r="Q144" s="12"/>
      <c r="R144" s="12"/>
      <c r="S144" s="12"/>
      <c r="T144" s="12"/>
      <c r="U144" s="12"/>
    </row>
    <row r="145" spans="1:21" x14ac:dyDescent="0.25">
      <c r="A145" s="97"/>
      <c r="B145" s="98"/>
      <c r="C145" s="12"/>
      <c r="D145" s="12"/>
      <c r="E145" s="12"/>
      <c r="F145" s="12"/>
      <c r="G145" s="12"/>
      <c r="H145" s="12"/>
      <c r="I145" s="12"/>
      <c r="J145" s="12"/>
      <c r="K145" s="12"/>
      <c r="L145" s="12"/>
      <c r="M145" s="12"/>
      <c r="N145" s="12"/>
      <c r="O145" s="12"/>
      <c r="P145" s="12"/>
      <c r="Q145" s="12"/>
      <c r="R145" s="12"/>
      <c r="S145" s="12"/>
      <c r="T145" s="12"/>
      <c r="U145" s="12"/>
    </row>
    <row r="146" spans="1:21" x14ac:dyDescent="0.25">
      <c r="A146" s="97"/>
      <c r="B146" s="98"/>
      <c r="C146" s="12"/>
      <c r="D146" s="12"/>
      <c r="E146" s="12"/>
      <c r="F146" s="12"/>
      <c r="G146" s="12"/>
      <c r="H146" s="12"/>
      <c r="I146" s="12"/>
      <c r="J146" s="12"/>
      <c r="K146" s="12"/>
      <c r="L146" s="12"/>
      <c r="M146" s="12"/>
      <c r="N146" s="12"/>
      <c r="O146" s="12"/>
      <c r="P146" s="12"/>
      <c r="Q146" s="12"/>
      <c r="R146" s="12"/>
      <c r="S146" s="12"/>
      <c r="T146" s="12"/>
      <c r="U146" s="12"/>
    </row>
    <row r="147" spans="1:21" x14ac:dyDescent="0.25">
      <c r="A147" s="97"/>
      <c r="B147" s="98"/>
      <c r="C147" s="12"/>
      <c r="D147" s="12"/>
      <c r="E147" s="12"/>
      <c r="F147" s="12"/>
      <c r="G147" s="12"/>
      <c r="H147" s="12"/>
      <c r="I147" s="12"/>
      <c r="J147" s="12"/>
      <c r="K147" s="12"/>
      <c r="L147" s="12"/>
      <c r="M147" s="12"/>
      <c r="N147" s="12"/>
      <c r="O147" s="12"/>
      <c r="P147" s="12"/>
      <c r="Q147" s="12"/>
      <c r="R147" s="12"/>
      <c r="S147" s="12"/>
      <c r="T147" s="12"/>
      <c r="U147" s="12"/>
    </row>
    <row r="148" spans="1:21" x14ac:dyDescent="0.25">
      <c r="A148" s="97" t="s">
        <v>165</v>
      </c>
      <c r="B148" s="98"/>
      <c r="C148" s="12"/>
      <c r="D148" s="12"/>
      <c r="E148" s="12"/>
      <c r="F148" s="12"/>
      <c r="G148" s="12"/>
      <c r="H148" s="12"/>
      <c r="I148" s="12"/>
      <c r="J148" s="12"/>
      <c r="K148" s="12"/>
      <c r="L148" s="12"/>
      <c r="M148" s="12"/>
      <c r="N148" s="12"/>
      <c r="O148" s="12"/>
      <c r="P148" s="12"/>
      <c r="Q148" s="12"/>
      <c r="R148" s="12"/>
      <c r="S148" s="12"/>
      <c r="T148" s="12"/>
      <c r="U148" s="12"/>
    </row>
    <row r="149" spans="1:21" x14ac:dyDescent="0.25">
      <c r="A149" s="97"/>
      <c r="B149" s="98"/>
      <c r="C149" s="12"/>
      <c r="D149" s="12"/>
      <c r="E149" s="12"/>
      <c r="F149" s="12"/>
      <c r="G149" s="12"/>
      <c r="H149" s="12"/>
      <c r="I149" s="12"/>
      <c r="J149" s="12"/>
      <c r="K149" s="12"/>
      <c r="L149" s="12"/>
      <c r="M149" s="12"/>
      <c r="N149" s="12"/>
      <c r="O149" s="12"/>
      <c r="P149" s="12"/>
      <c r="Q149" s="12"/>
      <c r="R149" s="12"/>
      <c r="S149" s="12"/>
      <c r="T149" s="12"/>
      <c r="U149" s="12"/>
    </row>
    <row r="150" spans="1:21" x14ac:dyDescent="0.25">
      <c r="A150" s="97" t="s">
        <v>166</v>
      </c>
      <c r="B150" s="98"/>
      <c r="C150" s="12"/>
      <c r="D150" s="12"/>
      <c r="E150" s="12"/>
      <c r="F150" s="12"/>
      <c r="G150" s="12"/>
      <c r="H150" s="12"/>
      <c r="I150" s="12"/>
      <c r="J150" s="12"/>
      <c r="K150" s="12"/>
      <c r="L150" s="12"/>
      <c r="M150" s="12"/>
      <c r="N150" s="12"/>
      <c r="O150" s="12"/>
      <c r="P150" s="12"/>
      <c r="Q150" s="12"/>
      <c r="R150" s="12"/>
      <c r="S150" s="12"/>
      <c r="T150" s="12"/>
      <c r="U150" s="12"/>
    </row>
    <row r="151" spans="1:21" x14ac:dyDescent="0.25">
      <c r="A151" s="97"/>
      <c r="B151" s="98"/>
      <c r="C151" s="12"/>
      <c r="D151" s="12"/>
      <c r="E151" s="12"/>
      <c r="F151" s="12"/>
      <c r="G151" s="12"/>
      <c r="H151" s="12"/>
      <c r="I151" s="12"/>
      <c r="J151" s="12"/>
      <c r="K151" s="12"/>
      <c r="L151" s="12"/>
      <c r="M151" s="12"/>
      <c r="N151" s="12"/>
      <c r="O151" s="12"/>
      <c r="P151" s="12"/>
      <c r="Q151" s="12"/>
      <c r="R151" s="12"/>
      <c r="S151" s="12"/>
      <c r="T151" s="12"/>
      <c r="U151" s="12"/>
    </row>
    <row r="152" spans="1:21" x14ac:dyDescent="0.25">
      <c r="A152" s="97" t="s">
        <v>167</v>
      </c>
      <c r="B152" s="98"/>
      <c r="C152" s="12"/>
      <c r="D152" s="12"/>
      <c r="E152" s="12"/>
      <c r="F152" s="12"/>
      <c r="G152" s="12"/>
      <c r="H152" s="12"/>
      <c r="I152" s="12"/>
      <c r="J152" s="12"/>
      <c r="K152" s="12"/>
      <c r="L152" s="12"/>
      <c r="M152" s="12"/>
      <c r="N152" s="12"/>
      <c r="O152" s="12"/>
      <c r="P152" s="12"/>
      <c r="Q152" s="12"/>
      <c r="R152" s="12"/>
      <c r="S152" s="12"/>
      <c r="T152" s="12"/>
      <c r="U152" s="12"/>
    </row>
    <row r="153" spans="1:21" x14ac:dyDescent="0.25">
      <c r="A153" s="97"/>
      <c r="B153" s="98"/>
      <c r="C153" s="12"/>
      <c r="D153" s="12"/>
      <c r="E153" s="12"/>
      <c r="F153" s="12"/>
      <c r="G153" s="12"/>
      <c r="H153" s="12"/>
      <c r="I153" s="12"/>
      <c r="J153" s="12"/>
      <c r="K153" s="12"/>
      <c r="L153" s="12"/>
      <c r="M153" s="12"/>
      <c r="N153" s="12"/>
      <c r="O153" s="12"/>
      <c r="P153" s="12"/>
      <c r="Q153" s="12"/>
      <c r="R153" s="12"/>
      <c r="S153" s="12"/>
      <c r="T153" s="12"/>
      <c r="U153" s="12"/>
    </row>
    <row r="154" spans="1:21" x14ac:dyDescent="0.25">
      <c r="A154" s="97" t="s">
        <v>168</v>
      </c>
      <c r="B154" s="98"/>
      <c r="C154" s="12"/>
      <c r="D154" s="12"/>
      <c r="E154" s="12"/>
      <c r="F154" s="12"/>
      <c r="G154" s="12"/>
      <c r="H154" s="12"/>
      <c r="I154" s="12"/>
      <c r="J154" s="12"/>
      <c r="K154" s="12"/>
      <c r="L154" s="12"/>
      <c r="M154" s="12"/>
      <c r="N154" s="12"/>
      <c r="O154" s="12"/>
      <c r="P154" s="12"/>
      <c r="Q154" s="12"/>
      <c r="R154" s="12"/>
      <c r="S154" s="12"/>
      <c r="T154" s="12"/>
      <c r="U154" s="12"/>
    </row>
    <row r="155" spans="1:21" x14ac:dyDescent="0.25">
      <c r="A155" s="97"/>
      <c r="B155" s="98"/>
      <c r="C155" s="12"/>
      <c r="D155" s="12"/>
      <c r="E155" s="12"/>
      <c r="F155" s="12"/>
      <c r="G155" s="12"/>
      <c r="H155" s="12"/>
      <c r="I155" s="12"/>
      <c r="J155" s="12"/>
      <c r="K155" s="12"/>
      <c r="L155" s="12"/>
      <c r="M155" s="12"/>
      <c r="N155" s="12"/>
      <c r="O155" s="12"/>
      <c r="P155" s="12"/>
      <c r="Q155" s="12"/>
      <c r="R155" s="12"/>
      <c r="S155" s="12"/>
      <c r="T155" s="12"/>
      <c r="U155" s="12"/>
    </row>
    <row r="156" spans="1:21" x14ac:dyDescent="0.25">
      <c r="A156" s="97"/>
      <c r="B156" s="98"/>
      <c r="C156" s="12"/>
      <c r="D156" s="12"/>
      <c r="E156" s="12"/>
      <c r="F156" s="12"/>
      <c r="G156" s="12"/>
      <c r="H156" s="12"/>
      <c r="I156" s="12"/>
      <c r="J156" s="12"/>
      <c r="K156" s="12"/>
      <c r="L156" s="12"/>
      <c r="M156" s="12"/>
      <c r="N156" s="12"/>
      <c r="O156" s="12"/>
      <c r="P156" s="12"/>
      <c r="Q156" s="12"/>
      <c r="R156" s="12"/>
      <c r="S156" s="12"/>
      <c r="T156" s="12"/>
      <c r="U156" s="12"/>
    </row>
    <row r="157" spans="1:21" x14ac:dyDescent="0.25">
      <c r="A157" s="97"/>
      <c r="B157" s="98"/>
      <c r="C157" s="12"/>
      <c r="D157" s="12"/>
      <c r="E157" s="12"/>
      <c r="F157" s="12"/>
      <c r="G157" s="12"/>
      <c r="H157" s="12"/>
      <c r="I157" s="12"/>
      <c r="J157" s="12"/>
      <c r="K157" s="12"/>
      <c r="L157" s="12"/>
      <c r="M157" s="12"/>
      <c r="N157" s="12"/>
      <c r="O157" s="12"/>
      <c r="P157" s="12"/>
      <c r="Q157" s="12"/>
      <c r="R157" s="12"/>
      <c r="S157" s="12"/>
      <c r="T157" s="12"/>
      <c r="U157" s="12"/>
    </row>
    <row r="158" spans="1:21" x14ac:dyDescent="0.25">
      <c r="A158" s="97" t="s">
        <v>169</v>
      </c>
      <c r="B158" s="98"/>
      <c r="C158" s="12"/>
      <c r="D158" s="12"/>
      <c r="E158" s="12"/>
      <c r="F158" s="12"/>
      <c r="G158" s="12"/>
      <c r="H158" s="12"/>
      <c r="I158" s="12"/>
      <c r="J158" s="12"/>
      <c r="K158" s="12"/>
      <c r="L158" s="12"/>
      <c r="M158" s="12"/>
      <c r="N158" s="12"/>
      <c r="O158" s="12"/>
      <c r="P158" s="12"/>
      <c r="Q158" s="12"/>
      <c r="R158" s="12"/>
      <c r="S158" s="12"/>
      <c r="T158" s="12"/>
      <c r="U158" s="12"/>
    </row>
    <row r="159" spans="1:21" x14ac:dyDescent="0.25">
      <c r="A159" s="97"/>
      <c r="B159" s="98"/>
      <c r="C159" s="12"/>
      <c r="D159" s="12"/>
      <c r="E159" s="12"/>
      <c r="F159" s="12"/>
      <c r="G159" s="12"/>
      <c r="H159" s="12"/>
      <c r="I159" s="12"/>
      <c r="J159" s="12"/>
      <c r="K159" s="12"/>
      <c r="L159" s="12"/>
      <c r="M159" s="12"/>
      <c r="N159" s="12"/>
      <c r="O159" s="12"/>
      <c r="P159" s="12"/>
      <c r="Q159" s="12"/>
      <c r="R159" s="12"/>
      <c r="S159" s="12"/>
      <c r="T159" s="12"/>
      <c r="U159" s="12"/>
    </row>
    <row r="160" spans="1:21" x14ac:dyDescent="0.25">
      <c r="A160" s="97" t="s">
        <v>170</v>
      </c>
      <c r="B160" s="98"/>
      <c r="C160" s="12"/>
      <c r="D160" s="12"/>
      <c r="E160" s="12"/>
      <c r="F160" s="12"/>
      <c r="G160" s="12"/>
      <c r="H160" s="12"/>
      <c r="I160" s="12"/>
      <c r="J160" s="12"/>
      <c r="K160" s="12"/>
      <c r="L160" s="12"/>
      <c r="M160" s="12"/>
      <c r="N160" s="12"/>
      <c r="O160" s="12"/>
      <c r="P160" s="12"/>
      <c r="Q160" s="12"/>
      <c r="R160" s="12"/>
      <c r="S160" s="12"/>
      <c r="T160" s="12"/>
      <c r="U160" s="12"/>
    </row>
    <row r="161" spans="1:21" x14ac:dyDescent="0.25">
      <c r="A161" s="97"/>
      <c r="B161" s="98"/>
      <c r="C161" s="12"/>
      <c r="D161" s="12"/>
      <c r="E161" s="12"/>
      <c r="F161" s="12"/>
      <c r="G161" s="12"/>
      <c r="H161" s="12"/>
      <c r="I161" s="12"/>
      <c r="J161" s="12"/>
      <c r="K161" s="12"/>
      <c r="L161" s="12"/>
      <c r="M161" s="12"/>
      <c r="N161" s="12"/>
      <c r="O161" s="12"/>
      <c r="P161" s="12"/>
      <c r="Q161" s="12"/>
      <c r="R161" s="12"/>
      <c r="S161" s="12"/>
      <c r="T161" s="12"/>
      <c r="U161" s="12"/>
    </row>
    <row r="162" spans="1:21" x14ac:dyDescent="0.25">
      <c r="A162" s="97" t="s">
        <v>171</v>
      </c>
      <c r="B162" s="98"/>
      <c r="C162" s="12"/>
      <c r="D162" s="12"/>
      <c r="E162" s="12"/>
      <c r="F162" s="12"/>
      <c r="G162" s="12"/>
      <c r="H162" s="12"/>
      <c r="I162" s="12"/>
      <c r="J162" s="12"/>
      <c r="K162" s="12"/>
      <c r="L162" s="12"/>
      <c r="M162" s="12"/>
      <c r="N162" s="12"/>
      <c r="O162" s="12"/>
      <c r="P162" s="12"/>
      <c r="Q162" s="12"/>
      <c r="R162" s="12"/>
      <c r="S162" s="12"/>
      <c r="T162" s="12"/>
      <c r="U162" s="12"/>
    </row>
    <row r="163" spans="1:21" x14ac:dyDescent="0.25">
      <c r="A163" s="97"/>
      <c r="B163" s="98"/>
      <c r="C163" s="12"/>
      <c r="D163" s="12"/>
      <c r="E163" s="12"/>
      <c r="F163" s="12"/>
      <c r="G163" s="12"/>
      <c r="H163" s="12"/>
      <c r="I163" s="12"/>
      <c r="J163" s="12"/>
      <c r="K163" s="12"/>
      <c r="L163" s="12"/>
      <c r="M163" s="12"/>
      <c r="N163" s="12"/>
      <c r="O163" s="12"/>
      <c r="P163" s="12"/>
      <c r="Q163" s="12"/>
      <c r="R163" s="12"/>
      <c r="S163" s="12"/>
      <c r="T163" s="12"/>
      <c r="U163" s="12"/>
    </row>
    <row r="164" spans="1:21" x14ac:dyDescent="0.25">
      <c r="A164" s="97" t="s">
        <v>172</v>
      </c>
      <c r="B164" s="98"/>
      <c r="C164" s="12"/>
      <c r="D164" s="12"/>
      <c r="E164" s="12"/>
      <c r="F164" s="12"/>
      <c r="G164" s="12"/>
      <c r="H164" s="12"/>
      <c r="I164" s="12"/>
      <c r="J164" s="12"/>
      <c r="K164" s="12"/>
      <c r="L164" s="12"/>
      <c r="M164" s="12"/>
      <c r="N164" s="12"/>
      <c r="O164" s="12"/>
      <c r="P164" s="12"/>
      <c r="Q164" s="12"/>
      <c r="R164" s="12"/>
      <c r="S164" s="12"/>
      <c r="T164" s="12"/>
      <c r="U164" s="12"/>
    </row>
    <row r="165" spans="1:21" x14ac:dyDescent="0.25">
      <c r="A165" s="97"/>
      <c r="B165" s="98"/>
      <c r="C165" s="12"/>
      <c r="D165" s="12"/>
      <c r="E165" s="12"/>
      <c r="F165" s="12"/>
      <c r="G165" s="12"/>
      <c r="H165" s="12"/>
      <c r="I165" s="12"/>
      <c r="J165" s="12"/>
      <c r="K165" s="12"/>
      <c r="L165" s="12"/>
      <c r="M165" s="12"/>
      <c r="N165" s="12"/>
      <c r="O165" s="12"/>
      <c r="P165" s="12"/>
      <c r="Q165" s="12"/>
      <c r="R165" s="12"/>
      <c r="S165" s="12"/>
      <c r="T165" s="12"/>
      <c r="U165" s="12"/>
    </row>
    <row r="166" spans="1:21" x14ac:dyDescent="0.25">
      <c r="A166" s="97" t="s">
        <v>173</v>
      </c>
      <c r="B166" s="98"/>
      <c r="C166" s="12"/>
      <c r="D166" s="12"/>
      <c r="E166" s="12"/>
      <c r="F166" s="12"/>
      <c r="G166" s="12"/>
      <c r="H166" s="12"/>
      <c r="I166" s="12"/>
      <c r="J166" s="12"/>
      <c r="K166" s="12"/>
      <c r="L166" s="12"/>
      <c r="M166" s="12"/>
      <c r="N166" s="12"/>
      <c r="O166" s="12"/>
      <c r="P166" s="12"/>
      <c r="Q166" s="12"/>
      <c r="R166" s="12"/>
      <c r="S166" s="12"/>
      <c r="T166" s="12"/>
      <c r="U166" s="12"/>
    </row>
    <row r="167" spans="1:21" x14ac:dyDescent="0.25">
      <c r="A167" s="97"/>
      <c r="B167" s="98"/>
      <c r="C167" s="12"/>
      <c r="D167" s="12"/>
      <c r="E167" s="12"/>
      <c r="F167" s="12"/>
      <c r="G167" s="12"/>
      <c r="H167" s="12"/>
      <c r="I167" s="12"/>
      <c r="J167" s="12"/>
      <c r="K167" s="12"/>
      <c r="L167" s="12"/>
      <c r="M167" s="12"/>
      <c r="N167" s="12"/>
      <c r="O167" s="12"/>
      <c r="P167" s="12"/>
      <c r="Q167" s="12"/>
      <c r="R167" s="12"/>
      <c r="S167" s="12"/>
      <c r="T167" s="12"/>
      <c r="U167" s="12"/>
    </row>
    <row r="168" spans="1:21" x14ac:dyDescent="0.25">
      <c r="A168" s="97" t="s">
        <v>174</v>
      </c>
      <c r="B168" s="98"/>
      <c r="C168" s="12"/>
      <c r="D168" s="12"/>
      <c r="E168" s="12"/>
      <c r="F168" s="12"/>
      <c r="G168" s="12"/>
      <c r="H168" s="12"/>
      <c r="I168" s="12"/>
      <c r="J168" s="12"/>
      <c r="K168" s="12"/>
      <c r="L168" s="12"/>
      <c r="M168" s="12"/>
      <c r="N168" s="12"/>
      <c r="O168" s="12"/>
      <c r="P168" s="12"/>
      <c r="Q168" s="12"/>
      <c r="R168" s="12"/>
      <c r="S168" s="12"/>
      <c r="T168" s="12"/>
      <c r="U168" s="12"/>
    </row>
    <row r="169" spans="1:21" x14ac:dyDescent="0.25">
      <c r="A169" s="97"/>
      <c r="B169" s="98"/>
      <c r="C169" s="12"/>
      <c r="D169" s="12"/>
      <c r="E169" s="12"/>
      <c r="F169" s="12"/>
      <c r="G169" s="12"/>
      <c r="H169" s="12"/>
      <c r="I169" s="12"/>
      <c r="J169" s="12"/>
      <c r="K169" s="12"/>
      <c r="L169" s="12"/>
      <c r="M169" s="12"/>
      <c r="N169" s="12"/>
      <c r="O169" s="12"/>
      <c r="P169" s="12"/>
      <c r="Q169" s="12"/>
      <c r="R169" s="12"/>
      <c r="S169" s="12"/>
      <c r="T169" s="12"/>
      <c r="U169" s="12"/>
    </row>
    <row r="170" spans="1:21" ht="15.75" thickBot="1" x14ac:dyDescent="0.3">
      <c r="A170" s="110"/>
      <c r="B170" s="111"/>
      <c r="C170" s="12"/>
      <c r="D170" s="12"/>
      <c r="E170" s="12"/>
      <c r="F170" s="12"/>
      <c r="G170" s="12"/>
      <c r="H170" s="12"/>
      <c r="I170" s="12"/>
      <c r="J170" s="12"/>
      <c r="K170" s="12"/>
      <c r="L170" s="12"/>
      <c r="M170" s="12"/>
      <c r="N170" s="12"/>
      <c r="O170" s="12"/>
      <c r="P170" s="12"/>
      <c r="Q170" s="12"/>
      <c r="R170" s="12"/>
      <c r="S170" s="12"/>
      <c r="T170" s="12"/>
      <c r="U170" s="12"/>
    </row>
    <row r="171" spans="1:21" ht="15.75" thickBot="1" x14ac:dyDescent="0.3">
      <c r="A171" s="12"/>
      <c r="B171" s="12"/>
      <c r="C171" s="12"/>
      <c r="D171" s="12"/>
      <c r="E171" s="12"/>
      <c r="F171" s="12"/>
      <c r="G171" s="12"/>
      <c r="H171" s="12"/>
      <c r="I171" s="12"/>
      <c r="J171" s="12"/>
      <c r="K171" s="12"/>
      <c r="L171" s="12"/>
      <c r="M171" s="12"/>
      <c r="N171" s="12"/>
      <c r="O171" s="12"/>
      <c r="P171" s="12"/>
      <c r="Q171" s="12"/>
      <c r="R171" s="12"/>
      <c r="S171" s="12"/>
      <c r="T171" s="12"/>
      <c r="U171" s="12"/>
    </row>
    <row r="172" spans="1:21" x14ac:dyDescent="0.25">
      <c r="A172" s="95" t="s">
        <v>192</v>
      </c>
      <c r="B172" s="112"/>
      <c r="C172" s="112"/>
      <c r="D172" s="112"/>
      <c r="E172" s="112"/>
      <c r="F172" s="112"/>
      <c r="G172" s="112"/>
      <c r="H172" s="112"/>
      <c r="I172" s="112"/>
      <c r="J172" s="112"/>
      <c r="K172" s="112"/>
      <c r="L172" s="112"/>
      <c r="M172" s="112"/>
      <c r="N172" s="112"/>
      <c r="O172" s="112"/>
      <c r="P172" s="112"/>
      <c r="Q172" s="112"/>
      <c r="R172" s="112"/>
      <c r="S172" s="96"/>
      <c r="T172" s="12"/>
      <c r="U172" s="12"/>
    </row>
    <row r="173" spans="1:21" x14ac:dyDescent="0.25">
      <c r="A173" s="97"/>
      <c r="B173" s="12"/>
      <c r="C173" s="12"/>
      <c r="D173" s="12"/>
      <c r="E173" s="12"/>
      <c r="F173" s="12"/>
      <c r="G173" s="12"/>
      <c r="H173" s="12"/>
      <c r="I173" s="12"/>
      <c r="J173" s="12"/>
      <c r="K173" s="12"/>
      <c r="L173" s="12"/>
      <c r="M173" s="12"/>
      <c r="N173" s="12"/>
      <c r="O173" s="12"/>
      <c r="P173" s="12"/>
      <c r="Q173" s="12"/>
      <c r="R173" s="12"/>
      <c r="S173" s="98"/>
      <c r="T173" s="12"/>
      <c r="U173" s="12"/>
    </row>
    <row r="174" spans="1:21" x14ac:dyDescent="0.25">
      <c r="A174" s="97" t="s">
        <v>193</v>
      </c>
      <c r="B174" s="12"/>
      <c r="C174" s="12"/>
      <c r="D174" s="12"/>
      <c r="E174" s="12"/>
      <c r="F174" s="12"/>
      <c r="G174" s="12"/>
      <c r="H174" s="12"/>
      <c r="I174" s="12"/>
      <c r="J174" s="12"/>
      <c r="K174" s="12"/>
      <c r="L174" s="12"/>
      <c r="M174" s="12"/>
      <c r="N174" s="12"/>
      <c r="O174" s="12"/>
      <c r="P174" s="12"/>
      <c r="Q174" s="12"/>
      <c r="R174" s="12"/>
      <c r="S174" s="98"/>
      <c r="T174" s="12"/>
      <c r="U174" s="12"/>
    </row>
    <row r="175" spans="1:21" ht="15.75" x14ac:dyDescent="0.3">
      <c r="A175" s="97" t="s">
        <v>200</v>
      </c>
      <c r="B175" s="12"/>
      <c r="C175" s="12"/>
      <c r="D175" s="12"/>
      <c r="E175" s="12"/>
      <c r="F175" s="12"/>
      <c r="G175" s="12"/>
      <c r="H175" s="12"/>
      <c r="I175" s="12"/>
      <c r="J175" s="12"/>
      <c r="K175" s="12"/>
      <c r="L175" s="12"/>
      <c r="M175" s="12"/>
      <c r="N175" s="12"/>
      <c r="O175" s="12"/>
      <c r="P175" s="12"/>
      <c r="Q175" s="12"/>
      <c r="R175" s="12"/>
      <c r="S175" s="98"/>
      <c r="T175" s="12"/>
      <c r="U175" s="12"/>
    </row>
    <row r="176" spans="1:21" ht="15.75" x14ac:dyDescent="0.3">
      <c r="A176" s="97" t="s">
        <v>201</v>
      </c>
      <c r="B176" s="12"/>
      <c r="C176" s="12"/>
      <c r="D176" s="12"/>
      <c r="E176" s="12"/>
      <c r="F176" s="12"/>
      <c r="G176" s="12"/>
      <c r="H176" s="12"/>
      <c r="I176" s="12"/>
      <c r="J176" s="12"/>
      <c r="K176" s="12"/>
      <c r="L176" s="12"/>
      <c r="M176" s="12"/>
      <c r="N176" s="12"/>
      <c r="O176" s="12"/>
      <c r="P176" s="12"/>
      <c r="Q176" s="12"/>
      <c r="R176" s="12"/>
      <c r="S176" s="98"/>
      <c r="T176" s="12"/>
      <c r="U176" s="12"/>
    </row>
    <row r="177" spans="1:21" x14ac:dyDescent="0.25">
      <c r="A177" s="97"/>
      <c r="B177" s="12"/>
      <c r="C177" s="12"/>
      <c r="D177" s="12"/>
      <c r="E177" s="12"/>
      <c r="F177" s="12"/>
      <c r="G177" s="12"/>
      <c r="H177" s="12"/>
      <c r="I177" s="12"/>
      <c r="J177" s="12"/>
      <c r="K177" s="12"/>
      <c r="L177" s="12"/>
      <c r="M177" s="12"/>
      <c r="N177" s="12"/>
      <c r="O177" s="12"/>
      <c r="P177" s="12"/>
      <c r="Q177" s="12"/>
      <c r="R177" s="12"/>
      <c r="S177" s="98"/>
      <c r="T177" s="12"/>
      <c r="U177" s="12"/>
    </row>
    <row r="178" spans="1:21" ht="15.75" x14ac:dyDescent="0.3">
      <c r="A178" s="97" t="s">
        <v>202</v>
      </c>
      <c r="B178" s="12"/>
      <c r="C178" s="12"/>
      <c r="D178" s="12"/>
      <c r="E178" s="12"/>
      <c r="F178" s="12"/>
      <c r="G178" s="12"/>
      <c r="H178" s="12"/>
      <c r="I178" s="12"/>
      <c r="J178" s="12"/>
      <c r="K178" s="12"/>
      <c r="L178" s="12"/>
      <c r="M178" s="12"/>
      <c r="N178" s="12"/>
      <c r="O178" s="12"/>
      <c r="P178" s="12"/>
      <c r="Q178" s="12"/>
      <c r="R178" s="12"/>
      <c r="S178" s="98"/>
      <c r="T178" s="12"/>
      <c r="U178" s="12"/>
    </row>
    <row r="179" spans="1:21" ht="15.75" x14ac:dyDescent="0.3">
      <c r="A179" s="97" t="s">
        <v>203</v>
      </c>
      <c r="B179" s="12"/>
      <c r="C179" s="12"/>
      <c r="D179" s="12"/>
      <c r="E179" s="12"/>
      <c r="F179" s="12"/>
      <c r="G179" s="12"/>
      <c r="H179" s="12"/>
      <c r="I179" s="12"/>
      <c r="J179" s="12"/>
      <c r="K179" s="12"/>
      <c r="L179" s="12"/>
      <c r="M179" s="12"/>
      <c r="N179" s="12"/>
      <c r="O179" s="12"/>
      <c r="P179" s="12"/>
      <c r="Q179" s="12"/>
      <c r="R179" s="12"/>
      <c r="S179" s="98"/>
      <c r="T179" s="12"/>
      <c r="U179" s="12"/>
    </row>
    <row r="180" spans="1:21" x14ac:dyDescent="0.25">
      <c r="A180" s="97" t="s">
        <v>194</v>
      </c>
      <c r="B180" s="12"/>
      <c r="C180" s="12"/>
      <c r="D180" s="12"/>
      <c r="E180" s="12"/>
      <c r="F180" s="12"/>
      <c r="G180" s="12"/>
      <c r="H180" s="12"/>
      <c r="I180" s="12"/>
      <c r="J180" s="12"/>
      <c r="K180" s="12"/>
      <c r="L180" s="12"/>
      <c r="M180" s="12"/>
      <c r="N180" s="12"/>
      <c r="O180" s="12"/>
      <c r="P180" s="12"/>
      <c r="Q180" s="12"/>
      <c r="R180" s="12"/>
      <c r="S180" s="98"/>
      <c r="T180" s="12"/>
      <c r="U180" s="12"/>
    </row>
    <row r="181" spans="1:21" x14ac:dyDescent="0.25">
      <c r="A181" s="97"/>
      <c r="B181" s="12"/>
      <c r="C181" s="12"/>
      <c r="D181" s="12"/>
      <c r="E181" s="12"/>
      <c r="F181" s="12"/>
      <c r="G181" s="12"/>
      <c r="H181" s="12"/>
      <c r="I181" s="12"/>
      <c r="J181" s="12"/>
      <c r="K181" s="12"/>
      <c r="L181" s="12"/>
      <c r="M181" s="12"/>
      <c r="N181" s="12"/>
      <c r="O181" s="12"/>
      <c r="P181" s="12"/>
      <c r="Q181" s="12"/>
      <c r="R181" s="12"/>
      <c r="S181" s="98"/>
      <c r="T181" s="12"/>
      <c r="U181" s="12"/>
    </row>
    <row r="182" spans="1:21" x14ac:dyDescent="0.25">
      <c r="A182" s="97"/>
      <c r="B182" s="12"/>
      <c r="C182" s="12"/>
      <c r="D182" s="12"/>
      <c r="E182" s="12"/>
      <c r="F182" s="12"/>
      <c r="G182" s="12"/>
      <c r="H182" s="12"/>
      <c r="I182" s="12"/>
      <c r="J182" s="12"/>
      <c r="K182" s="12"/>
      <c r="L182" s="12"/>
      <c r="M182" s="12"/>
      <c r="N182" s="12"/>
      <c r="O182" s="12"/>
      <c r="P182" s="12"/>
      <c r="Q182" s="12"/>
      <c r="R182" s="12"/>
      <c r="S182" s="98"/>
      <c r="T182" s="12"/>
      <c r="U182" s="12"/>
    </row>
    <row r="183" spans="1:21" x14ac:dyDescent="0.25">
      <c r="A183" s="97"/>
      <c r="B183" s="12"/>
      <c r="C183" s="12"/>
      <c r="D183" s="12"/>
      <c r="E183" s="12"/>
      <c r="F183" s="12"/>
      <c r="G183" s="12"/>
      <c r="H183" s="12"/>
      <c r="I183" s="12"/>
      <c r="J183" s="12"/>
      <c r="K183" s="12"/>
      <c r="L183" s="12"/>
      <c r="M183" s="12"/>
      <c r="N183" s="12"/>
      <c r="O183" s="12"/>
      <c r="P183" s="12"/>
      <c r="Q183" s="12"/>
      <c r="R183" s="12"/>
      <c r="S183" s="98"/>
      <c r="T183" s="12"/>
      <c r="U183" s="12"/>
    </row>
    <row r="184" spans="1:21" x14ac:dyDescent="0.25">
      <c r="A184" s="97" t="s">
        <v>92</v>
      </c>
      <c r="B184" s="12"/>
      <c r="C184" s="12"/>
      <c r="D184" s="12"/>
      <c r="E184" s="12"/>
      <c r="F184" s="12"/>
      <c r="G184" s="12"/>
      <c r="H184" s="12"/>
      <c r="I184" s="12"/>
      <c r="J184" s="12"/>
      <c r="K184" s="12"/>
      <c r="L184" s="12"/>
      <c r="M184" s="12"/>
      <c r="N184" s="12"/>
      <c r="O184" s="12"/>
      <c r="P184" s="12"/>
      <c r="Q184" s="12"/>
      <c r="R184" s="12"/>
      <c r="S184" s="98"/>
      <c r="T184" s="12"/>
      <c r="U184" s="12"/>
    </row>
    <row r="185" spans="1:21" x14ac:dyDescent="0.25">
      <c r="A185" s="97" t="s">
        <v>195</v>
      </c>
      <c r="B185" s="12"/>
      <c r="C185" s="12"/>
      <c r="D185" s="12"/>
      <c r="E185" s="12"/>
      <c r="F185" s="12"/>
      <c r="G185" s="12"/>
      <c r="H185" s="12"/>
      <c r="I185" s="12"/>
      <c r="J185" s="12"/>
      <c r="K185" s="12"/>
      <c r="L185" s="12"/>
      <c r="M185" s="12"/>
      <c r="N185" s="12"/>
      <c r="O185" s="12"/>
      <c r="P185" s="12"/>
      <c r="Q185" s="12"/>
      <c r="R185" s="12"/>
      <c r="S185" s="98"/>
      <c r="T185" s="12"/>
      <c r="U185" s="12"/>
    </row>
    <row r="186" spans="1:21" x14ac:dyDescent="0.25">
      <c r="A186" s="97" t="s">
        <v>196</v>
      </c>
      <c r="B186" s="12"/>
      <c r="C186" s="12"/>
      <c r="D186" s="12"/>
      <c r="E186" s="12"/>
      <c r="F186" s="12"/>
      <c r="G186" s="12"/>
      <c r="H186" s="12"/>
      <c r="I186" s="12"/>
      <c r="J186" s="12"/>
      <c r="K186" s="12"/>
      <c r="L186" s="12"/>
      <c r="M186" s="12"/>
      <c r="N186" s="12"/>
      <c r="O186" s="12"/>
      <c r="P186" s="12"/>
      <c r="Q186" s="12"/>
      <c r="R186" s="12"/>
      <c r="S186" s="98"/>
      <c r="T186" s="12"/>
      <c r="U186" s="12"/>
    </row>
    <row r="187" spans="1:21" x14ac:dyDescent="0.25">
      <c r="A187" s="97" t="s">
        <v>197</v>
      </c>
      <c r="B187" s="12"/>
      <c r="C187" s="12"/>
      <c r="D187" s="12"/>
      <c r="E187" s="12"/>
      <c r="F187" s="12"/>
      <c r="G187" s="12"/>
      <c r="H187" s="12"/>
      <c r="I187" s="12"/>
      <c r="J187" s="12"/>
      <c r="K187" s="12"/>
      <c r="L187" s="12"/>
      <c r="M187" s="12"/>
      <c r="N187" s="12"/>
      <c r="O187" s="12"/>
      <c r="P187" s="12"/>
      <c r="Q187" s="12"/>
      <c r="R187" s="12"/>
      <c r="S187" s="98"/>
      <c r="T187" s="12"/>
      <c r="U187" s="12"/>
    </row>
    <row r="188" spans="1:21" x14ac:dyDescent="0.25">
      <c r="A188" s="97"/>
      <c r="B188" s="12"/>
      <c r="C188" s="12"/>
      <c r="D188" s="12"/>
      <c r="E188" s="12"/>
      <c r="F188" s="12"/>
      <c r="G188" s="12"/>
      <c r="H188" s="12"/>
      <c r="I188" s="12"/>
      <c r="J188" s="12"/>
      <c r="K188" s="12"/>
      <c r="L188" s="12"/>
      <c r="M188" s="12"/>
      <c r="N188" s="12"/>
      <c r="O188" s="12"/>
      <c r="P188" s="12"/>
      <c r="Q188" s="12"/>
      <c r="R188" s="12"/>
      <c r="S188" s="98"/>
      <c r="T188" s="12"/>
      <c r="U188" s="12"/>
    </row>
    <row r="189" spans="1:21" ht="15.75" x14ac:dyDescent="0.3">
      <c r="A189" s="97" t="s">
        <v>204</v>
      </c>
      <c r="B189" s="12"/>
      <c r="C189" s="12"/>
      <c r="D189" s="12"/>
      <c r="E189" s="12"/>
      <c r="F189" s="12"/>
      <c r="G189" s="12"/>
      <c r="H189" s="12"/>
      <c r="I189" s="12"/>
      <c r="J189" s="12"/>
      <c r="K189" s="12"/>
      <c r="L189" s="12"/>
      <c r="M189" s="12"/>
      <c r="N189" s="12"/>
      <c r="O189" s="12"/>
      <c r="P189" s="12"/>
      <c r="Q189" s="12"/>
      <c r="R189" s="12"/>
      <c r="S189" s="98"/>
      <c r="T189" s="12"/>
      <c r="U189" s="12"/>
    </row>
    <row r="190" spans="1:21" x14ac:dyDescent="0.25">
      <c r="A190" s="97" t="s">
        <v>198</v>
      </c>
      <c r="B190" s="12"/>
      <c r="C190" s="12"/>
      <c r="D190" s="12"/>
      <c r="E190" s="12"/>
      <c r="F190" s="12"/>
      <c r="G190" s="12"/>
      <c r="H190" s="12"/>
      <c r="I190" s="12"/>
      <c r="J190" s="12"/>
      <c r="K190" s="12"/>
      <c r="L190" s="12"/>
      <c r="M190" s="12"/>
      <c r="N190" s="12"/>
      <c r="O190" s="12"/>
      <c r="P190" s="12"/>
      <c r="Q190" s="12"/>
      <c r="R190" s="12"/>
      <c r="S190" s="98"/>
      <c r="T190" s="12"/>
      <c r="U190" s="12"/>
    </row>
    <row r="191" spans="1:21" x14ac:dyDescent="0.25">
      <c r="A191" s="97"/>
      <c r="B191" s="12"/>
      <c r="C191" s="12"/>
      <c r="D191" s="12"/>
      <c r="E191" s="12"/>
      <c r="F191" s="12"/>
      <c r="G191" s="12"/>
      <c r="H191" s="12"/>
      <c r="I191" s="12"/>
      <c r="J191" s="12"/>
      <c r="K191" s="12"/>
      <c r="L191" s="12"/>
      <c r="M191" s="12"/>
      <c r="N191" s="12"/>
      <c r="O191" s="12"/>
      <c r="P191" s="12"/>
      <c r="Q191" s="12"/>
      <c r="R191" s="12"/>
      <c r="S191" s="98"/>
      <c r="T191" s="12"/>
      <c r="U191" s="12"/>
    </row>
    <row r="192" spans="1:21" ht="15.75" thickBot="1" x14ac:dyDescent="0.3">
      <c r="A192" s="110"/>
      <c r="B192" s="113"/>
      <c r="C192" s="113"/>
      <c r="D192" s="113"/>
      <c r="E192" s="113"/>
      <c r="F192" s="113"/>
      <c r="G192" s="113"/>
      <c r="H192" s="113"/>
      <c r="I192" s="113"/>
      <c r="J192" s="113"/>
      <c r="K192" s="113"/>
      <c r="L192" s="113"/>
      <c r="M192" s="113"/>
      <c r="N192" s="113"/>
      <c r="O192" s="113"/>
      <c r="P192" s="113"/>
      <c r="Q192" s="113"/>
      <c r="R192" s="113"/>
      <c r="S192" s="111"/>
      <c r="T192" s="12"/>
      <c r="U192" s="12"/>
    </row>
    <row r="193" spans="1:21" x14ac:dyDescent="0.25">
      <c r="A193" s="12" t="s">
        <v>208</v>
      </c>
      <c r="B193" s="12"/>
      <c r="C193" s="12"/>
      <c r="D193" s="12"/>
      <c r="E193" s="12"/>
      <c r="F193" s="12"/>
      <c r="G193" s="12"/>
      <c r="H193" s="12"/>
      <c r="I193" s="12"/>
      <c r="J193" s="12"/>
      <c r="K193" s="12"/>
      <c r="L193" s="12"/>
      <c r="M193" s="12"/>
      <c r="N193" s="12"/>
      <c r="O193" s="12"/>
      <c r="P193" s="12"/>
      <c r="Q193" s="12"/>
      <c r="R193" s="12"/>
      <c r="S193" s="12"/>
      <c r="T193" s="12"/>
      <c r="U193" s="12"/>
    </row>
    <row r="194" spans="1:21" x14ac:dyDescent="0.25">
      <c r="A194" s="12" t="s">
        <v>209</v>
      </c>
      <c r="B194" s="12"/>
      <c r="C194" s="12"/>
      <c r="D194" s="12"/>
      <c r="E194" s="12"/>
      <c r="F194" s="12"/>
      <c r="G194" s="12"/>
      <c r="H194" s="12"/>
      <c r="I194" s="12"/>
      <c r="J194" s="12"/>
      <c r="K194" s="12"/>
      <c r="L194" s="12"/>
      <c r="M194" s="12"/>
      <c r="N194" s="12"/>
      <c r="O194" s="12"/>
      <c r="P194" s="12"/>
      <c r="Q194" s="12"/>
      <c r="R194" s="12"/>
      <c r="S194" s="12"/>
      <c r="T194" s="12"/>
      <c r="U194" s="12"/>
    </row>
    <row r="195" spans="1:21" x14ac:dyDescent="0.25">
      <c r="A195" s="12"/>
      <c r="B195" s="12"/>
      <c r="C195" s="12"/>
      <c r="D195" s="12"/>
      <c r="E195" s="12"/>
      <c r="F195" s="12"/>
      <c r="G195" s="12"/>
      <c r="H195" s="12"/>
      <c r="I195" s="12"/>
      <c r="J195" s="12"/>
      <c r="K195" s="12"/>
      <c r="L195" s="12"/>
      <c r="M195" s="12"/>
      <c r="N195" s="12"/>
      <c r="O195" s="12"/>
      <c r="P195" s="12"/>
      <c r="Q195" s="12"/>
      <c r="R195" s="12"/>
      <c r="S195" s="12"/>
      <c r="T195" s="12"/>
      <c r="U195" s="12"/>
    </row>
    <row r="196" spans="1:21" x14ac:dyDescent="0.25">
      <c r="A196" s="12"/>
      <c r="B196" s="12"/>
      <c r="C196" s="12"/>
      <c r="D196" s="12"/>
      <c r="E196" s="12"/>
      <c r="F196" s="12"/>
      <c r="G196" s="12"/>
      <c r="H196" s="12"/>
      <c r="I196" s="12"/>
      <c r="J196" s="12"/>
      <c r="K196" s="12"/>
      <c r="L196" s="12"/>
      <c r="M196" s="12"/>
      <c r="N196" s="12"/>
      <c r="O196" s="12"/>
      <c r="P196" s="12"/>
      <c r="Q196" s="12"/>
      <c r="R196" s="12"/>
      <c r="S196" s="12"/>
      <c r="T196" s="12"/>
      <c r="U196" s="12"/>
    </row>
    <row r="197" spans="1:21" x14ac:dyDescent="0.25">
      <c r="A197" s="12"/>
      <c r="B197" s="12"/>
      <c r="C197" s="12"/>
      <c r="D197" s="12"/>
      <c r="E197" s="12"/>
      <c r="F197" s="12"/>
      <c r="G197" s="12"/>
      <c r="H197" s="12"/>
      <c r="I197" s="12"/>
      <c r="J197" s="12"/>
      <c r="K197" s="12"/>
      <c r="L197" s="12"/>
      <c r="M197" s="12"/>
      <c r="N197" s="12"/>
      <c r="O197" s="12"/>
      <c r="P197" s="12"/>
      <c r="Q197" s="12"/>
      <c r="R197" s="12"/>
      <c r="S197" s="12"/>
      <c r="T197" s="12"/>
      <c r="U197" s="12"/>
    </row>
  </sheetData>
  <sheetProtection algorithmName="SHA-512" hashValue="gd1p8eDE5XH7Gip5XmWYYkHqjcniCK4mhkoVCKiYmOpjDH37IRB24lbzxXyvwSHSs7zvo7ONbqD/9ddxyoyblw==" saltValue="ygBFm9UfYaEBbosRB6JNJg==" spinCount="100000" sheet="1" objects="1" scenarios="1" selectLockedCells="1" selectUnlockedCells="1"/>
  <hyperlinks>
    <hyperlink ref="A62" r:id="rId1" display="http://www.yscapgroup.com/" xr:uid="{5FDBCF69-7895-4743-A232-2ED541A27D5A}"/>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7eac4ec-cfe6-44c1-8384-f889af4f723e" xsi:nil="true"/>
    <lcf76f155ced4ddcb4097134ff3c332f xmlns="e8e991a0-14da-48f8-b377-886d3df0944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3FC264900052B4E8B7EFCB5708AF87F" ma:contentTypeVersion="14" ma:contentTypeDescription="Create a new document." ma:contentTypeScope="" ma:versionID="64d2cbc56a22ac5cd338f08e0e4464ab">
  <xsd:schema xmlns:xsd="http://www.w3.org/2001/XMLSchema" xmlns:xs="http://www.w3.org/2001/XMLSchema" xmlns:p="http://schemas.microsoft.com/office/2006/metadata/properties" xmlns:ns2="e8e991a0-14da-48f8-b377-886d3df09443" xmlns:ns3="d7eac4ec-cfe6-44c1-8384-f889af4f723e" targetNamespace="http://schemas.microsoft.com/office/2006/metadata/properties" ma:root="true" ma:fieldsID="8a18193c64b0e2170cc0565e8c23d6ba" ns2:_="" ns3:_="">
    <xsd:import namespace="e8e991a0-14da-48f8-b377-886d3df09443"/>
    <xsd:import namespace="d7eac4ec-cfe6-44c1-8384-f889af4f72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e991a0-14da-48f8-b377-886d3df094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6a5766-90f7-438b-82a3-36862ccf51d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eac4ec-cfe6-44c1-8384-f889af4f723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20f1e17-e6f4-4609-9b1d-e1ed074f2e8b}" ma:internalName="TaxCatchAll" ma:showField="CatchAllData" ma:web="d7eac4ec-cfe6-44c1-8384-f889af4f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0DC72C-14F3-438B-86D3-C8B7278D5B43}">
  <ds:schemaRefs>
    <ds:schemaRef ds:uri="http://schemas.microsoft.com/sharepoint/v3/contenttype/forms"/>
  </ds:schemaRefs>
</ds:datastoreItem>
</file>

<file path=customXml/itemProps2.xml><?xml version="1.0" encoding="utf-8"?>
<ds:datastoreItem xmlns:ds="http://schemas.openxmlformats.org/officeDocument/2006/customXml" ds:itemID="{182B7852-7648-4D23-ACA8-07605E41A441}">
  <ds:schemaRefs>
    <ds:schemaRef ds:uri="http://schemas.microsoft.com/office/2006/metadata/properties"/>
    <ds:schemaRef ds:uri="http://schemas.microsoft.com/office/infopath/2007/PartnerControls"/>
    <ds:schemaRef ds:uri="d7eac4ec-cfe6-44c1-8384-f889af4f723e"/>
    <ds:schemaRef ds:uri="e8e991a0-14da-48f8-b377-886d3df09443"/>
  </ds:schemaRefs>
</ds:datastoreItem>
</file>

<file path=customXml/itemProps3.xml><?xml version="1.0" encoding="utf-8"?>
<ds:datastoreItem xmlns:ds="http://schemas.openxmlformats.org/officeDocument/2006/customXml" ds:itemID="{9692F516-432C-4254-BF49-6AF081F0839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Deal Analyzer</vt:lpstr>
      <vt:lpstr>Sample</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Yehuda Bochner</dc:creator>
  <cp:lastModifiedBy>Ezra Green</cp:lastModifiedBy>
  <dcterms:created xsi:type="dcterms:W3CDTF">2025-04-27T04:04:39Z</dcterms:created>
  <dcterms:modified xsi:type="dcterms:W3CDTF">2026-02-27T02:11:48Z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0x01010013FC264900052B4E8B7EFCB5708AF87F</vt:lpwstr>
  </property>
  <property fmtid="{D5CDD505-2E9C-101B-9397-08002B2CF9AE}" pid="3" name="MediaServiceImageTags">
    <vt:lpwstr/>
  </property>
</Properties>
</file>